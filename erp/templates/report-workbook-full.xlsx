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worksheets/sheetD27.xml" ContentType="application/vnd.openxmlformats-officedocument.spreadsheetml.worksheet+xml"/>
  <Override PartName="/xl/worksheets/sheetD28.xml" ContentType="application/vnd.openxmlformats-officedocument.spreadsheetml.worksheet+xml"/>
  <Override PartName="/xl/worksheets/sheetD29.xml" ContentType="application/vnd.openxmlformats-officedocument.spreadsheetml.worksheet+xml"/>
  <Override PartName="/xl/worksheets/sheetD30.xml" ContentType="application/vnd.openxmlformats-officedocument.spreadsheetml.worksheet+xml"/>
  <Override PartName="/xl/worksheets/sheetD31.xml" ContentType="application/vnd.openxmlformats-officedocument.spreadsheetml.worksheet+xml"/>
  <Override PartName="/xl/worksheets/sheetD32.xml" ContentType="application/vnd.openxmlformats-officedocument.spreadsheetml.worksheet+xml"/>
  <Override PartName="/xl/worksheets/sheetD33.xml" ContentType="application/vnd.openxmlformats-officedocument.spreadsheetml.worksheet+xml"/>
  <Override PartName="/xl/worksheets/sheetD34.xml" ContentType="application/vnd.openxmlformats-officedocument.spreadsheetml.worksheet+xml"/>
  <Override PartName="/xl/worksheets/sheetD35.xml" ContentType="application/vnd.openxmlformats-officedocument.spreadsheetml.worksheet+xml"/>
  <Override PartName="/xl/worksheets/sheetD36.xml" ContentType="application/vnd.openxmlformats-officedocument.spreadsheetml.worksheet+xml"/>
  <Override PartName="/xl/worksheets/sheetD37.xml" ContentType="application/vnd.openxmlformats-officedocument.spreadsheetml.worksheet+xml"/>
  <Override PartName="/xl/worksheets/sheetD38.xml" ContentType="application/vnd.openxmlformats-officedocument.spreadsheetml.worksheet+xml"/>
  <Override PartName="/xl/worksheets/sheetD39.xml" ContentType="application/vnd.openxmlformats-officedocument.spreadsheetml.worksheet+xml"/>
  <Override PartName="/xl/worksheets/sheetD40.xml" ContentType="application/vnd.openxmlformats-officedocument.spreadsheetml.worksheet+xml"/>
  <Override PartName="/xl/worksheets/sheetD41.xml" ContentType="application/vnd.openxmlformats-officedocument.spreadsheetml.worksheet+xml"/>
  <Override PartName="/xl/worksheets/sheetD42.xml" ContentType="application/vnd.openxmlformats-officedocument.spreadsheetml.worksheet+xml"/>
  <Override PartName="/xl/worksheets/sheetD43.xml" ContentType="application/vnd.openxmlformats-officedocument.spreadsheetml.worksheet+xml"/>
  <Override PartName="/xl/worksheets/sheetD44.xml" ContentType="application/vnd.openxmlformats-officedocument.spreadsheetml.worksheet+xml"/>
  <Override PartName="/xl/worksheets/sheetD45.xml" ContentType="application/vnd.openxmlformats-officedocument.spreadsheetml.worksheet+xml"/>
  <Override PartName="/xl/worksheets/sheetD46.xml" ContentType="application/vnd.openxmlformats-officedocument.spreadsheetml.worksheet+xml"/>
  <Override PartName="/xl/worksheets/sheetD47.xml" ContentType="application/vnd.openxmlformats-officedocument.spreadsheetml.worksheet+xml"/>
  <Override PartName="/xl/worksheets/sheetD48.xml" ContentType="application/vnd.openxmlformats-officedocument.spreadsheetml.worksheet+xml"/>
  <Override PartName="/xl/worksheets/sheetD49.xml" ContentType="application/vnd.openxmlformats-officedocument.spreadsheetml.worksheet+xml"/>
  <Override PartName="/xl/worksheets/sheetD50.xml" ContentType="application/vnd.openxmlformats-officedocument.spreadsheetml.worksheet+xml"/>
  <Override PartName="/xl/worksheets/sheetD51.xml" ContentType="application/vnd.openxmlformats-officedocument.spreadsheetml.worksheet+xml"/>
  <Override PartName="/xl/worksheets/sheetD52.xml" ContentType="application/vnd.openxmlformats-officedocument.spreadsheetml.worksheet+xml"/>
  <Override PartName="/xl/worksheets/sheetD53.xml" ContentType="application/vnd.openxmlformats-officedocument.spreadsheetml.worksheet+xml"/>
  <Override PartName="/xl/worksheets/sheetD54.xml" ContentType="application/vnd.openxmlformats-officedocument.spreadsheetml.worksheet+xml"/>
  <Override PartName="/xl/worksheets/sheetD55.xml" ContentType="application/vnd.openxmlformats-officedocument.spreadsheetml.worksheet+xml"/>
  <Override PartName="/xl/worksheets/sheetD56.xml" ContentType="application/vnd.openxmlformats-officedocument.spreadsheetml.worksheet+xml"/>
  <Override PartName="/xl/worksheets/sheetD57.xml" ContentType="application/vnd.openxmlformats-officedocument.spreadsheetml.worksheet+xml"/>
  <Override PartName="/xl/worksheets/sheetD58.xml" ContentType="application/vnd.openxmlformats-officedocument.spreadsheetml.worksheet+xml"/>
  <Override PartName="/xl/worksheets/sheetD59.xml" ContentType="application/vnd.openxmlformats-officedocument.spreadsheetml.worksheet+xml"/>
  <Override PartName="/xl/worksheets/sheetD60.xml" ContentType="application/vnd.openxmlformats-officedocument.spreadsheetml.worksheet+xml"/>
  <Override PartName="/xl/worksheets/sheetD61.xml" ContentType="application/vnd.openxmlformats-officedocument.spreadsheetml.worksheet+xml"/>
  <Override PartName="/xl/worksheets/sheetD62.xml" ContentType="application/vnd.openxmlformats-officedocument.spreadsheetml.worksheet+xml"/>
  <Override PartName="/xl/worksheets/sheetD63.xml" ContentType="application/vnd.openxmlformats-officedocument.spreadsheetml.worksheet+xml"/>
  <Override PartName="/xl/worksheets/sheetD64.xml" ContentType="application/vnd.openxmlformats-officedocument.spreadsheetml.worksheet+xml"/>
  <Override PartName="/xl/worksheets/sheetD65.xml" ContentType="application/vnd.openxmlformats-officedocument.spreadsheetml.worksheet+xml"/>
  <Override PartName="/xl/worksheets/sheetD66.xml" ContentType="application/vnd.openxmlformats-officedocument.spreadsheetml.worksheet+xml"/>
  <Override PartName="/xl/worksheets/sheetD6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보고서" sheetId="2" state="visible" r:id="rId4"/>
    <sheet name="정보" sheetId="3" state="visible" r:id="rId5"/>
    <sheet name="다수동일때" sheetId="4" state="visible" r:id="rId6"/>
    <sheet name="현황" sheetId="5" state="visible" r:id="rId7"/>
    <sheet name="현1" sheetId="6" state="visible" r:id="rId8"/>
    <sheet name="다수동" sheetId="7" state="visible" r:id="rId9"/>
    <sheet name="현2" sheetId="8" state="visible" r:id="rId10"/>
    <sheet name="현3" sheetId="9" state="visible" r:id="rId11"/>
    <sheet name="현4" sheetId="10" state="visible" r:id="rId12"/>
    <sheet name="현5" sheetId="11" state="visible" r:id="rId13"/>
    <sheet name="대상처" sheetId="12" state="visible" r:id="rId14"/>
    <sheet name="공문" sheetId="13" state="visible" r:id="rId15"/>
    <sheet name="대상물" sheetId="14" state="visible" r:id="rId16"/>
    <sheet name="대상물2" sheetId="15" state="visible" r:id="rId17"/>
    <sheet name="세1" sheetId="16" state="visible" r:id="rId18"/>
    <sheet name="세2" sheetId="17" state="visible" r:id="rId19"/>
    <sheet name="세3" sheetId="18" state="visible" r:id="rId20"/>
    <sheet name="세4" sheetId="19" state="visible" r:id="rId21"/>
    <sheet name="세5" sheetId="20" state="visible" r:id="rId22"/>
    <sheet name="목차" sheetId="21" state="hidden" r:id="rId23"/>
    <sheet name="Sheet1" sheetId="22" state="hidden" r:id="rId24"/>
    <sheet name="위임장" sheetId="23" state="visible" r:id="rId25"/>
    <sheet name="계획서" sheetId="24" state="visible" r:id="rId26"/>
    <sheet name="완료보고서" sheetId="25" state="visible" r:id="rId27"/>
    <sheet name="계약서" sheetId="26" state="visible" r:id="rId28"/>
    <sheet name="목 차" sheetId="27" r:id="rId52"/>
    <sheet name="소" sheetId="28" r:id="rId53"/>
    <sheet name="옥1" sheetId="29" r:id="rId54"/>
    <sheet name="옥2" sheetId="30" r:id="rId55"/>
    <sheet name="옥3" sheetId="31" r:id="rId56"/>
    <sheet name="스1" sheetId="32" r:id="rId57"/>
    <sheet name="스2" sheetId="33" r:id="rId58"/>
    <sheet name="스3" sheetId="34" r:id="rId59"/>
    <sheet name="스4" sheetId="35" r:id="rId60"/>
    <sheet name="간1" sheetId="36" r:id="rId61"/>
    <sheet name="간2" sheetId="37" r:id="rId62"/>
    <sheet name="간3" sheetId="38" r:id="rId63"/>
    <sheet name="간4" sheetId="39" r:id="rId64"/>
    <sheet name="CO2-1" sheetId="40" r:id="rId65"/>
    <sheet name="CO2-2" sheetId="41" r:id="rId66"/>
    <sheet name="CO2-3" sheetId="42" r:id="rId67"/>
    <sheet name="CO2-4" sheetId="43" r:id="rId68"/>
    <sheet name="할1" sheetId="44" r:id="rId69"/>
    <sheet name="할2" sheetId="45" r:id="rId70"/>
    <sheet name="할3" sheetId="46" r:id="rId71"/>
    <sheet name="옥외1" sheetId="47" r:id="rId72"/>
    <sheet name="옥외2" sheetId="48" r:id="rId73"/>
    <sheet name="옥외3" sheetId="49" r:id="rId74"/>
    <sheet name="비상경보" sheetId="50" r:id="rId75"/>
    <sheet name="자탐1" sheetId="51" r:id="rId76"/>
    <sheet name="자탐2" sheetId="52" r:id="rId77"/>
    <sheet name="방송" sheetId="53" r:id="rId78"/>
    <sheet name="속보" sheetId="54" r:id="rId79"/>
    <sheet name="가누" sheetId="55" r:id="rId80"/>
    <sheet name="피난기구" sheetId="56" r:id="rId81"/>
    <sheet name="유도등" sheetId="57" r:id="rId82"/>
    <sheet name="비조" sheetId="58" r:id="rId83"/>
    <sheet name="소화용수" sheetId="59" r:id="rId84"/>
    <sheet name="특피" sheetId="60" r:id="rId85"/>
    <sheet name="연결송수관" sheetId="61" r:id="rId86"/>
    <sheet name="연결살수" sheetId="62" r:id="rId87"/>
    <sheet name="비콘" sheetId="63" r:id="rId88"/>
    <sheet name="무통" sheetId="64" r:id="rId89"/>
    <sheet name="기타" sheetId="65" r:id="rId90"/>
    <sheet name="다중1" sheetId="66" r:id="rId91"/>
    <sheet name="다중2" sheetId="67" r:id="rId92"/>
  </sheets>
  <definedNames>
    <definedName function="false" hidden="false" localSheetId="6" name="_xlnm.Print_Area" vbProcedure="false">다수동!$A$1:$W$31</definedName>
    <definedName function="false" hidden="false" localSheetId="13" name="_xlnm.Print_Area" vbProcedure="false">대상물!$A$1:$N$37</definedName>
    <definedName function="false" hidden="false" localSheetId="14" name="_xlnm.Print_Area" vbProcedure="false">대상물2!$A$1:$K$30</definedName>
    <definedName function="false" hidden="false" localSheetId="1" name="_xlnm.Print_Area" vbProcedure="false">보고서!$A$1:$F$33</definedName>
    <definedName function="false" hidden="false" localSheetId="15" name="_xlnm.Print_Area" vbProcedure="false">세1!$A$1:$T$38</definedName>
    <definedName function="false" hidden="false" localSheetId="5" name="_xlnm.Print_Area" vbProcedure="false">현1!$A$1:$T$38</definedName>
    <definedName function="false" hidden="false" localSheetId="7" name="_xlnm.Print_Area" vbProcedure="false">현2!$A$1:$I$47</definedName>
    <definedName function="false" hidden="false" localSheetId="8" name="_xlnm.Print_Area" vbProcedure="false">현3!$A$1:$I$46</definedName>
    <definedName function="false" hidden="false" name="_3_0Crite" vbProcedure="false">#REF!</definedName>
    <definedName function="false" hidden="false" name="_3_0Criteria" vbProcedure="false">#REF!</definedName>
    <definedName function="false" hidden="false" name="_3_?Crite" vbProcedure="false">#REF!</definedName>
    <definedName function="false" hidden="false" name="_3_?Criteria" vbProcedure="false">#REF!</definedName>
    <definedName function="false" hidden="false" name="DANGA" vbProcedure="false">#REF!,#REF!</definedName>
    <definedName function="false" hidden="false" name="Excel_BuiltIn_Database" vbProcedure="false">#REF!</definedName>
    <definedName function="false" hidden="false" name="Excel_BuiltIn_Print_Area" vbProcedure="false">#REF!</definedName>
    <definedName function="false" hidden="false" name="Excel_BuiltIn_Print_Titles" vbProcedure="false">#REF!</definedName>
    <definedName function="false" hidden="false" name="G_0Extr" vbProcedure="false">#REF!</definedName>
    <definedName function="false" hidden="false" name="G_0Extract" vbProcedure="false">#REF!</definedName>
    <definedName function="false" hidden="false" name="G_?Extr" vbProcedure="false">#REF!</definedName>
    <definedName function="false" hidden="false" name="G_?Extract" vbProcedure="false">#REF!</definedName>
    <definedName function="false" hidden="false" name="GONGJONG" vbProcedure="false">#REF!</definedName>
    <definedName function="false" hidden="false" name="ID" vbProcedure="false">#REF!,#REF!</definedName>
    <definedName function="false" hidden="false" name="KA" vbProcedure="false">[3]MOTOR!$B$61:$E$68</definedName>
    <definedName function="false" hidden="false" name="Macro10" vbProcedure="false">[4]!Macro10</definedName>
    <definedName function="false" hidden="false" name="Macro12" vbProcedure="false">[4]!Macro12</definedName>
    <definedName function="false" hidden="false" name="Macro13" vbProcedure="false">[4]!Macro13</definedName>
    <definedName function="false" hidden="false" name="Macro14" vbProcedure="false">[4]!Macro14</definedName>
    <definedName function="false" hidden="false" name="Macro2" vbProcedure="false">[4]!Macro2</definedName>
    <definedName function="false" hidden="false" name="Macro5" vbProcedure="false">[4]!Macro5</definedName>
    <definedName function="false" hidden="false" name="Macro6" vbProcedure="false">[4]!Macro6</definedName>
    <definedName function="false" hidden="false" name="Macro7" vbProcedure="false">[4]!Macro7</definedName>
    <definedName function="false" hidden="false" name="Macro8" vbProcedure="false">[4]!Macro8</definedName>
    <definedName function="false" hidden="false" name="Macro9" vbProcedure="false">[4]!Macro9</definedName>
    <definedName function="false" hidden="false" name="Main" vbProcedure="false">#REF!</definedName>
    <definedName function="false" hidden="false" name="MAINPART" vbProcedure="false">[5]내역서!$A$1</definedName>
    <definedName function="false" hidden="false" name="MONEY" vbProcedure="false">#REF!,#REF!</definedName>
    <definedName function="false" hidden="false" name="nego2" vbProcedure="false">#REF!</definedName>
    <definedName function="false" hidden="false" name="NYDATA" vbProcedure="false">#REF!</definedName>
    <definedName function="false" hidden="false" name="PRINT_AREA_MI" vbProcedure="false">#REF!</definedName>
    <definedName function="false" hidden="false" name="PRINT_TITLES_MI" vbProcedure="false">#REF!</definedName>
    <definedName function="false" hidden="false" name="SubDic" vbProcedure="false">#REF!</definedName>
    <definedName function="false" hidden="false" name="_a" vbProcedure="false">#REF!</definedName>
    <definedName function="false" hidden="false" name="_b" vbProcedure="false">#REF!</definedName>
    <definedName function="false" hidden="false" name="_c" vbProcedure="false">#REF!</definedName>
    <definedName function="false" hidden="false" name="_12G_0Extract" vbProcedure="false">#REF!</definedName>
    <definedName function="false" hidden="false" name="_151_3_0Criteria" vbProcedure="false">#REF!</definedName>
    <definedName function="false" hidden="false" name="_152_3_0Criteria" vbProcedure="false">#REF!</definedName>
    <definedName function="false" hidden="false" name="_165_3__Crite" vbProcedure="false">#REF!</definedName>
    <definedName function="false" hidden="false" name="_178_3__Criteria" vbProcedure="false">#REF!</definedName>
    <definedName function="false" hidden="false" name="_1_3_0Crite" vbProcedure="false">#REF!</definedName>
    <definedName function="false" hidden="false" name="_253G_0Extr" vbProcedure="false">#REF!</definedName>
    <definedName function="false" hidden="false" name="_254G_0Extr" vbProcedure="false">#REF!</definedName>
    <definedName function="false" hidden="false" name="_2_3_0Criteria" vbProcedure="false">#REF!</definedName>
    <definedName function="false" hidden="false" name="_3_0Crite" vbProcedure="false">#REF!</definedName>
    <definedName function="false" hidden="false" name="_3_0Criteria" vbProcedure="false">#REF!</definedName>
    <definedName function="false" hidden="false" name="_3_?Crite" vbProcedure="false">#REF!</definedName>
    <definedName function="false" hidden="false" name="_3_?Criteria" vbProcedure="false">#REF!</definedName>
    <definedName function="false" hidden="false" name="_329G_0Extract" vbProcedure="false">#REF!</definedName>
    <definedName function="false" hidden="false" name="_330G_0Extract" vbProcedure="false">#REF!</definedName>
    <definedName function="false" hidden="false" name="_343G__Extr" vbProcedure="false">#REF!</definedName>
    <definedName function="false" hidden="false" name="_356G__Extract" vbProcedure="false">#REF!</definedName>
    <definedName function="false" hidden="false" name="_3_3_0Crite" vbProcedure="false">#REF!</definedName>
    <definedName function="false" hidden="false" name="_3_3__Crite" vbProcedure="false">#REF!</definedName>
    <definedName function="false" hidden="false" name="_4_3__Criteria" vbProcedure="false">#REF!</definedName>
    <definedName function="false" hidden="false" name="_5G_0Extr" vbProcedure="false">#REF!</definedName>
    <definedName function="false" hidden="false" name="_6G_0Extract" vbProcedure="false">#REF!</definedName>
    <definedName function="false" hidden="false" name="_6_3_0Criteria" vbProcedure="false">#REF!</definedName>
    <definedName function="false" hidden="false" name="_75_3_0Crite" vbProcedure="false">#REF!</definedName>
    <definedName function="false" hidden="false" name="_76_3_0Crite" vbProcedure="false">#REF!</definedName>
    <definedName function="false" hidden="false" name="_7G__Extr" vbProcedure="false">#REF!</definedName>
    <definedName function="false" hidden="false" name="_8G__Extract" vbProcedure="false">#REF!</definedName>
    <definedName function="false" hidden="false" name="_9G_0Extr" vbProcedure="false">#REF!</definedName>
    <definedName function="false" hidden="false" name="_Fill" vbProcedure="false">#REF!</definedName>
    <definedName function="false" hidden="false" name="_G_0Extr" vbProcedure="false">#REF!</definedName>
    <definedName function="false" hidden="false" name="_G_0Extract" vbProcedure="false">#REF!</definedName>
    <definedName function="false" hidden="false" name="_G_?Extr" vbProcedure="false">#REF!</definedName>
    <definedName function="false" hidden="false" name="_G_?Extract" vbProcedure="false">#REF!</definedName>
    <definedName function="false" hidden="false" name="_Key1" vbProcedure="false">[7]토목주소!CP$23645</definedName>
    <definedName function="false" hidden="false" name="_Key2" vbProcedure="false">[7]프랜트면허!CP$23645</definedName>
    <definedName function="false" hidden="false" name="_Order1" vbProcedure="false">255</definedName>
    <definedName function="false" hidden="false" name="_Sort" vbProcedure="false">[7]토목주소!CP$23645</definedName>
    <definedName function="false" hidden="false" name="__3_0Crite" vbProcedure="false">#REF!</definedName>
    <definedName function="false" hidden="false" name="__3_0Criteria" vbProcedure="false">#REF!</definedName>
    <definedName function="false" hidden="false" name="__G_0Extr" vbProcedure="false">#REF!</definedName>
    <definedName function="false" hidden="false" name="__G_0Extract" vbProcedure="false">#REF!</definedName>
    <definedName function="false" hidden="false" name="___3_0Crite" vbProcedure="false">#REF!</definedName>
    <definedName function="false" hidden="false" name="___3_0Criteria" vbProcedure="false">#REF!</definedName>
    <definedName function="false" hidden="false" name="___G_0Extr" vbProcedure="false">#REF!</definedName>
    <definedName function="false" hidden="false" name="___G_0Extract" vbProcedure="false">#REF!</definedName>
    <definedName function="false" hidden="false" name="____3_0Crite" vbProcedure="false">#REF!</definedName>
    <definedName function="false" hidden="false" name="____3_0Criteria" vbProcedure="false">#REF!</definedName>
    <definedName function="false" hidden="false" name="____G_0Extr" vbProcedure="false">#REF!</definedName>
    <definedName function="false" hidden="false" name="____G_0Extract" vbProcedure="false">#REF!</definedName>
    <definedName function="false" hidden="false" name="_____3_0Crite" vbProcedure="false">#REF!</definedName>
    <definedName function="false" hidden="false" name="_____3_0Criteria" vbProcedure="false">#REF!</definedName>
    <definedName function="false" hidden="false" name="_____G_0Extr" vbProcedure="false">#REF!</definedName>
    <definedName function="false" hidden="false" name="_____G_0Extract" vbProcedure="false">#REF!</definedName>
    <definedName function="false" hidden="false" name="______3_0Crite" vbProcedure="false">#REF!</definedName>
    <definedName function="false" hidden="false" name="______3_0Criteria" vbProcedure="false">#REF!</definedName>
    <definedName function="false" hidden="false" name="______G_0Extr" vbProcedure="false">#REF!</definedName>
    <definedName function="false" hidden="false" name="______G_0Extract" vbProcedure="false">#REF!</definedName>
    <definedName function="false" hidden="false" name="_______3_0Crite" vbProcedure="false">#REF!</definedName>
    <definedName function="false" hidden="false" name="_______3_0Criteria" vbProcedure="false">#REF!</definedName>
    <definedName function="false" hidden="false" name="_______G_0Extr" vbProcedure="false">#REF!</definedName>
    <definedName function="false" hidden="false" name="_______G_0Extract" vbProcedure="false">#REF!</definedName>
    <definedName function="false" hidden="false" name="________3_0Crite" vbProcedure="false">#REF!</definedName>
    <definedName function="false" hidden="false" name="________3_0Criteria" vbProcedure="false">#REF!</definedName>
    <definedName function="false" hidden="false" name="________G_0Extr" vbProcedure="false">#REF!</definedName>
    <definedName function="false" hidden="false" name="________G_0Extract" vbProcedure="false">#REF!</definedName>
    <definedName function="false" hidden="false" name="_________3_0Crite" vbProcedure="false">#REF!</definedName>
    <definedName function="false" hidden="false" name="_________3_0Criteria" vbProcedure="false">#REF!</definedName>
    <definedName function="false" hidden="false" name="_________G_0Extr" vbProcedure="false">#REF!</definedName>
    <definedName function="false" hidden="false" name="_________G_0Extract" vbProcedure="false">#REF!</definedName>
    <definedName function="false" hidden="false" name="__________3_0Crite" vbProcedure="false">#REF!</definedName>
    <definedName function="false" hidden="false" name="__________3_0Criteria" vbProcedure="false">#REF!</definedName>
    <definedName function="false" hidden="false" name="__________G_0Extr" vbProcedure="false">#REF!</definedName>
    <definedName function="false" hidden="false" name="__________G_0Extract" vbProcedure="false">#REF!</definedName>
    <definedName function="false" hidden="false" name="___________3_0Crite" vbProcedure="false">#REF!</definedName>
    <definedName function="false" hidden="false" name="___________3_0Criteria" vbProcedure="false">#REF!</definedName>
    <definedName function="false" hidden="false" name="___________G_0Extr" vbProcedure="false">#REF!</definedName>
    <definedName function="false" hidden="false" name="___________G_0Extract" vbProcedure="false">#REF!</definedName>
    <definedName function="false" hidden="false" name="____________3_0Crite" vbProcedure="false">#REF!</definedName>
    <definedName function="false" hidden="false" name="____________3_0Criteria" vbProcedure="false">#REF!</definedName>
    <definedName function="false" hidden="false" name="____________G_0Extr" vbProcedure="false">#REF!</definedName>
    <definedName function="false" hidden="false" name="____________G_0Extract" vbProcedure="false">#REF!</definedName>
    <definedName function="false" hidden="false" name="_____________3_0Crite" vbProcedure="false">#REF!</definedName>
    <definedName function="false" hidden="false" name="_____________3_0Criteria" vbProcedure="false">#REF!</definedName>
    <definedName function="false" hidden="false" name="_____________G_0Extr" vbProcedure="false">#REF!</definedName>
    <definedName function="false" hidden="false" name="_____________G_0Extract" vbProcedure="false">#REF!</definedName>
    <definedName function="false" hidden="false" name="______________3_0Crite" vbProcedure="false">#REF!</definedName>
    <definedName function="false" hidden="false" name="______________3_0Criteria" vbProcedure="false">#REF!</definedName>
    <definedName function="false" hidden="false" name="______________G_0Extr" vbProcedure="false">#REF!</definedName>
    <definedName function="false" hidden="false" name="______________G_0Extract" vbProcedure="false">#REF!</definedName>
    <definedName function="false" hidden="false" name="_______________3_0Crite" vbProcedure="false">#REF!</definedName>
    <definedName function="false" hidden="false" name="_______________3_0Criteria" vbProcedure="false">#REF!</definedName>
    <definedName function="false" hidden="false" name="_______________G_0Extr" vbProcedure="false">#REF!</definedName>
    <definedName function="false" hidden="false" name="_______________G_0Extract" vbProcedure="false">#REF!</definedName>
    <definedName function="false" hidden="false" name="________________3_0Crite" vbProcedure="false">#REF!</definedName>
    <definedName function="false" hidden="false" name="________________3_0Criteria" vbProcedure="false">#REF!</definedName>
    <definedName function="false" hidden="false" name="________________G_0Extr" vbProcedure="false">#REF!</definedName>
    <definedName function="false" hidden="false" name="________________G_0Extract" vbProcedure="false">#REF!</definedName>
    <definedName function="false" hidden="false" name="_________________3_0Crite" vbProcedure="false">#REF!</definedName>
    <definedName function="false" hidden="false" name="_________________3_0Criteria" vbProcedure="false">#REF!</definedName>
    <definedName function="false" hidden="false" name="_________________G_0Extr" vbProcedure="false">#REF!</definedName>
    <definedName function="false" hidden="false" name="_________________G_0Extract" vbProcedure="false">#REF!</definedName>
    <definedName function="false" hidden="false" name="__________________3_0Crite" vbProcedure="false">#REF!</definedName>
    <definedName function="false" hidden="false" name="__________________3_0Criteria" vbProcedure="false">#REF!</definedName>
    <definedName function="false" hidden="false" name="__________________G_0Extr" vbProcedure="false">#REF!</definedName>
    <definedName function="false" hidden="false" name="__________________G_0Extract" vbProcedure="false">#REF!</definedName>
    <definedName function="false" hidden="false" name="___________________3_0Crite" vbProcedure="false">#REF!</definedName>
    <definedName function="false" hidden="false" name="___________________3_0Criteria" vbProcedure="false">#REF!</definedName>
    <definedName function="false" hidden="false" name="___________________G_0Extr" vbProcedure="false">#REF!</definedName>
    <definedName function="false" hidden="false" name="___________________G_0Extract" vbProcedure="false">#REF!</definedName>
    <definedName function="false" hidden="false" name="____________________3_0Crite" vbProcedure="false">#REF!</definedName>
    <definedName function="false" hidden="false" name="____________________3_0Criteria" vbProcedure="false">#REF!</definedName>
    <definedName function="false" hidden="false" name="____________________G_0Extr" vbProcedure="false">#REF!</definedName>
    <definedName function="false" hidden="false" name="____________________G_0Extract" vbProcedure="false">#REF!</definedName>
    <definedName function="false" hidden="false" name="_____________________3_0Crite" vbProcedure="false">#REF!</definedName>
    <definedName function="false" hidden="false" name="_____________________3_0Criteria" vbProcedure="false">#REF!</definedName>
    <definedName function="false" hidden="false" name="_____________________G_0Extr" vbProcedure="false">#REF!</definedName>
    <definedName function="false" hidden="false" name="_____________________G_0Extract" vbProcedure="false">#REF!</definedName>
    <definedName function="false" hidden="false" name="______________________3_0Crite" vbProcedure="false">#REF!</definedName>
    <definedName function="false" hidden="false" name="______________________3_0Criteria" vbProcedure="false">#REF!</definedName>
    <definedName function="false" hidden="false" name="______________________G_0Extr" vbProcedure="false">#REF!</definedName>
    <definedName function="false" hidden="false" name="______________________G_0Extract" vbProcedure="false">#REF!</definedName>
    <definedName function="false" hidden="false" name="_______________________3_0Crite" vbProcedure="false">#REF!</definedName>
    <definedName function="false" hidden="false" name="_______________________3_0Criteria" vbProcedure="false">#REF!</definedName>
    <definedName function="false" hidden="false" name="_______________________G_0Extr" vbProcedure="false">#REF!</definedName>
    <definedName function="false" hidden="false" name="_______________________G_0Extract" vbProcedure="false">#REF!</definedName>
    <definedName function="false" hidden="false" name="________________________3_0Crite" vbProcedure="false">#REF!</definedName>
    <definedName function="false" hidden="false" name="________________________3_0Criteria" vbProcedure="false">#REF!</definedName>
    <definedName function="false" hidden="false" name="________________________G_0Extr" vbProcedure="false">#REF!</definedName>
    <definedName function="false" hidden="false" name="________________________G_0Extract" vbProcedure="false">#REF!</definedName>
    <definedName function="false" hidden="false" name="_________________________3_0Crite" vbProcedure="false">#REF!</definedName>
    <definedName function="false" hidden="false" name="_________________________3_0Criteria" vbProcedure="false">#REF!</definedName>
    <definedName function="false" hidden="false" name="_________________________G_0Extr" vbProcedure="false">#REF!</definedName>
    <definedName function="false" hidden="false" name="_________________________G_0Extract" vbProcedure="false">#REF!</definedName>
    <definedName function="false" hidden="false" name="__________________________3_0Crite" vbProcedure="false">#REF!</definedName>
    <definedName function="false" hidden="false" name="__________________________3_0Criteria" vbProcedure="false">#REF!</definedName>
    <definedName function="false" hidden="false" name="__________________________G_0Extr" vbProcedure="false">#REF!</definedName>
    <definedName function="false" hidden="false" name="__________________________G_0Extract" vbProcedure="false">#REF!</definedName>
    <definedName function="false" hidden="false" name="___________________________3_0Crite" vbProcedure="false">#REF!</definedName>
    <definedName function="false" hidden="false" name="___________________________3_0Criteria" vbProcedure="false">#REF!</definedName>
    <definedName function="false" hidden="false" name="___________________________G_0Extr" vbProcedure="false">#REF!</definedName>
    <definedName function="false" hidden="false" name="___________________________G_0Extract" vbProcedure="false">#REF!</definedName>
    <definedName function="false" hidden="false" name="____________________________3_0Crite" vbProcedure="false">#REF!</definedName>
    <definedName function="false" hidden="false" name="____________________________3_0Criteria" vbProcedure="false">#REF!</definedName>
    <definedName function="false" hidden="false" name="____________________________G_0Extr" vbProcedure="false">#REF!</definedName>
    <definedName function="false" hidden="false" name="____________________________G_0Extract" vbProcedure="false">#REF!</definedName>
    <definedName function="false" hidden="false" name="_____________________________3_0Crite" vbProcedure="false">#REF!</definedName>
    <definedName function="false" hidden="false" name="_____________________________3_0Criteria" vbProcedure="false">#REF!</definedName>
    <definedName function="false" hidden="false" name="_____________________________G_0Extr" vbProcedure="false">#REF!</definedName>
    <definedName function="false" hidden="false" name="_____________________________G_0Extract" vbProcedure="false">#REF!</definedName>
    <definedName function="false" hidden="false" name="______________________________3_0Crite" vbProcedure="false">#REF!</definedName>
    <definedName function="false" hidden="false" name="______________________________3_0Criteria" vbProcedure="false">#REF!</definedName>
    <definedName function="false" hidden="false" name="______________________________G_0Extr" vbProcedure="false">#REF!</definedName>
    <definedName function="false" hidden="false" name="______________________________G_0Extract" vbProcedure="false">#REF!</definedName>
    <definedName function="false" hidden="false" name="_______________________________3_0Crite" vbProcedure="false">#REF!</definedName>
    <definedName function="false" hidden="false" name="_______________________________3_0Criteria" vbProcedure="false">#REF!</definedName>
    <definedName function="false" hidden="false" name="_______________________________G_0Extr" vbProcedure="false">#REF!</definedName>
    <definedName function="false" hidden="false" name="_______________________________G_0Extract" vbProcedure="false">#REF!</definedName>
    <definedName function="false" hidden="false" name="________________________________3_0Crite" vbProcedure="false">#REF!</definedName>
    <definedName function="false" hidden="false" name="________________________________3_0Criteria" vbProcedure="false">#REF!</definedName>
    <definedName function="false" hidden="false" name="________________________________G_0Extr" vbProcedure="false">#REF!</definedName>
    <definedName function="false" hidden="false" name="________________________________G_0Extract" vbProcedure="false">#REF!</definedName>
    <definedName function="false" hidden="false" name="_________________________________3_0Crite" vbProcedure="false">#REF!</definedName>
    <definedName function="false" hidden="false" name="_________________________________3_0Criteria" vbProcedure="false">#REF!</definedName>
    <definedName function="false" hidden="false" name="_________________________________G_0Extr" vbProcedure="false">#REF!</definedName>
    <definedName function="false" hidden="false" name="_________________________________G_0Extract" vbProcedure="false">#REF!</definedName>
    <definedName function="false" hidden="false" name="__________________________________3_0Crite" vbProcedure="false">#REF!</definedName>
    <definedName function="false" hidden="false" name="__________________________________3_0Criteria" vbProcedure="false">#REF!</definedName>
    <definedName function="false" hidden="false" name="__________________________________G_0Extr" vbProcedure="false">#REF!</definedName>
    <definedName function="false" hidden="false" name="__________________________________G_0Extract" vbProcedure="false">#REF!</definedName>
    <definedName function="false" hidden="false" name="___________________________________3_0Crite" vbProcedure="false">#REF!</definedName>
    <definedName function="false" hidden="false" name="___________________________________3_0Criteria" vbProcedure="false">#REF!</definedName>
    <definedName function="false" hidden="false" name="___________________________________G_0Extr" vbProcedure="false">#REF!</definedName>
    <definedName function="false" hidden="false" name="___________________________________G_0Extract" vbProcedure="false">#REF!</definedName>
    <definedName function="false" hidden="false" name="____________________________________3_0Crite" vbProcedure="false">#REF!</definedName>
    <definedName function="false" hidden="false" name="____________________________________3_0Criteria" vbProcedure="false">#REF!</definedName>
    <definedName function="false" hidden="false" name="____________________________________G_0Extr" vbProcedure="false">#REF!</definedName>
    <definedName function="false" hidden="false" name="____________________________________G_0Extract" vbProcedure="false">#REF!</definedName>
    <definedName function="false" hidden="false" name="_____________________________________3_0Crite" vbProcedure="false">#REF!</definedName>
    <definedName function="false" hidden="false" name="_____________________________________3_0Criteria" vbProcedure="false">#REF!</definedName>
    <definedName function="false" hidden="false" name="_____________________________________G_0Extr" vbProcedure="false">#REF!</definedName>
    <definedName function="false" hidden="false" name="_____________________________________G_0Extract" vbProcedure="false">#REF!</definedName>
    <definedName function="false" hidden="false" name="______________________________________3_0Crite" vbProcedure="false">#REF!</definedName>
    <definedName function="false" hidden="false" name="______________________________________3_0Criteria" vbProcedure="false">#REF!</definedName>
    <definedName function="false" hidden="false" name="______________________________________G_0Extr" vbProcedure="false">#REF!</definedName>
    <definedName function="false" hidden="false" name="______________________________________G_0Extract" vbProcedure="false">#REF!</definedName>
    <definedName function="false" hidden="false" name="_______________________________________3_0Crite" vbProcedure="false">#REF!</definedName>
    <definedName function="false" hidden="false" name="_______________________________________3_0Criteria" vbProcedure="false">#REF!</definedName>
    <definedName function="false" hidden="false" name="_______________________________________G_0Extr" vbProcedure="false">#REF!</definedName>
    <definedName function="false" hidden="false" name="_______________________________________G_0Extract" vbProcedure="false">#REF!</definedName>
    <definedName function="false" hidden="false" name="________________________________________3_0Crite" vbProcedure="false">#REF!</definedName>
    <definedName function="false" hidden="false" name="________________________________________3_0Criteria" vbProcedure="false">#REF!</definedName>
    <definedName function="false" hidden="false" name="________________________________________G_0Extr" vbProcedure="false">#REF!</definedName>
    <definedName function="false" hidden="false" name="________________________________________G_0Extract" vbProcedure="false">#REF!</definedName>
    <definedName function="false" hidden="false" name="_________________________________________3_0Crite" vbProcedure="false">#REF!</definedName>
    <definedName function="false" hidden="false" name="_________________________________________3_0Criteria" vbProcedure="false">#REF!</definedName>
    <definedName function="false" hidden="false" name="_________________________________________G_0Extr" vbProcedure="false">#REF!</definedName>
    <definedName function="false" hidden="false" name="_________________________________________G_0Extract" vbProcedure="false">#REF!</definedName>
    <definedName function="false" hidden="false" name="__________________________________________3_0Crite" vbProcedure="false">#REF!</definedName>
    <definedName function="false" hidden="false" name="__________________________________________3_0Criteria" vbProcedure="false">#REF!</definedName>
    <definedName function="false" hidden="false" name="__________________________________________G_0Extr" vbProcedure="false">#REF!</definedName>
    <definedName function="false" hidden="false" name="__________________________________________G_0Extract" vbProcedure="false">#REF!</definedName>
    <definedName function="false" hidden="false" name="___________________________________________3_0Crite" vbProcedure="false">#REF!</definedName>
    <definedName function="false" hidden="false" name="___________________________________________3_0Criteria" vbProcedure="false">#REF!</definedName>
    <definedName function="false" hidden="false" name="___________________________________________G_0Extr" vbProcedure="false">#REF!</definedName>
    <definedName function="false" hidden="false" name="___________________________________________G_0Extract" vbProcedure="false">#REF!</definedName>
    <definedName function="false" hidden="false" name="____________________________________________3_0Crite" vbProcedure="false">#REF!</definedName>
    <definedName function="false" hidden="false" name="____________________________________________3_0Criteria" vbProcedure="false">#REF!</definedName>
    <definedName function="false" hidden="false" name="____________________________________________G_0Extr" vbProcedure="false">#REF!</definedName>
    <definedName function="false" hidden="false" name="____________________________________________G_0Extract" vbProcedure="false">#REF!</definedName>
    <definedName function="false" hidden="false" name="_____________________________________________3_0Crite" vbProcedure="false">#REF!</definedName>
    <definedName function="false" hidden="false" name="_____________________________________________3_0Criteria" vbProcedure="false">#REF!</definedName>
    <definedName function="false" hidden="false" name="_____________________________________________G_0Extr" vbProcedure="false">#REF!</definedName>
    <definedName function="false" hidden="false" name="_____________________________________________G_0Extract" vbProcedure="false">#REF!</definedName>
    <definedName function="false" hidden="false" name="______________________________________________3_0Crite" vbProcedure="false">#REF!</definedName>
    <definedName function="false" hidden="false" name="______________________________________________3_0Criteria" vbProcedure="false">#REF!</definedName>
    <definedName function="false" hidden="false" name="______________________________________________G_0Extr" vbProcedure="false">#REF!</definedName>
    <definedName function="false" hidden="false" name="______________________________________________G_0Extract" vbProcedure="false">#REF!</definedName>
    <definedName function="false" hidden="false" name="_______________________________________________3_0Crite" vbProcedure="false">#REF!</definedName>
    <definedName function="false" hidden="false" name="_______________________________________________3_0Criteria" vbProcedure="false">#REF!</definedName>
    <definedName function="false" hidden="false" name="_______________________________________________G_0Extr" vbProcedure="false">#REF!</definedName>
    <definedName function="false" hidden="false" name="_______________________________________________G_0Extract" vbProcedure="false">#REF!</definedName>
    <definedName function="false" hidden="false" name="________________________________________________3_0Crite" vbProcedure="false">#REF!</definedName>
    <definedName function="false" hidden="false" name="________________________________________________3_0Criteria" vbProcedure="false">#REF!</definedName>
    <definedName function="false" hidden="false" name="________________________________________________G_0Extr" vbProcedure="false">#REF!</definedName>
    <definedName function="false" hidden="false" name="________________________________________________G_0Extract" vbProcedure="false">#REF!</definedName>
    <definedName function="false" hidden="false" name="_________________________________________________3_0Crite" vbProcedure="false">#REF!</definedName>
    <definedName function="false" hidden="false" name="_________________________________________________3_0Criteria" vbProcedure="false">#REF!</definedName>
    <definedName function="false" hidden="false" name="_________________________________________________G_0Extr" vbProcedure="false">#REF!</definedName>
    <definedName function="false" hidden="false" name="_________________________________________________G_0Extract" vbProcedure="false">#REF!</definedName>
    <definedName function="false" hidden="false" name="__________________________________________________3_0Crite" vbProcedure="false">#REF!</definedName>
    <definedName function="false" hidden="false" name="__________________________________________________3_0Criteria" vbProcedure="false">#REF!</definedName>
    <definedName function="false" hidden="false" name="__________________________________________________G_0Extr" vbProcedure="false">#REF!</definedName>
    <definedName function="false" hidden="false" name="__________________________________________________G_0Extract" vbProcedure="false">#REF!</definedName>
    <definedName function="false" hidden="false" name="___________________________________________________3_0Crite" vbProcedure="false">#REF!</definedName>
    <definedName function="false" hidden="false" name="___________________________________________________3_0Criteria" vbProcedure="false">#REF!</definedName>
    <definedName function="false" hidden="false" name="___________________________________________________G_0Extr" vbProcedure="false">#REF!</definedName>
    <definedName function="false" hidden="false" name="___________________________________________________G_0Extract" vbProcedure="false">#REF!</definedName>
    <definedName function="false" hidden="false" name="____________________________________________________3_0Crite" vbProcedure="false">#REF!</definedName>
    <definedName function="false" hidden="false" name="____________________________________________________3_0Criteria" vbProcedure="false">#REF!</definedName>
    <definedName function="false" hidden="false" name="____________________________________________________G_0Extr" vbProcedure="false">#REF!</definedName>
    <definedName function="false" hidden="false" name="____________________________________________________G_0Extract" vbProcedure="false">#REF!</definedName>
    <definedName function="false" hidden="false" name="_____________________________________________________3_0Crite" vbProcedure="false">#REF!</definedName>
    <definedName function="false" hidden="false" name="_____________________________________________________3_0Criteria" vbProcedure="false">#REF!</definedName>
    <definedName function="false" hidden="false" name="_____________________________________________________G_0Extr" vbProcedure="false">#REF!</definedName>
    <definedName function="false" hidden="false" name="_____________________________________________________G_0Extract" vbProcedure="false">#REF!</definedName>
    <definedName function="false" hidden="false" name="______________________________________________________3_0Crite" vbProcedure="false">#REF!</definedName>
    <definedName function="false" hidden="false" name="______________________________________________________3_0Criteria" vbProcedure="false">#REF!</definedName>
    <definedName function="false" hidden="false" name="______________________________________________________G_0Extr" vbProcedure="false">#REF!</definedName>
    <definedName function="false" hidden="false" name="______________________________________________________G_0Extract" vbProcedure="false">#REF!</definedName>
    <definedName function="false" hidden="false" name="_______________________________________________________3_0Crite" vbProcedure="false">#REF!</definedName>
    <definedName function="false" hidden="false" name="_______________________________________________________3_0Criteria" vbProcedure="false">#REF!</definedName>
    <definedName function="false" hidden="false" name="_______________________________________________________G_0Extr" vbProcedure="false">#REF!</definedName>
    <definedName function="false" hidden="false" name="_______________________________________________________G_0Extract" vbProcedure="false">#REF!</definedName>
    <definedName function="false" hidden="false" name="________________________________________________________3_0Crite" vbProcedure="false">#REF!</definedName>
    <definedName function="false" hidden="false" name="________________________________________________________3_0Criteria" vbProcedure="false">#REF!</definedName>
    <definedName function="false" hidden="false" name="________________________________________________________G_0Extr" vbProcedure="false">#REF!</definedName>
    <definedName function="false" hidden="false" name="________________________________________________________G_0Extract" vbProcedure="false">#REF!</definedName>
    <definedName function="false" hidden="false" name="_________________________________________________________3_0Crite" vbProcedure="false">#REF!</definedName>
    <definedName function="false" hidden="false" name="_________________________________________________________3_0Criteria" vbProcedure="false">#REF!</definedName>
    <definedName function="false" hidden="false" name="_________________________________________________________G_0Extr" vbProcedure="false">#REF!</definedName>
    <definedName function="false" hidden="false" name="_________________________________________________________G_0Extract" vbProcedure="false">#REF!</definedName>
    <definedName function="false" hidden="false" name="__________________________________________________________3_0Crite" vbProcedure="false">#REF!</definedName>
    <definedName function="false" hidden="false" name="__________________________________________________________3_0Criteria" vbProcedure="false">#REF!</definedName>
    <definedName function="false" hidden="false" name="__________________________________________________________G_0Extr" vbProcedure="false">#REF!</definedName>
    <definedName function="false" hidden="false" name="__________________________________________________________G_0Extract" vbProcedure="false">#REF!</definedName>
    <definedName function="false" hidden="false" name="___________________________________________________________3_0Crite" vbProcedure="false">#REF!</definedName>
    <definedName function="false" hidden="false" name="___________________________________________________________3_0Criteria" vbProcedure="false">#REF!</definedName>
    <definedName function="false" hidden="false" name="___________________________________________________________G_0Extr" vbProcedure="false">#REF!</definedName>
    <definedName function="false" hidden="false" name="___________________________________________________________G_0Extract" vbProcedure="false">#REF!</definedName>
    <definedName function="false" hidden="false" name="____________________________________________________________3_0Crite" vbProcedure="false">#REF!</definedName>
    <definedName function="false" hidden="false" name="____________________________________________________________3_0Criteria" vbProcedure="false">#REF!</definedName>
    <definedName function="false" hidden="false" name="____________________________________________________________G_0Extr" vbProcedure="false">#REF!</definedName>
    <definedName function="false" hidden="false" name="____________________________________________________________G_0Extract" vbProcedure="false">#REF!</definedName>
    <definedName function="false" hidden="false" name="_____________________________________________________________3_0Crite" vbProcedure="false">#REF!</definedName>
    <definedName function="false" hidden="false" name="_____________________________________________________________3_0Criteria" vbProcedure="false">#REF!</definedName>
    <definedName function="false" hidden="false" name="_____________________________________________________________G_0Extr" vbProcedure="false">#REF!</definedName>
    <definedName function="false" hidden="false" name="_____________________________________________________________G_0Extract" vbProcedure="false">#REF!</definedName>
    <definedName function="false" hidden="false" name="______________________________________________________________3_0Crite" vbProcedure="false">#REF!</definedName>
    <definedName function="false" hidden="false" name="______________________________________________________________3_0Criteria" vbProcedure="false">#REF!</definedName>
    <definedName function="false" hidden="false" name="______________________________________________________________G_0Extr" vbProcedure="false">#REF!</definedName>
    <definedName function="false" hidden="false" name="______________________________________________________________G_0Extract" vbProcedure="false">#REF!</definedName>
    <definedName function="false" hidden="false" name="_______________________________________________________________3_0Crite" vbProcedure="false">#REF!</definedName>
    <definedName function="false" hidden="false" name="_______________________________________________________________3_0Criteria" vbProcedure="false">#REF!</definedName>
    <definedName function="false" hidden="false" name="_______________________________________________________________G_0Extr" vbProcedure="false">#REF!</definedName>
    <definedName function="false" hidden="false" name="_______________________________________________________________G_0Extract" vbProcedure="false">#REF!</definedName>
    <definedName function="false" hidden="false" name="________________________________________________________________3_0Crite" vbProcedure="false">#REF!</definedName>
    <definedName function="false" hidden="false" name="________________________________________________________________3_0Criteria" vbProcedure="false">#REF!</definedName>
    <definedName function="false" hidden="false" name="________________________________________________________________G_0Extr" vbProcedure="false">#REF!</definedName>
    <definedName function="false" hidden="false" name="________________________________________________________________G_0Extract" vbProcedure="false">#REF!</definedName>
    <definedName function="false" hidden="false" name="_________________________________________________________________3_0Crite" vbProcedure="false">#REF!</definedName>
    <definedName function="false" hidden="false" name="_________________________________________________________________3_0Criteria" vbProcedure="false">#REF!</definedName>
    <definedName function="false" hidden="false" name="_________________________________________________________________G_0Extr" vbProcedure="false">#REF!</definedName>
    <definedName function="false" hidden="false" name="_________________________________________________________________G_0Extract" vbProcedure="false">#REF!</definedName>
    <definedName function="false" hidden="false" name="__________________________________________________________________3_0Crite" vbProcedure="false">#REF!</definedName>
    <definedName function="false" hidden="false" name="__________________________________________________________________3_0Criteria" vbProcedure="false">#REF!</definedName>
    <definedName function="false" hidden="false" name="__________________________________________________________________G_0Extr" vbProcedure="false">#REF!</definedName>
    <definedName function="false" hidden="false" name="__________________________________________________________________G_0Extract" vbProcedure="false">#REF!</definedName>
    <definedName function="false" hidden="false" name="___________________________________________________________________3_0Crite" vbProcedure="false">#REF!</definedName>
    <definedName function="false" hidden="false" name="___________________________________________________________________3_0Criteria" vbProcedure="false">#REF!</definedName>
    <definedName function="false" hidden="false" name="___________________________________________________________________G_0Extr" vbProcedure="false">#REF!</definedName>
    <definedName function="false" hidden="false" name="___________________________________________________________________G_0Extract" vbProcedure="false">#REF!</definedName>
    <definedName function="false" hidden="false" name="_____________________________________________________________________3_0Crite" vbProcedure="false">#REF!</definedName>
    <definedName function="false" hidden="false" name="_____________________________________________________________________3_0Criteria" vbProcedure="false">#REF!</definedName>
    <definedName function="false" hidden="false" name="_____________________________________________________________________G_0Extr" vbProcedure="false">#REF!</definedName>
    <definedName function="false" hidden="false" name="_____________________________________________________________________G_0Extract" vbProcedure="false">#REF!</definedName>
    <definedName function="false" hidden="false" name="_______________________________________________________________________3_0Crite" vbProcedure="false">#REF!</definedName>
    <definedName function="false" hidden="false" name="_______________________________________________________________________3_0Criteria" vbProcedure="false">#REF!</definedName>
    <definedName function="false" hidden="false" name="_______________________________________________________________________G_0Extr" vbProcedure="false">#REF!</definedName>
    <definedName function="false" hidden="false" name="_______________________________________________________________________G_0Extract" vbProcedure="false">#REF!</definedName>
    <definedName function="false" hidden="false" name="_________________________________________________________________________3_0Crite" vbProcedure="false">#REF!</definedName>
    <definedName function="false" hidden="false" name="_________________________________________________________________________3_0Criteria" vbProcedure="false">#REF!</definedName>
    <definedName function="false" hidden="false" name="_________________________________________________________________________G_0Extr" vbProcedure="false">#REF!</definedName>
    <definedName function="false" hidden="false" name="_________________________________________________________________________G_0Extract" vbProcedure="false">#REF!</definedName>
    <definedName function="false" hidden="false" name="___________________________________________________________________________3_0Crite" vbProcedure="false">#REF!</definedName>
    <definedName function="false" hidden="false" name="___________________________________________________________________________3_0Criteria" vbProcedure="false">#REF!</definedName>
    <definedName function="false" hidden="false" name="___________________________________________________________________________G_0Extr" vbProcedure="false">#REF!</definedName>
    <definedName function="false" hidden="false" name="___________________________________________________________________________G_0Extract" vbProcedure="false">#REF!</definedName>
    <definedName function="false" hidden="false" name="______________________________________________________________________________3_0Crite" vbProcedure="false">#REF!</definedName>
    <definedName function="false" hidden="false" name="______________________________________________________________________________3_0Criteria" vbProcedure="false">#REF!</definedName>
    <definedName function="false" hidden="false" name="______________________________________________________________________________G_0Extr" vbProcedure="false">#REF!</definedName>
    <definedName function="false" hidden="false" name="______________________________________________________________________________G_0Extract" vbProcedure="false">#REF!</definedName>
    <definedName function="false" hidden="false" name="________________________________________________________________________________3_0Crite" vbProcedure="false">#REF!</definedName>
    <definedName function="false" hidden="false" name="________________________________________________________________________________3_0Criteria" vbProcedure="false">#REF!</definedName>
    <definedName function="false" hidden="false" name="________________________________________________________________________________G_0Extr" vbProcedure="false">#REF!</definedName>
    <definedName function="false" hidden="false" name="________________________________________________________________________________G_0Extract" vbProcedure="false">#REF!</definedName>
    <definedName function="false" hidden="false" name="_________________________________________________________________________________3_0Crite" vbProcedure="false">#REF!</definedName>
    <definedName function="false" hidden="false" name="_________________________________________________________________________________3_0Criteria" vbProcedure="false">#REF!</definedName>
    <definedName function="false" hidden="false" name="_________________________________________________________________________________G_0Extr" vbProcedure="false">#REF!</definedName>
    <definedName function="false" hidden="false" name="_________________________________________________________________________________G_0Extract" vbProcedure="false">#REF!</definedName>
    <definedName function="false" hidden="false" name="__________________________________________________________________________________3_0Crite" vbProcedure="false">#REF!</definedName>
    <definedName function="false" hidden="false" name="__________________________________________________________________________________3_0Criteria" vbProcedure="false">#REF!</definedName>
    <definedName function="false" hidden="false" name="__________________________________________________________________________________G_0Extr" vbProcedure="false">#REF!</definedName>
    <definedName function="false" hidden="false" name="__________________________________________________________________________________G_0Extract" vbProcedure="false">#REF!</definedName>
    <definedName function="false" hidden="false" name="____________________________________________________________________________________3_0Crite" vbProcedure="false">#REF!</definedName>
    <definedName function="false" hidden="false" name="____________________________________________________________________________________3_0Criteria" vbProcedure="false">#REF!</definedName>
    <definedName function="false" hidden="false" name="____________________________________________________________________________________G_0Extr" vbProcedure="false">#REF!</definedName>
    <definedName function="false" hidden="false" name="____________________________________________________________________________________G_0Extract" vbProcedure="false">#REF!</definedName>
    <definedName function="false" hidden="false" name="______________________________________________________________________________________3_0Crite" vbProcedure="false">#REF!</definedName>
    <definedName function="false" hidden="false" name="______________________________________________________________________________________3_0Criteria" vbProcedure="false">#REF!</definedName>
    <definedName function="false" hidden="false" name="______________________________________________________________________________________G_0Extr" vbProcedure="false">#REF!</definedName>
    <definedName function="false" hidden="false" name="______________________________________________________________________________________G_0Extract" vbProcedure="false">#REF!</definedName>
    <definedName function="false" hidden="false" name="________________________________________________________________________________________3_0Crite" vbProcedure="false">#REF!</definedName>
    <definedName function="false" hidden="false" name="________________________________________________________________________________________3_0Criteria" vbProcedure="false">#REF!</definedName>
    <definedName function="false" hidden="false" name="________________________________________________________________________________________G_0Extr" vbProcedure="false">#REF!</definedName>
    <definedName function="false" hidden="false" name="________________________________________________________________________________________G_0Extract" vbProcedure="false">#REF!</definedName>
    <definedName function="false" hidden="false" name="__________________________________________________________________________________________3_0Crite" vbProcedure="false">#REF!</definedName>
    <definedName function="false" hidden="false" name="__________________________________________________________________________________________3_0Criteria" vbProcedure="false">#REF!</definedName>
    <definedName function="false" hidden="false" name="__________________________________________________________________________________________G_0Extr" vbProcedure="false">#REF!</definedName>
    <definedName function="false" hidden="false" name="__________________________________________________________________________________________G_0Extract" vbProcedure="false">#REF!</definedName>
    <definedName function="false" hidden="false" name="____________________________________________________________________________________________3_0Crite" vbProcedure="false">#REF!</definedName>
    <definedName function="false" hidden="false" name="____________________________________________________________________________________________3_0Criteria" vbProcedure="false">#REF!</definedName>
    <definedName function="false" hidden="false" name="____________________________________________________________________________________________G_0Extr" vbProcedure="false">#REF!</definedName>
    <definedName function="false" hidden="false" name="____________________________________________________________________________________________G_0Extract" vbProcedure="false">#REF!</definedName>
    <definedName function="false" hidden="false" name="______________________________________________________________________________________________3_0Crite" vbProcedure="false">#REF!</definedName>
    <definedName function="false" hidden="false" name="______________________________________________________________________________________________3_0Criteria" vbProcedure="false">#REF!</definedName>
    <definedName function="false" hidden="false" name="______________________________________________________________________________________________G_0Extr" vbProcedure="false">#REF!</definedName>
    <definedName function="false" hidden="false" name="______________________________________________________________________________________________G_0Extract" vbProcedure="false">#REF!</definedName>
    <definedName function="false" hidden="false" name="________________________________________________________________________________________________3_0Crite" vbProcedure="false">#REF!</definedName>
    <definedName function="false" hidden="false" name="________________________________________________________________________________________________3_0Criteria" vbProcedure="false">#REF!</definedName>
    <definedName function="false" hidden="false" name="________________________________________________________________________________________________G_0Extr" vbProcedure="false">#REF!</definedName>
    <definedName function="false" hidden="false" name="________________________________________________________________________________________________G_0Extract" vbProcedure="false">#REF!</definedName>
    <definedName function="false" hidden="false" name="__________________________________________________________________________________________________3_0Crite" vbProcedure="false">#REF!</definedName>
    <definedName function="false" hidden="false" name="__________________________________________________________________________________________________3_0Criteria" vbProcedure="false">#REF!</definedName>
    <definedName function="false" hidden="false" name="__________________________________________________________________________________________________G_0Extr" vbProcedure="false">#REF!</definedName>
    <definedName function="false" hidden="false" name="__________________________________________________________________________________________________G_0Extract" vbProcedure="false">#REF!</definedName>
    <definedName function="false" hidden="false" name="ㄱ" vbProcedure="false">#REF!</definedName>
    <definedName function="false" hidden="false" name="ㄴ" vbProcedure="false">[7]토목주소!$A$1</definedName>
    <definedName function="false" hidden="false" name="ㄷ" vbProcedure="false">#REF!</definedName>
    <definedName function="false" hidden="false" name="ㄷㄱㄱㄱㄱ" vbProcedure="false">#REF!</definedName>
    <definedName function="false" hidden="false" name="ㄷㅈ" vbProcedure="false">[4]!Macro2</definedName>
    <definedName function="false" hidden="false" name="ㅁ" vbProcedure="false">#REF!</definedName>
    <definedName function="false" hidden="false" name="ㅁ89" vbProcedure="false">#REF!</definedName>
    <definedName function="false" hidden="false" name="ㅂ" vbProcedure="false">#REF!</definedName>
    <definedName function="false" hidden="false" name="ㅅ" vbProcedure="false">#REF!</definedName>
    <definedName function="false" hidden="false" name="ㅇㄴㄹㄴㅁㄹㄹㅁㄴㄹㄴㄹㅁㄴㄹㅁㄴㄻㄴㄻㄴㄻㄴㄻㄴㄻㄴㄹㄴㅁㅇㄹ" vbProcedure="false">[3]내역서!$A$1</definedName>
    <definedName function="false" hidden="false" name="ㅇㄹㅇㄴㅇㅎㅇㅎㄴㅀ" vbProcedure="false">#REF!</definedName>
    <definedName function="false" hidden="false" name="ㅇㅇ" vbProcedure="false">#REF!</definedName>
    <definedName function="false" hidden="false" name="ㅇㅇㅇㅇㅇㅇㅇㅇㅇㅇㅇㅇ" vbProcedure="false">[8]!Macro13</definedName>
    <definedName function="false" hidden="false" name="ㅈ" vbProcedure="false">#REF!</definedName>
    <definedName function="false" hidden="false" name="ㅈㅈㅈ" vbProcedure="false">[9]프랜트면허!$A$1</definedName>
    <definedName function="false" hidden="false" name="ㅎㅎㅎㅎㅎㅎㅎ" vbProcedure="false">[10]현대물량!DH$25967</definedName>
    <definedName function="false" hidden="false" name="ㅑ" vbProcedure="false">[10]현대물량!$A$1</definedName>
    <definedName function="false" hidden="false" name="ㅕ" vbProcedure="false">#REF!</definedName>
    <definedName function="false" hidden="false" name="ㅕㅕㅕㅕㅕㅕㅕㅕㅕㅕㅕㅕㅕㅕㅕㅕㅕㅕㅕㅕㅕㅕㅕ" vbProcedure="false">#REF!</definedName>
    <definedName function="false" hidden="false" name="ㅛ" vbProcedure="false">[11]원가계산서!$A$1</definedName>
    <definedName function="false" hidden="false" name="ㅠㅠ9" vbProcedure="false">#REF!</definedName>
    <definedName function="false" hidden="false" name="가" vbProcedure="false">[12]주요항목별!CP$23645</definedName>
    <definedName function="false" hidden="false" name="가압지" vbProcedure="false">#REF!</definedName>
    <definedName function="false" hidden="false" name="갑지" vbProcedure="false">[13]주요항목별!CP$23645</definedName>
    <definedName function="false" hidden="false" name="거거실실제제연연" vbProcedure="false">#REF!,#REF!</definedName>
    <definedName function="false" hidden="false" name="거실" vbProcedure="false">#REF!</definedName>
    <definedName function="false" hidden="false" name="경비" vbProcedure="false">#REF!</definedName>
    <definedName function="false" hidden="false" name="공조실급수2" vbProcedure="false">#REF!</definedName>
    <definedName function="false" hidden="false" name="공종01" vbProcedure="false">#REF!</definedName>
    <definedName function="false" hidden="false" name="공종02" vbProcedure="false">#REF!</definedName>
    <definedName function="false" hidden="false" name="공종03" vbProcedure="false">#REF!</definedName>
    <definedName function="false" hidden="false" name="공종04" vbProcedure="false">#REF!</definedName>
    <definedName function="false" hidden="false" name="공종05" vbProcedure="false">#REF!</definedName>
    <definedName function="false" hidden="false" name="공종06" vbProcedure="false">#REF!</definedName>
    <definedName function="false" hidden="false" name="공종07" vbProcedure="false">#REF!</definedName>
    <definedName function="false" hidden="false" name="공종08" vbProcedure="false">#REF!</definedName>
    <definedName function="false" hidden="false" name="공종09" vbProcedure="false">#REF!</definedName>
    <definedName function="false" hidden="false" name="공종10" vbProcedure="false">#REF!</definedName>
    <definedName function="false" hidden="false" name="공종11" vbProcedure="false">#REF!</definedName>
    <definedName function="false" hidden="false" name="공종집계" vbProcedure="false">#REF!</definedName>
    <definedName function="false" hidden="false" name="관급" vbProcedure="false">#REF!,#REF!,#REF!</definedName>
    <definedName function="false" hidden="false" name="나" vbProcedure="false">[15]현대물량!$A$1</definedName>
    <definedName function="false" hidden="false" name="노무" vbProcedure="false">#REF!</definedName>
    <definedName function="false" hidden="false" name="노임" vbProcedure="false">#REF!</definedName>
    <definedName function="false" hidden="false" name="단가비교표" vbProcedure="false">#REF!,#REF!</definedName>
    <definedName function="false" hidden="false" name="단가품명" vbProcedure="false">#REF!</definedName>
    <definedName function="false" hidden="false" name="대동" vbProcedure="false">#REF!</definedName>
    <definedName function="false" hidden="false" name="동" vbProcedure="false">[7]프랜트면허!$D$4</definedName>
    <definedName function="false" hidden="false" name="동국대불교병원" vbProcedure="false">#REF!</definedName>
    <definedName function="false" hidden="false" name="로" vbProcedure="false">[7]토목주소!$A$1</definedName>
    <definedName function="false" hidden="false" name="배______관" vbProcedure="false">#REF!</definedName>
    <definedName function="false" hidden="false" name="보지" vbProcedure="false">[10]현대물량!$A$1</definedName>
    <definedName function="false" hidden="false" name="비목집계" vbProcedure="false">#REF!</definedName>
    <definedName function="false" hidden="false" name="설계내역서" vbProcedure="false">[16]설계내역서!$B$1:$P$6857</definedName>
    <definedName function="false" hidden="false" name="설계집계" vbProcedure="false">[17]b_balju!$A$1:$S$6388</definedName>
    <definedName function="false" hidden="false" name="오잉" vbProcedure="false">[8]원가계산서!$A$1</definedName>
    <definedName function="false" hidden="false" name="위병면회소" vbProcedure="false">[11]원가계산서!$A$1</definedName>
    <definedName function="false" hidden="false" name="일위" vbProcedure="false">#REF!,#REF!</definedName>
    <definedName function="false" hidden="false" name="임현수" vbProcedure="false">#REF!</definedName>
    <definedName function="false" hidden="false" name="자지" vbProcedure="false">[15]현대물량!$A$1</definedName>
    <definedName function="false" hidden="false" name="자탐1" vbProcedure="false">#REF!</definedName>
    <definedName function="false" hidden="false" name="재료" vbProcedure="false">#REF!</definedName>
    <definedName function="false" hidden="false" name="전체_1설계_" vbProcedure="false">#REF!</definedName>
    <definedName function="false" hidden="false" name="제연" vbProcedure="false">[7]프랜트면허!CP$23645</definedName>
    <definedName function="false" hidden="false" name="중기" vbProcedure="false">#REF!</definedName>
    <definedName function="false" hidden="false" name="펌프기동" vbProcedure="false">#REF!</definedName>
    <definedName function="false" hidden="false" name="품명" vbProcedure="false">#REF!</definedName>
    <definedName function="false" hidden="false" name="현대물량" vbProcedure="false">[19]현대물량!CY$25958</definedName>
    <definedName function="false" hidden="false" name="호" vbProcedure="false">#REF!</definedName>
    <definedName function="false" hidden="false" name="호홓" vbProcedure="false">[13]주요항목별!CY$25958</definedName>
    <definedName function="false" hidden="false" localSheetId="3" name="Macro10" vbProcedure="false">[4]!Macro10</definedName>
    <definedName function="false" hidden="false" localSheetId="3" name="Macro12" vbProcedure="false">[4]!Macro12</definedName>
    <definedName function="false" hidden="false" localSheetId="3" name="Macro13" vbProcedure="false">[4]!Macro13</definedName>
    <definedName function="false" hidden="false" localSheetId="3" name="Macro14" vbProcedure="false">[4]!Macro14</definedName>
    <definedName function="false" hidden="false" localSheetId="3" name="Macro2" vbProcedure="false">[4]!Macro2</definedName>
    <definedName function="false" hidden="false" localSheetId="3" name="Macro5" vbProcedure="false">[4]!Macro5</definedName>
    <definedName function="false" hidden="false" localSheetId="3" name="Macro6" vbProcedure="false">[4]!Macro6</definedName>
    <definedName function="false" hidden="false" localSheetId="3" name="Macro7" vbProcedure="false">[4]!Macro7</definedName>
    <definedName function="false" hidden="false" localSheetId="3" name="Macro8" vbProcedure="false">[4]!Macro8</definedName>
    <definedName function="false" hidden="false" localSheetId="3" name="Macro9" vbProcedure="false">[4]!Macro9</definedName>
    <definedName function="false" hidden="false" localSheetId="3" name="ㄷㅈ" vbProcedure="false">[4]!Macro2</definedName>
    <definedName function="false" hidden="false" localSheetId="3" name="ㅇㅇㅇㅇㅇㅇㅇㅇㅇㅇㅇㅇ" vbProcedure="false">[8]!Macro13</definedName>
    <definedName function="false" hidden="false" localSheetId="6" name="Macro10" vbProcedure="false">[4]!Macro10</definedName>
    <definedName function="false" hidden="false" localSheetId="6" name="Macro12" vbProcedure="false">[4]!Macro12</definedName>
    <definedName function="false" hidden="false" localSheetId="6" name="Macro13" vbProcedure="false">[4]!Macro13</definedName>
    <definedName function="false" hidden="false" localSheetId="6" name="Macro14" vbProcedure="false">[4]!Macro14</definedName>
    <definedName function="false" hidden="false" localSheetId="6" name="Macro2" vbProcedure="false">[4]!Macro2</definedName>
    <definedName function="false" hidden="false" localSheetId="6" name="Macro5" vbProcedure="false">[4]!Macro5</definedName>
    <definedName function="false" hidden="false" localSheetId="6" name="Macro6" vbProcedure="false">[4]!Macro6</definedName>
    <definedName function="false" hidden="false" localSheetId="6" name="Macro7" vbProcedure="false">[4]!Macro7</definedName>
    <definedName function="false" hidden="false" localSheetId="6" name="Macro8" vbProcedure="false">[4]!Macro8</definedName>
    <definedName function="false" hidden="false" localSheetId="6" name="Macro9" vbProcedure="false">[4]!Macro9</definedName>
    <definedName function="false" hidden="false" localSheetId="6" name="ㄷㅈ" vbProcedure="false">[4]!Macro2</definedName>
    <definedName function="false" hidden="false" localSheetId="6" name="ㅇㅇㅇㅇㅇㅇㅇㅇㅇㅇㅇㅇ" vbProcedure="false">[8]!Macro13</definedName>
    <definedName function="false" hidden="false" localSheetId="12" name="_3_0Crite" vbProcedure="false">#REF!</definedName>
    <definedName function="false" hidden="false" localSheetId="12" name="_3_0Criteria" vbProcedure="false">#REF!</definedName>
    <definedName function="false" hidden="false" localSheetId="12" name="_3_?Crite" vbProcedure="false">#REF!</definedName>
    <definedName function="false" hidden="false" localSheetId="12" name="_3_?Criteria" vbProcedure="false">#REF!</definedName>
    <definedName function="false" hidden="false" localSheetId="12" name="DANGA" vbProcedure="false">#REF!,#REF!</definedName>
    <definedName function="false" hidden="false" localSheetId="12" name="Excel_BuiltIn_Database" vbProcedure="false">#REF!</definedName>
    <definedName function="false" hidden="false" localSheetId="12" name="Excel_BuiltIn_Print_Area" vbProcedure="false">#REF!</definedName>
    <definedName function="false" hidden="false" localSheetId="12" name="Excel_BuiltIn_Print_Titles" vbProcedure="false">#REF!</definedName>
    <definedName function="false" hidden="false" localSheetId="12" name="G_0Extr" vbProcedure="false">#REF!</definedName>
    <definedName function="false" hidden="false" localSheetId="12" name="G_0Extract" vbProcedure="false">#REF!</definedName>
    <definedName function="false" hidden="false" localSheetId="12" name="G_?Extr" vbProcedure="false">#REF!</definedName>
    <definedName function="false" hidden="false" localSheetId="12" name="G_?Extract" vbProcedure="false">#REF!</definedName>
    <definedName function="false" hidden="false" localSheetId="12" name="GONGJONG" vbProcedure="false">#REF!</definedName>
    <definedName function="false" hidden="false" localSheetId="12" name="ID" vbProcedure="false">#REF!,#REF!</definedName>
    <definedName function="false" hidden="false" localSheetId="12" name="Macro10" vbProcedure="false">[4]!Macro10</definedName>
    <definedName function="false" hidden="false" localSheetId="12" name="Macro12" vbProcedure="false">[4]!Macro12</definedName>
    <definedName function="false" hidden="false" localSheetId="12" name="Macro13" vbProcedure="false">[4]!Macro13</definedName>
    <definedName function="false" hidden="false" localSheetId="12" name="Macro14" vbProcedure="false">[4]!Macro14</definedName>
    <definedName function="false" hidden="false" localSheetId="12" name="Macro2" vbProcedure="false">[4]!Macro2</definedName>
    <definedName function="false" hidden="false" localSheetId="12" name="Macro5" vbProcedure="false">[4]!Macro5</definedName>
    <definedName function="false" hidden="false" localSheetId="12" name="Macro6" vbProcedure="false">[4]!Macro6</definedName>
    <definedName function="false" hidden="false" localSheetId="12" name="Macro7" vbProcedure="false">[4]!Macro7</definedName>
    <definedName function="false" hidden="false" localSheetId="12" name="Macro8" vbProcedure="false">[4]!Macro8</definedName>
    <definedName function="false" hidden="false" localSheetId="12" name="Macro9" vbProcedure="false">[4]!Macro9</definedName>
    <definedName function="false" hidden="false" localSheetId="12" name="Main" vbProcedure="false">#REF!</definedName>
    <definedName function="false" hidden="false" localSheetId="12" name="MAINPART" vbProcedure="false">[5]내역서!$A$1</definedName>
    <definedName function="false" hidden="false" localSheetId="12" name="MONEY" vbProcedure="false">#REF!,#REF!</definedName>
    <definedName function="false" hidden="false" localSheetId="12" name="nego2" vbProcedure="false">#REF!</definedName>
    <definedName function="false" hidden="false" localSheetId="12" name="NYDATA" vbProcedure="false">#REF!</definedName>
    <definedName function="false" hidden="false" localSheetId="12" name="PRINT_AREA_MI" vbProcedure="false">#REF!</definedName>
    <definedName function="false" hidden="false" localSheetId="12" name="PRINT_TITLES_MI" vbProcedure="false">#REF!</definedName>
    <definedName function="false" hidden="false" localSheetId="12" name="SubDic" vbProcedure="false">#REF!</definedName>
    <definedName function="false" hidden="false" localSheetId="12" name="_a" vbProcedure="false">#REF!</definedName>
    <definedName function="false" hidden="false" localSheetId="12" name="_b" vbProcedure="false">#REF!</definedName>
    <definedName function="false" hidden="false" localSheetId="12" name="_c" vbProcedure="false">#REF!</definedName>
    <definedName function="false" hidden="false" localSheetId="12" name="_12G_0Extract" vbProcedure="false">#REF!</definedName>
    <definedName function="false" hidden="false" localSheetId="12" name="_151_3_0Criteria" vbProcedure="false">#REF!</definedName>
    <definedName function="false" hidden="false" localSheetId="12" name="_152_3_0Criteria" vbProcedure="false">#REF!</definedName>
    <definedName function="false" hidden="false" localSheetId="12" name="_165_3__Crite" vbProcedure="false">#REF!</definedName>
    <definedName function="false" hidden="false" localSheetId="12" name="_178_3__Criteria" vbProcedure="false">#REF!</definedName>
    <definedName function="false" hidden="false" localSheetId="12" name="_1_3_0Crite" vbProcedure="false">#REF!</definedName>
    <definedName function="false" hidden="false" localSheetId="12" name="_253G_0Extr" vbProcedure="false">#REF!</definedName>
    <definedName function="false" hidden="false" localSheetId="12" name="_254G_0Extr" vbProcedure="false">#REF!</definedName>
    <definedName function="false" hidden="false" localSheetId="12" name="_2_3_0Criteria" vbProcedure="false">#REF!</definedName>
    <definedName function="false" hidden="false" localSheetId="12" name="_3_0Crite" vbProcedure="false">#REF!</definedName>
    <definedName function="false" hidden="false" localSheetId="12" name="_3_0Criteria" vbProcedure="false">#REF!</definedName>
    <definedName function="false" hidden="false" localSheetId="12" name="_3_?Crite" vbProcedure="false">#REF!</definedName>
    <definedName function="false" hidden="false" localSheetId="12" name="_3_?Criteria" vbProcedure="false">#REF!</definedName>
    <definedName function="false" hidden="false" localSheetId="12" name="_329G_0Extract" vbProcedure="false">#REF!</definedName>
    <definedName function="false" hidden="false" localSheetId="12" name="_330G_0Extract" vbProcedure="false">#REF!</definedName>
    <definedName function="false" hidden="false" localSheetId="12" name="_343G__Extr" vbProcedure="false">#REF!</definedName>
    <definedName function="false" hidden="false" localSheetId="12" name="_356G__Extract" vbProcedure="false">#REF!</definedName>
    <definedName function="false" hidden="false" localSheetId="12" name="_3_3_0Crite" vbProcedure="false">#REF!</definedName>
    <definedName function="false" hidden="false" localSheetId="12" name="_3_3__Crite" vbProcedure="false">#REF!</definedName>
    <definedName function="false" hidden="false" localSheetId="12" name="_4_3__Criteria" vbProcedure="false">#REF!</definedName>
    <definedName function="false" hidden="false" localSheetId="12" name="_5G_0Extr" vbProcedure="false">#REF!</definedName>
    <definedName function="false" hidden="false" localSheetId="12" name="_6G_0Extract" vbProcedure="false">#REF!</definedName>
    <definedName function="false" hidden="false" localSheetId="12" name="_6_3_0Criteria" vbProcedure="false">#REF!</definedName>
    <definedName function="false" hidden="false" localSheetId="12" name="_75_3_0Crite" vbProcedure="false">#REF!</definedName>
    <definedName function="false" hidden="false" localSheetId="12" name="_76_3_0Crite" vbProcedure="false">#REF!</definedName>
    <definedName function="false" hidden="false" localSheetId="12" name="_7G__Extr" vbProcedure="false">#REF!</definedName>
    <definedName function="false" hidden="false" localSheetId="12" name="_8G__Extract" vbProcedure="false">#REF!</definedName>
    <definedName function="false" hidden="false" localSheetId="12" name="_9G_0Extr" vbProcedure="false">#REF!</definedName>
    <definedName function="false" hidden="false" localSheetId="12" name="_Fill" vbProcedure="false">#REF!</definedName>
    <definedName function="false" hidden="false" localSheetId="12" name="_G_0Extr" vbProcedure="false">#REF!</definedName>
    <definedName function="false" hidden="false" localSheetId="12" name="_G_0Extract" vbProcedure="false">#REF!</definedName>
    <definedName function="false" hidden="false" localSheetId="12" name="_G_?Extr" vbProcedure="false">#REF!</definedName>
    <definedName function="false" hidden="false" localSheetId="12" name="_G_?Extract" vbProcedure="false">#REF!</definedName>
    <definedName function="false" hidden="false" localSheetId="12" name="_Key1" vbProcedure="false">[7]토목주소!CP$23645</definedName>
    <definedName function="false" hidden="false" localSheetId="12" name="_Key2" vbProcedure="false">[7]프랜트면허!CP$23645</definedName>
    <definedName function="false" hidden="false" localSheetId="12" name="_Sort" vbProcedure="false">[7]토목주소!CP$23645</definedName>
    <definedName function="false" hidden="false" localSheetId="12" name="__3_0Crite" vbProcedure="false">#REF!</definedName>
    <definedName function="false" hidden="false" localSheetId="12" name="__3_0Criteria" vbProcedure="false">#REF!</definedName>
    <definedName function="false" hidden="false" localSheetId="12" name="__G_0Extr" vbProcedure="false">#REF!</definedName>
    <definedName function="false" hidden="false" localSheetId="12" name="__G_0Extract" vbProcedure="false">#REF!</definedName>
    <definedName function="false" hidden="false" localSheetId="12" name="___3_0Crite" vbProcedure="false">#REF!</definedName>
    <definedName function="false" hidden="false" localSheetId="12" name="___3_0Criteria" vbProcedure="false">#REF!</definedName>
    <definedName function="false" hidden="false" localSheetId="12" name="___G_0Extr" vbProcedure="false">#REF!</definedName>
    <definedName function="false" hidden="false" localSheetId="12" name="___G_0Extract" vbProcedure="false">#REF!</definedName>
    <definedName function="false" hidden="false" localSheetId="12" name="____3_0Crite" vbProcedure="false">#REF!</definedName>
    <definedName function="false" hidden="false" localSheetId="12" name="____3_0Criteria" vbProcedure="false">#REF!</definedName>
    <definedName function="false" hidden="false" localSheetId="12" name="____G_0Extr" vbProcedure="false">#REF!</definedName>
    <definedName function="false" hidden="false" localSheetId="12" name="____G_0Extract" vbProcedure="false">#REF!</definedName>
    <definedName function="false" hidden="false" localSheetId="12" name="_____3_0Crite" vbProcedure="false">#REF!</definedName>
    <definedName function="false" hidden="false" localSheetId="12" name="_____3_0Criteria" vbProcedure="false">#REF!</definedName>
    <definedName function="false" hidden="false" localSheetId="12" name="_____G_0Extr" vbProcedure="false">#REF!</definedName>
    <definedName function="false" hidden="false" localSheetId="12" name="_____G_0Extract" vbProcedure="false">#REF!</definedName>
    <definedName function="false" hidden="false" localSheetId="12" name="______3_0Crite" vbProcedure="false">#REF!</definedName>
    <definedName function="false" hidden="false" localSheetId="12" name="______3_0Criteria" vbProcedure="false">#REF!</definedName>
    <definedName function="false" hidden="false" localSheetId="12" name="______G_0Extr" vbProcedure="false">#REF!</definedName>
    <definedName function="false" hidden="false" localSheetId="12" name="______G_0Extract" vbProcedure="false">#REF!</definedName>
    <definedName function="false" hidden="false" localSheetId="12" name="_______3_0Crite" vbProcedure="false">#REF!</definedName>
    <definedName function="false" hidden="false" localSheetId="12" name="_______3_0Criteria" vbProcedure="false">#REF!</definedName>
    <definedName function="false" hidden="false" localSheetId="12" name="_______G_0Extr" vbProcedure="false">#REF!</definedName>
    <definedName function="false" hidden="false" localSheetId="12" name="_______G_0Extract" vbProcedure="false">#REF!</definedName>
    <definedName function="false" hidden="false" localSheetId="12" name="________3_0Crite" vbProcedure="false">#REF!</definedName>
    <definedName function="false" hidden="false" localSheetId="12" name="________3_0Criteria" vbProcedure="false">#REF!</definedName>
    <definedName function="false" hidden="false" localSheetId="12" name="________G_0Extr" vbProcedure="false">#REF!</definedName>
    <definedName function="false" hidden="false" localSheetId="12" name="________G_0Extract" vbProcedure="false">#REF!</definedName>
    <definedName function="false" hidden="false" localSheetId="12" name="_________3_0Crite" vbProcedure="false">#REF!</definedName>
    <definedName function="false" hidden="false" localSheetId="12" name="_________3_0Criteria" vbProcedure="false">#REF!</definedName>
    <definedName function="false" hidden="false" localSheetId="12" name="_________G_0Extr" vbProcedure="false">#REF!</definedName>
    <definedName function="false" hidden="false" localSheetId="12" name="_________G_0Extract" vbProcedure="false">#REF!</definedName>
    <definedName function="false" hidden="false" localSheetId="12" name="__________3_0Crite" vbProcedure="false">#REF!</definedName>
    <definedName function="false" hidden="false" localSheetId="12" name="__________3_0Criteria" vbProcedure="false">#REF!</definedName>
    <definedName function="false" hidden="false" localSheetId="12" name="__________G_0Extr" vbProcedure="false">#REF!</definedName>
    <definedName function="false" hidden="false" localSheetId="12" name="__________G_0Extract" vbProcedure="false">#REF!</definedName>
    <definedName function="false" hidden="false" localSheetId="12" name="___________3_0Crite" vbProcedure="false">#REF!</definedName>
    <definedName function="false" hidden="false" localSheetId="12" name="___________3_0Criteria" vbProcedure="false">#REF!</definedName>
    <definedName function="false" hidden="false" localSheetId="12" name="___________G_0Extr" vbProcedure="false">#REF!</definedName>
    <definedName function="false" hidden="false" localSheetId="12" name="___________G_0Extract" vbProcedure="false">#REF!</definedName>
    <definedName function="false" hidden="false" localSheetId="12" name="____________3_0Crite" vbProcedure="false">#REF!</definedName>
    <definedName function="false" hidden="false" localSheetId="12" name="____________3_0Criteria" vbProcedure="false">#REF!</definedName>
    <definedName function="false" hidden="false" localSheetId="12" name="____________G_0Extr" vbProcedure="false">#REF!</definedName>
    <definedName function="false" hidden="false" localSheetId="12" name="____________G_0Extract" vbProcedure="false">#REF!</definedName>
    <definedName function="false" hidden="false" localSheetId="12" name="_____________3_0Crite" vbProcedure="false">#REF!</definedName>
    <definedName function="false" hidden="false" localSheetId="12" name="_____________3_0Criteria" vbProcedure="false">#REF!</definedName>
    <definedName function="false" hidden="false" localSheetId="12" name="_____________G_0Extr" vbProcedure="false">#REF!</definedName>
    <definedName function="false" hidden="false" localSheetId="12" name="_____________G_0Extract" vbProcedure="false">#REF!</definedName>
    <definedName function="false" hidden="false" localSheetId="12" name="______________3_0Crite" vbProcedure="false">#REF!</definedName>
    <definedName function="false" hidden="false" localSheetId="12" name="______________3_0Criteria" vbProcedure="false">#REF!</definedName>
    <definedName function="false" hidden="false" localSheetId="12" name="______________G_0Extr" vbProcedure="false">#REF!</definedName>
    <definedName function="false" hidden="false" localSheetId="12" name="______________G_0Extract" vbProcedure="false">#REF!</definedName>
    <definedName function="false" hidden="false" localSheetId="12" name="_______________3_0Crite" vbProcedure="false">#REF!</definedName>
    <definedName function="false" hidden="false" localSheetId="12" name="_______________3_0Criteria" vbProcedure="false">#REF!</definedName>
    <definedName function="false" hidden="false" localSheetId="12" name="_______________G_0Extr" vbProcedure="false">#REF!</definedName>
    <definedName function="false" hidden="false" localSheetId="12" name="_______________G_0Extract" vbProcedure="false">#REF!</definedName>
    <definedName function="false" hidden="false" localSheetId="12" name="________________3_0Crite" vbProcedure="false">#REF!</definedName>
    <definedName function="false" hidden="false" localSheetId="12" name="________________3_0Criteria" vbProcedure="false">#REF!</definedName>
    <definedName function="false" hidden="false" localSheetId="12" name="________________G_0Extr" vbProcedure="false">#REF!</definedName>
    <definedName function="false" hidden="false" localSheetId="12" name="________________G_0Extract" vbProcedure="false">#REF!</definedName>
    <definedName function="false" hidden="false" localSheetId="12" name="_________________3_0Crite" vbProcedure="false">#REF!</definedName>
    <definedName function="false" hidden="false" localSheetId="12" name="_________________3_0Criteria" vbProcedure="false">#REF!</definedName>
    <definedName function="false" hidden="false" localSheetId="12" name="_________________G_0Extr" vbProcedure="false">#REF!</definedName>
    <definedName function="false" hidden="false" localSheetId="12" name="_________________G_0Extract" vbProcedure="false">#REF!</definedName>
    <definedName function="false" hidden="false" localSheetId="12" name="__________________3_0Crite" vbProcedure="false">#REF!</definedName>
    <definedName function="false" hidden="false" localSheetId="12" name="__________________3_0Criteria" vbProcedure="false">#REF!</definedName>
    <definedName function="false" hidden="false" localSheetId="12" name="__________________G_0Extr" vbProcedure="false">#REF!</definedName>
    <definedName function="false" hidden="false" localSheetId="12" name="__________________G_0Extract" vbProcedure="false">#REF!</definedName>
    <definedName function="false" hidden="false" localSheetId="12" name="___________________3_0Crite" vbProcedure="false">#REF!</definedName>
    <definedName function="false" hidden="false" localSheetId="12" name="___________________3_0Criteria" vbProcedure="false">#REF!</definedName>
    <definedName function="false" hidden="false" localSheetId="12" name="___________________G_0Extr" vbProcedure="false">#REF!</definedName>
    <definedName function="false" hidden="false" localSheetId="12" name="___________________G_0Extract" vbProcedure="false">#REF!</definedName>
    <definedName function="false" hidden="false" localSheetId="12" name="____________________3_0Crite" vbProcedure="false">#REF!</definedName>
    <definedName function="false" hidden="false" localSheetId="12" name="____________________3_0Criteria" vbProcedure="false">#REF!</definedName>
    <definedName function="false" hidden="false" localSheetId="12" name="____________________G_0Extr" vbProcedure="false">#REF!</definedName>
    <definedName function="false" hidden="false" localSheetId="12" name="____________________G_0Extract" vbProcedure="false">#REF!</definedName>
    <definedName function="false" hidden="false" localSheetId="12" name="_____________________3_0Crite" vbProcedure="false">#REF!</definedName>
    <definedName function="false" hidden="false" localSheetId="12" name="_____________________3_0Criteria" vbProcedure="false">#REF!</definedName>
    <definedName function="false" hidden="false" localSheetId="12" name="_____________________G_0Extr" vbProcedure="false">#REF!</definedName>
    <definedName function="false" hidden="false" localSheetId="12" name="_____________________G_0Extract" vbProcedure="false">#REF!</definedName>
    <definedName function="false" hidden="false" localSheetId="12" name="______________________3_0Crite" vbProcedure="false">#REF!</definedName>
    <definedName function="false" hidden="false" localSheetId="12" name="______________________3_0Criteria" vbProcedure="false">#REF!</definedName>
    <definedName function="false" hidden="false" localSheetId="12" name="______________________G_0Extr" vbProcedure="false">#REF!</definedName>
    <definedName function="false" hidden="false" localSheetId="12" name="______________________G_0Extract" vbProcedure="false">#REF!</definedName>
    <definedName function="false" hidden="false" localSheetId="12" name="_______________________3_0Crite" vbProcedure="false">#REF!</definedName>
    <definedName function="false" hidden="false" localSheetId="12" name="_______________________3_0Criteria" vbProcedure="false">#REF!</definedName>
    <definedName function="false" hidden="false" localSheetId="12" name="_______________________G_0Extr" vbProcedure="false">#REF!</definedName>
    <definedName function="false" hidden="false" localSheetId="12" name="_______________________G_0Extract" vbProcedure="false">#REF!</definedName>
    <definedName function="false" hidden="false" localSheetId="12" name="________________________3_0Crite" vbProcedure="false">#REF!</definedName>
    <definedName function="false" hidden="false" localSheetId="12" name="________________________3_0Criteria" vbProcedure="false">#REF!</definedName>
    <definedName function="false" hidden="false" localSheetId="12" name="________________________G_0Extr" vbProcedure="false">#REF!</definedName>
    <definedName function="false" hidden="false" localSheetId="12" name="________________________G_0Extract" vbProcedure="false">#REF!</definedName>
    <definedName function="false" hidden="false" localSheetId="12" name="_________________________3_0Crite" vbProcedure="false">#REF!</definedName>
    <definedName function="false" hidden="false" localSheetId="12" name="_________________________3_0Criteria" vbProcedure="false">#REF!</definedName>
    <definedName function="false" hidden="false" localSheetId="12" name="_________________________G_0Extr" vbProcedure="false">#REF!</definedName>
    <definedName function="false" hidden="false" localSheetId="12" name="_________________________G_0Extract" vbProcedure="false">#REF!</definedName>
    <definedName function="false" hidden="false" localSheetId="12" name="__________________________3_0Crite" vbProcedure="false">#REF!</definedName>
    <definedName function="false" hidden="false" localSheetId="12" name="__________________________3_0Criteria" vbProcedure="false">#REF!</definedName>
    <definedName function="false" hidden="false" localSheetId="12" name="__________________________G_0Extr" vbProcedure="false">#REF!</definedName>
    <definedName function="false" hidden="false" localSheetId="12" name="__________________________G_0Extract" vbProcedure="false">#REF!</definedName>
    <definedName function="false" hidden="false" localSheetId="12" name="___________________________3_0Crite" vbProcedure="false">#REF!</definedName>
    <definedName function="false" hidden="false" localSheetId="12" name="___________________________3_0Criteria" vbProcedure="false">#REF!</definedName>
    <definedName function="false" hidden="false" localSheetId="12" name="___________________________G_0Extr" vbProcedure="false">#REF!</definedName>
    <definedName function="false" hidden="false" localSheetId="12" name="___________________________G_0Extract" vbProcedure="false">#REF!</definedName>
    <definedName function="false" hidden="false" localSheetId="12" name="____________________________3_0Crite" vbProcedure="false">#REF!</definedName>
    <definedName function="false" hidden="false" localSheetId="12" name="____________________________3_0Criteria" vbProcedure="false">#REF!</definedName>
    <definedName function="false" hidden="false" localSheetId="12" name="____________________________G_0Extr" vbProcedure="false">#REF!</definedName>
    <definedName function="false" hidden="false" localSheetId="12" name="____________________________G_0Extract" vbProcedure="false">#REF!</definedName>
    <definedName function="false" hidden="false" localSheetId="12" name="_____________________________3_0Crite" vbProcedure="false">#REF!</definedName>
    <definedName function="false" hidden="false" localSheetId="12" name="_____________________________3_0Criteria" vbProcedure="false">#REF!</definedName>
    <definedName function="false" hidden="false" localSheetId="12" name="_____________________________G_0Extr" vbProcedure="false">#REF!</definedName>
    <definedName function="false" hidden="false" localSheetId="12" name="_____________________________G_0Extract" vbProcedure="false">#REF!</definedName>
    <definedName function="false" hidden="false" localSheetId="12" name="______________________________3_0Crite" vbProcedure="false">#REF!</definedName>
    <definedName function="false" hidden="false" localSheetId="12" name="______________________________3_0Criteria" vbProcedure="false">#REF!</definedName>
    <definedName function="false" hidden="false" localSheetId="12" name="______________________________G_0Extr" vbProcedure="false">#REF!</definedName>
    <definedName function="false" hidden="false" localSheetId="12" name="______________________________G_0Extract" vbProcedure="false">#REF!</definedName>
    <definedName function="false" hidden="false" localSheetId="12" name="_______________________________3_0Crite" vbProcedure="false">#REF!</definedName>
    <definedName function="false" hidden="false" localSheetId="12" name="_______________________________3_0Criteria" vbProcedure="false">#REF!</definedName>
    <definedName function="false" hidden="false" localSheetId="12" name="_______________________________G_0Extr" vbProcedure="false">#REF!</definedName>
    <definedName function="false" hidden="false" localSheetId="12" name="_______________________________G_0Extract" vbProcedure="false">#REF!</definedName>
    <definedName function="false" hidden="false" localSheetId="12" name="________________________________3_0Crite" vbProcedure="false">#REF!</definedName>
    <definedName function="false" hidden="false" localSheetId="12" name="________________________________3_0Criteria" vbProcedure="false">#REF!</definedName>
    <definedName function="false" hidden="false" localSheetId="12" name="________________________________G_0Extr" vbProcedure="false">#REF!</definedName>
    <definedName function="false" hidden="false" localSheetId="12" name="________________________________G_0Extract" vbProcedure="false">#REF!</definedName>
    <definedName function="false" hidden="false" localSheetId="12" name="_________________________________3_0Crite" vbProcedure="false">#REF!</definedName>
    <definedName function="false" hidden="false" localSheetId="12" name="_________________________________3_0Criteria" vbProcedure="false">#REF!</definedName>
    <definedName function="false" hidden="false" localSheetId="12" name="_________________________________G_0Extr" vbProcedure="false">#REF!</definedName>
    <definedName function="false" hidden="false" localSheetId="12" name="_________________________________G_0Extract" vbProcedure="false">#REF!</definedName>
    <definedName function="false" hidden="false" localSheetId="12" name="__________________________________3_0Crite" vbProcedure="false">#REF!</definedName>
    <definedName function="false" hidden="false" localSheetId="12" name="__________________________________3_0Criteria" vbProcedure="false">#REF!</definedName>
    <definedName function="false" hidden="false" localSheetId="12" name="__________________________________G_0Extr" vbProcedure="false">#REF!</definedName>
    <definedName function="false" hidden="false" localSheetId="12" name="__________________________________G_0Extract" vbProcedure="false">#REF!</definedName>
    <definedName function="false" hidden="false" localSheetId="12" name="___________________________________3_0Crite" vbProcedure="false">#REF!</definedName>
    <definedName function="false" hidden="false" localSheetId="12" name="___________________________________3_0Criteria" vbProcedure="false">#REF!</definedName>
    <definedName function="false" hidden="false" localSheetId="12" name="___________________________________G_0Extr" vbProcedure="false">#REF!</definedName>
    <definedName function="false" hidden="false" localSheetId="12" name="___________________________________G_0Extract" vbProcedure="false">#REF!</definedName>
    <definedName function="false" hidden="false" localSheetId="12" name="____________________________________3_0Crite" vbProcedure="false">#REF!</definedName>
    <definedName function="false" hidden="false" localSheetId="12" name="____________________________________3_0Criteria" vbProcedure="false">#REF!</definedName>
    <definedName function="false" hidden="false" localSheetId="12" name="____________________________________G_0Extr" vbProcedure="false">#REF!</definedName>
    <definedName function="false" hidden="false" localSheetId="12" name="____________________________________G_0Extract" vbProcedure="false">#REF!</definedName>
    <definedName function="false" hidden="false" localSheetId="12" name="_____________________________________3_0Crite" vbProcedure="false">#REF!</definedName>
    <definedName function="false" hidden="false" localSheetId="12" name="_____________________________________3_0Criteria" vbProcedure="false">#REF!</definedName>
    <definedName function="false" hidden="false" localSheetId="12" name="_____________________________________G_0Extr" vbProcedure="false">#REF!</definedName>
    <definedName function="false" hidden="false" localSheetId="12" name="_____________________________________G_0Extract" vbProcedure="false">#REF!</definedName>
    <definedName function="false" hidden="false" localSheetId="12" name="______________________________________3_0Crite" vbProcedure="false">#REF!</definedName>
    <definedName function="false" hidden="false" localSheetId="12" name="______________________________________3_0Criteria" vbProcedure="false">#REF!</definedName>
    <definedName function="false" hidden="false" localSheetId="12" name="______________________________________G_0Extr" vbProcedure="false">#REF!</definedName>
    <definedName function="false" hidden="false" localSheetId="12" name="______________________________________G_0Extract" vbProcedure="false">#REF!</definedName>
    <definedName function="false" hidden="false" localSheetId="12" name="_______________________________________3_0Crite" vbProcedure="false">#REF!</definedName>
    <definedName function="false" hidden="false" localSheetId="12" name="_______________________________________3_0Criteria" vbProcedure="false">#REF!</definedName>
    <definedName function="false" hidden="false" localSheetId="12" name="_______________________________________G_0Extr" vbProcedure="false">#REF!</definedName>
    <definedName function="false" hidden="false" localSheetId="12" name="_______________________________________G_0Extract" vbProcedure="false">#REF!</definedName>
    <definedName function="false" hidden="false" localSheetId="12" name="________________________________________3_0Crite" vbProcedure="false">#REF!</definedName>
    <definedName function="false" hidden="false" localSheetId="12" name="________________________________________3_0Criteria" vbProcedure="false">#REF!</definedName>
    <definedName function="false" hidden="false" localSheetId="12" name="________________________________________G_0Extr" vbProcedure="false">#REF!</definedName>
    <definedName function="false" hidden="false" localSheetId="12" name="________________________________________G_0Extract" vbProcedure="false">#REF!</definedName>
    <definedName function="false" hidden="false" localSheetId="12" name="_________________________________________3_0Crite" vbProcedure="false">#REF!</definedName>
    <definedName function="false" hidden="false" localSheetId="12" name="_________________________________________3_0Criteria" vbProcedure="false">#REF!</definedName>
    <definedName function="false" hidden="false" localSheetId="12" name="_________________________________________G_0Extr" vbProcedure="false">#REF!</definedName>
    <definedName function="false" hidden="false" localSheetId="12" name="_________________________________________G_0Extract" vbProcedure="false">#REF!</definedName>
    <definedName function="false" hidden="false" localSheetId="12" name="__________________________________________3_0Crite" vbProcedure="false">#REF!</definedName>
    <definedName function="false" hidden="false" localSheetId="12" name="__________________________________________3_0Criteria" vbProcedure="false">#REF!</definedName>
    <definedName function="false" hidden="false" localSheetId="12" name="__________________________________________G_0Extr" vbProcedure="false">#REF!</definedName>
    <definedName function="false" hidden="false" localSheetId="12" name="__________________________________________G_0Extract" vbProcedure="false">#REF!</definedName>
    <definedName function="false" hidden="false" localSheetId="12" name="___________________________________________3_0Crite" vbProcedure="false">#REF!</definedName>
    <definedName function="false" hidden="false" localSheetId="12" name="___________________________________________3_0Criteria" vbProcedure="false">#REF!</definedName>
    <definedName function="false" hidden="false" localSheetId="12" name="___________________________________________G_0Extr" vbProcedure="false">#REF!</definedName>
    <definedName function="false" hidden="false" localSheetId="12" name="___________________________________________G_0Extract" vbProcedure="false">#REF!</definedName>
    <definedName function="false" hidden="false" localSheetId="12" name="____________________________________________3_0Crite" vbProcedure="false">#REF!</definedName>
    <definedName function="false" hidden="false" localSheetId="12" name="____________________________________________3_0Criteria" vbProcedure="false">#REF!</definedName>
    <definedName function="false" hidden="false" localSheetId="12" name="____________________________________________G_0Extr" vbProcedure="false">#REF!</definedName>
    <definedName function="false" hidden="false" localSheetId="12" name="____________________________________________G_0Extract" vbProcedure="false">#REF!</definedName>
    <definedName function="false" hidden="false" localSheetId="12" name="_____________________________________________3_0Crite" vbProcedure="false">#REF!</definedName>
    <definedName function="false" hidden="false" localSheetId="12" name="_____________________________________________3_0Criteria" vbProcedure="false">#REF!</definedName>
    <definedName function="false" hidden="false" localSheetId="12" name="_____________________________________________G_0Extr" vbProcedure="false">#REF!</definedName>
    <definedName function="false" hidden="false" localSheetId="12" name="_____________________________________________G_0Extract" vbProcedure="false">#REF!</definedName>
    <definedName function="false" hidden="false" localSheetId="12" name="______________________________________________3_0Crite" vbProcedure="false">#REF!</definedName>
    <definedName function="false" hidden="false" localSheetId="12" name="______________________________________________3_0Criteria" vbProcedure="false">#REF!</definedName>
    <definedName function="false" hidden="false" localSheetId="12" name="______________________________________________G_0Extr" vbProcedure="false">#REF!</definedName>
    <definedName function="false" hidden="false" localSheetId="12" name="______________________________________________G_0Extract" vbProcedure="false">#REF!</definedName>
    <definedName function="false" hidden="false" localSheetId="12" name="_______________________________________________3_0Crite" vbProcedure="false">#REF!</definedName>
    <definedName function="false" hidden="false" localSheetId="12" name="_______________________________________________3_0Criteria" vbProcedure="false">#REF!</definedName>
    <definedName function="false" hidden="false" localSheetId="12" name="_______________________________________________G_0Extr" vbProcedure="false">#REF!</definedName>
    <definedName function="false" hidden="false" localSheetId="12" name="_______________________________________________G_0Extract" vbProcedure="false">#REF!</definedName>
    <definedName function="false" hidden="false" localSheetId="12" name="________________________________________________3_0Crite" vbProcedure="false">#REF!</definedName>
    <definedName function="false" hidden="false" localSheetId="12" name="________________________________________________3_0Criteria" vbProcedure="false">#REF!</definedName>
    <definedName function="false" hidden="false" localSheetId="12" name="________________________________________________G_0Extr" vbProcedure="false">#REF!</definedName>
    <definedName function="false" hidden="false" localSheetId="12" name="________________________________________________G_0Extract" vbProcedure="false">#REF!</definedName>
    <definedName function="false" hidden="false" localSheetId="12" name="_________________________________________________3_0Crite" vbProcedure="false">#REF!</definedName>
    <definedName function="false" hidden="false" localSheetId="12" name="_________________________________________________3_0Criteria" vbProcedure="false">#REF!</definedName>
    <definedName function="false" hidden="false" localSheetId="12" name="_________________________________________________G_0Extr" vbProcedure="false">#REF!</definedName>
    <definedName function="false" hidden="false" localSheetId="12" name="_________________________________________________G_0Extract" vbProcedure="false">#REF!</definedName>
    <definedName function="false" hidden="false" localSheetId="12" name="__________________________________________________3_0Crite" vbProcedure="false">#REF!</definedName>
    <definedName function="false" hidden="false" localSheetId="12" name="__________________________________________________3_0Criteria" vbProcedure="false">#REF!</definedName>
    <definedName function="false" hidden="false" localSheetId="12" name="__________________________________________________G_0Extr" vbProcedure="false">#REF!</definedName>
    <definedName function="false" hidden="false" localSheetId="12" name="__________________________________________________G_0Extract" vbProcedure="false">#REF!</definedName>
    <definedName function="false" hidden="false" localSheetId="12" name="___________________________________________________3_0Crite" vbProcedure="false">#REF!</definedName>
    <definedName function="false" hidden="false" localSheetId="12" name="___________________________________________________3_0Criteria" vbProcedure="false">#REF!</definedName>
    <definedName function="false" hidden="false" localSheetId="12" name="___________________________________________________G_0Extr" vbProcedure="false">#REF!</definedName>
    <definedName function="false" hidden="false" localSheetId="12" name="___________________________________________________G_0Extract" vbProcedure="false">#REF!</definedName>
    <definedName function="false" hidden="false" localSheetId="12" name="____________________________________________________3_0Crite" vbProcedure="false">#REF!</definedName>
    <definedName function="false" hidden="false" localSheetId="12" name="____________________________________________________3_0Criteria" vbProcedure="false">#REF!</definedName>
    <definedName function="false" hidden="false" localSheetId="12" name="____________________________________________________G_0Extr" vbProcedure="false">#REF!</definedName>
    <definedName function="false" hidden="false" localSheetId="12" name="____________________________________________________G_0Extract" vbProcedure="false">#REF!</definedName>
    <definedName function="false" hidden="false" localSheetId="12" name="_____________________________________________________3_0Crite" vbProcedure="false">#REF!</definedName>
    <definedName function="false" hidden="false" localSheetId="12" name="_____________________________________________________3_0Criteria" vbProcedure="false">#REF!</definedName>
    <definedName function="false" hidden="false" localSheetId="12" name="_____________________________________________________G_0Extr" vbProcedure="false">#REF!</definedName>
    <definedName function="false" hidden="false" localSheetId="12" name="_____________________________________________________G_0Extract" vbProcedure="false">#REF!</definedName>
    <definedName function="false" hidden="false" localSheetId="12" name="______________________________________________________3_0Crite" vbProcedure="false">#REF!</definedName>
    <definedName function="false" hidden="false" localSheetId="12" name="______________________________________________________3_0Criteria" vbProcedure="false">#REF!</definedName>
    <definedName function="false" hidden="false" localSheetId="12" name="______________________________________________________G_0Extr" vbProcedure="false">#REF!</definedName>
    <definedName function="false" hidden="false" localSheetId="12" name="______________________________________________________G_0Extract" vbProcedure="false">#REF!</definedName>
    <definedName function="false" hidden="false" localSheetId="12" name="_______________________________________________________3_0Crite" vbProcedure="false">#REF!</definedName>
    <definedName function="false" hidden="false" localSheetId="12" name="_______________________________________________________3_0Criteria" vbProcedure="false">#REF!</definedName>
    <definedName function="false" hidden="false" localSheetId="12" name="_______________________________________________________G_0Extr" vbProcedure="false">#REF!</definedName>
    <definedName function="false" hidden="false" localSheetId="12" name="_______________________________________________________G_0Extract" vbProcedure="false">#REF!</definedName>
    <definedName function="false" hidden="false" localSheetId="12" name="________________________________________________________3_0Crite" vbProcedure="false">#REF!</definedName>
    <definedName function="false" hidden="false" localSheetId="12" name="________________________________________________________3_0Criteria" vbProcedure="false">#REF!</definedName>
    <definedName function="false" hidden="false" localSheetId="12" name="________________________________________________________G_0Extr" vbProcedure="false">#REF!</definedName>
    <definedName function="false" hidden="false" localSheetId="12" name="________________________________________________________G_0Extract" vbProcedure="false">#REF!</definedName>
    <definedName function="false" hidden="false" localSheetId="12" name="_________________________________________________________3_0Crite" vbProcedure="false">#REF!</definedName>
    <definedName function="false" hidden="false" localSheetId="12" name="_________________________________________________________3_0Criteria" vbProcedure="false">#REF!</definedName>
    <definedName function="false" hidden="false" localSheetId="12" name="_________________________________________________________G_0Extr" vbProcedure="false">#REF!</definedName>
    <definedName function="false" hidden="false" localSheetId="12" name="_________________________________________________________G_0Extract" vbProcedure="false">#REF!</definedName>
    <definedName function="false" hidden="false" localSheetId="12" name="__________________________________________________________3_0Crite" vbProcedure="false">#REF!</definedName>
    <definedName function="false" hidden="false" localSheetId="12" name="__________________________________________________________3_0Criteria" vbProcedure="false">#REF!</definedName>
    <definedName function="false" hidden="false" localSheetId="12" name="__________________________________________________________G_0Extr" vbProcedure="false">#REF!</definedName>
    <definedName function="false" hidden="false" localSheetId="12" name="__________________________________________________________G_0Extract" vbProcedure="false">#REF!</definedName>
    <definedName function="false" hidden="false" localSheetId="12" name="___________________________________________________________3_0Crite" vbProcedure="false">#REF!</definedName>
    <definedName function="false" hidden="false" localSheetId="12" name="___________________________________________________________3_0Criteria" vbProcedure="false">#REF!</definedName>
    <definedName function="false" hidden="false" localSheetId="12" name="___________________________________________________________G_0Extr" vbProcedure="false">#REF!</definedName>
    <definedName function="false" hidden="false" localSheetId="12" name="___________________________________________________________G_0Extract" vbProcedure="false">#REF!</definedName>
    <definedName function="false" hidden="false" localSheetId="12" name="____________________________________________________________3_0Crite" vbProcedure="false">#REF!</definedName>
    <definedName function="false" hidden="false" localSheetId="12" name="____________________________________________________________3_0Criteria" vbProcedure="false">#REF!</definedName>
    <definedName function="false" hidden="false" localSheetId="12" name="____________________________________________________________G_0Extr" vbProcedure="false">#REF!</definedName>
    <definedName function="false" hidden="false" localSheetId="12" name="____________________________________________________________G_0Extract" vbProcedure="false">#REF!</definedName>
    <definedName function="false" hidden="false" localSheetId="12" name="_____________________________________________________________3_0Crite" vbProcedure="false">#REF!</definedName>
    <definedName function="false" hidden="false" localSheetId="12" name="_____________________________________________________________3_0Criteria" vbProcedure="false">#REF!</definedName>
    <definedName function="false" hidden="false" localSheetId="12" name="_____________________________________________________________G_0Extr" vbProcedure="false">#REF!</definedName>
    <definedName function="false" hidden="false" localSheetId="12" name="_____________________________________________________________G_0Extract" vbProcedure="false">#REF!</definedName>
    <definedName function="false" hidden="false" localSheetId="12" name="______________________________________________________________3_0Crite" vbProcedure="false">#REF!</definedName>
    <definedName function="false" hidden="false" localSheetId="12" name="______________________________________________________________3_0Criteria" vbProcedure="false">#REF!</definedName>
    <definedName function="false" hidden="false" localSheetId="12" name="______________________________________________________________G_0Extr" vbProcedure="false">#REF!</definedName>
    <definedName function="false" hidden="false" localSheetId="12" name="______________________________________________________________G_0Extract" vbProcedure="false">#REF!</definedName>
    <definedName function="false" hidden="false" localSheetId="12" name="_______________________________________________________________3_0Crite" vbProcedure="false">#REF!</definedName>
    <definedName function="false" hidden="false" localSheetId="12" name="_______________________________________________________________3_0Criteria" vbProcedure="false">#REF!</definedName>
    <definedName function="false" hidden="false" localSheetId="12" name="_______________________________________________________________G_0Extr" vbProcedure="false">#REF!</definedName>
    <definedName function="false" hidden="false" localSheetId="12" name="_______________________________________________________________G_0Extract" vbProcedure="false">#REF!</definedName>
    <definedName function="false" hidden="false" localSheetId="12" name="________________________________________________________________3_0Crite" vbProcedure="false">#REF!</definedName>
    <definedName function="false" hidden="false" localSheetId="12" name="________________________________________________________________3_0Criteria" vbProcedure="false">#REF!</definedName>
    <definedName function="false" hidden="false" localSheetId="12" name="________________________________________________________________G_0Extr" vbProcedure="false">#REF!</definedName>
    <definedName function="false" hidden="false" localSheetId="12" name="________________________________________________________________G_0Extract" vbProcedure="false">#REF!</definedName>
    <definedName function="false" hidden="false" localSheetId="12" name="_________________________________________________________________3_0Crite" vbProcedure="false">#REF!</definedName>
    <definedName function="false" hidden="false" localSheetId="12" name="_________________________________________________________________3_0Criteria" vbProcedure="false">#REF!</definedName>
    <definedName function="false" hidden="false" localSheetId="12" name="_________________________________________________________________G_0Extr" vbProcedure="false">#REF!</definedName>
    <definedName function="false" hidden="false" localSheetId="12" name="_________________________________________________________________G_0Extract" vbProcedure="false">#REF!</definedName>
    <definedName function="false" hidden="false" localSheetId="12" name="__________________________________________________________________3_0Crite" vbProcedure="false">#REF!</definedName>
    <definedName function="false" hidden="false" localSheetId="12" name="__________________________________________________________________3_0Criteria" vbProcedure="false">#REF!</definedName>
    <definedName function="false" hidden="false" localSheetId="12" name="__________________________________________________________________G_0Extr" vbProcedure="false">#REF!</definedName>
    <definedName function="false" hidden="false" localSheetId="12" name="__________________________________________________________________G_0Extract" vbProcedure="false">#REF!</definedName>
    <definedName function="false" hidden="false" localSheetId="12" name="___________________________________________________________________3_0Crite" vbProcedure="false">#REF!</definedName>
    <definedName function="false" hidden="false" localSheetId="12" name="___________________________________________________________________3_0Criteria" vbProcedure="false">#REF!</definedName>
    <definedName function="false" hidden="false" localSheetId="12" name="___________________________________________________________________G_0Extr" vbProcedure="false">#REF!</definedName>
    <definedName function="false" hidden="false" localSheetId="12" name="___________________________________________________________________G_0Extract" vbProcedure="false">#REF!</definedName>
    <definedName function="false" hidden="false" localSheetId="12" name="_____________________________________________________________________3_0Crite" vbProcedure="false">#REF!</definedName>
    <definedName function="false" hidden="false" localSheetId="12" name="_____________________________________________________________________3_0Criteria" vbProcedure="false">#REF!</definedName>
    <definedName function="false" hidden="false" localSheetId="12" name="_____________________________________________________________________G_0Extr" vbProcedure="false">#REF!</definedName>
    <definedName function="false" hidden="false" localSheetId="12" name="_____________________________________________________________________G_0Extract" vbProcedure="false">#REF!</definedName>
    <definedName function="false" hidden="false" localSheetId="12" name="_______________________________________________________________________3_0Crite" vbProcedure="false">#REF!</definedName>
    <definedName function="false" hidden="false" localSheetId="12" name="_______________________________________________________________________3_0Criteria" vbProcedure="false">#REF!</definedName>
    <definedName function="false" hidden="false" localSheetId="12" name="_______________________________________________________________________G_0Extr" vbProcedure="false">#REF!</definedName>
    <definedName function="false" hidden="false" localSheetId="12" name="_______________________________________________________________________G_0Extract" vbProcedure="false">#REF!</definedName>
    <definedName function="false" hidden="false" localSheetId="12" name="_________________________________________________________________________3_0Crite" vbProcedure="false">#REF!</definedName>
    <definedName function="false" hidden="false" localSheetId="12" name="_________________________________________________________________________3_0Criteria" vbProcedure="false">#REF!</definedName>
    <definedName function="false" hidden="false" localSheetId="12" name="_________________________________________________________________________G_0Extr" vbProcedure="false">#REF!</definedName>
    <definedName function="false" hidden="false" localSheetId="12" name="_________________________________________________________________________G_0Extract" vbProcedure="false">#REF!</definedName>
    <definedName function="false" hidden="false" localSheetId="12" name="___________________________________________________________________________3_0Crite" vbProcedure="false">#REF!</definedName>
    <definedName function="false" hidden="false" localSheetId="12" name="___________________________________________________________________________3_0Criteria" vbProcedure="false">#REF!</definedName>
    <definedName function="false" hidden="false" localSheetId="12" name="___________________________________________________________________________G_0Extr" vbProcedure="false">#REF!</definedName>
    <definedName function="false" hidden="false" localSheetId="12" name="___________________________________________________________________________G_0Extract" vbProcedure="false">#REF!</definedName>
    <definedName function="false" hidden="false" localSheetId="12" name="______________________________________________________________________________3_0Crite" vbProcedure="false">#REF!</definedName>
    <definedName function="false" hidden="false" localSheetId="12" name="______________________________________________________________________________3_0Criteria" vbProcedure="false">#REF!</definedName>
    <definedName function="false" hidden="false" localSheetId="12" name="______________________________________________________________________________G_0Extr" vbProcedure="false">#REF!</definedName>
    <definedName function="false" hidden="false" localSheetId="12" name="______________________________________________________________________________G_0Extract" vbProcedure="false">#REF!</definedName>
    <definedName function="false" hidden="false" localSheetId="12" name="________________________________________________________________________________3_0Crite" vbProcedure="false">#REF!</definedName>
    <definedName function="false" hidden="false" localSheetId="12" name="________________________________________________________________________________3_0Criteria" vbProcedure="false">#REF!</definedName>
    <definedName function="false" hidden="false" localSheetId="12" name="________________________________________________________________________________G_0Extr" vbProcedure="false">#REF!</definedName>
    <definedName function="false" hidden="false" localSheetId="12" name="________________________________________________________________________________G_0Extract" vbProcedure="false">#REF!</definedName>
    <definedName function="false" hidden="false" localSheetId="12" name="_________________________________________________________________________________3_0Crite" vbProcedure="false">#REF!</definedName>
    <definedName function="false" hidden="false" localSheetId="12" name="_________________________________________________________________________________3_0Criteria" vbProcedure="false">#REF!</definedName>
    <definedName function="false" hidden="false" localSheetId="12" name="_________________________________________________________________________________G_0Extr" vbProcedure="false">#REF!</definedName>
    <definedName function="false" hidden="false" localSheetId="12" name="_________________________________________________________________________________G_0Extract" vbProcedure="false">#REF!</definedName>
    <definedName function="false" hidden="false" localSheetId="12" name="__________________________________________________________________________________3_0Crite" vbProcedure="false">#REF!</definedName>
    <definedName function="false" hidden="false" localSheetId="12" name="__________________________________________________________________________________3_0Criteria" vbProcedure="false">#REF!</definedName>
    <definedName function="false" hidden="false" localSheetId="12" name="__________________________________________________________________________________G_0Extr" vbProcedure="false">#REF!</definedName>
    <definedName function="false" hidden="false" localSheetId="12" name="__________________________________________________________________________________G_0Extract" vbProcedure="false">#REF!</definedName>
    <definedName function="false" hidden="false" localSheetId="12" name="____________________________________________________________________________________3_0Crite" vbProcedure="false">#REF!</definedName>
    <definedName function="false" hidden="false" localSheetId="12" name="____________________________________________________________________________________3_0Criteria" vbProcedure="false">#REF!</definedName>
    <definedName function="false" hidden="false" localSheetId="12" name="____________________________________________________________________________________G_0Extr" vbProcedure="false">#REF!</definedName>
    <definedName function="false" hidden="false" localSheetId="12" name="____________________________________________________________________________________G_0Extract" vbProcedure="false">#REF!</definedName>
    <definedName function="false" hidden="false" localSheetId="12" name="______________________________________________________________________________________3_0Crite" vbProcedure="false">#REF!</definedName>
    <definedName function="false" hidden="false" localSheetId="12" name="______________________________________________________________________________________3_0Criteria" vbProcedure="false">#REF!</definedName>
    <definedName function="false" hidden="false" localSheetId="12" name="______________________________________________________________________________________G_0Extr" vbProcedure="false">#REF!</definedName>
    <definedName function="false" hidden="false" localSheetId="12" name="______________________________________________________________________________________G_0Extract" vbProcedure="false">#REF!</definedName>
    <definedName function="false" hidden="false" localSheetId="12" name="________________________________________________________________________________________3_0Crite" vbProcedure="false">#REF!</definedName>
    <definedName function="false" hidden="false" localSheetId="12" name="________________________________________________________________________________________3_0Criteria" vbProcedure="false">#REF!</definedName>
    <definedName function="false" hidden="false" localSheetId="12" name="________________________________________________________________________________________G_0Extr" vbProcedure="false">#REF!</definedName>
    <definedName function="false" hidden="false" localSheetId="12" name="________________________________________________________________________________________G_0Extract" vbProcedure="false">#REF!</definedName>
    <definedName function="false" hidden="false" localSheetId="12" name="__________________________________________________________________________________________3_0Crite" vbProcedure="false">#REF!</definedName>
    <definedName function="false" hidden="false" localSheetId="12" name="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G_0Extr" vbProcedure="false">#REF!</definedName>
    <definedName function="false" hidden="false" localSheetId="12" name="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____G_0Extract" vbProcedure="false">#REF!</definedName>
    <definedName function="false" hidden="false" localSheetId="12" name="__________________________________________________________________________________________________3_0Crite" vbProcedure="false">#REF!</definedName>
    <definedName function="false" hidden="false" localSheetId="12" name="__________________________________________________________________________________________________3_0Criteria" vbProcedure="false">#REF!</definedName>
    <definedName function="false" hidden="false" localSheetId="12" name="__________________________________________________________________________________________________G_0Extr" vbProcedure="false">#REF!</definedName>
    <definedName function="false" hidden="false" localSheetId="12" name="__________________________________________________________________________________________________G_0Extract" vbProcedure="false">#REF!</definedName>
    <definedName function="false" hidden="false" localSheetId="12" name="ㄱ" vbProcedure="false">#REF!</definedName>
    <definedName function="false" hidden="false" localSheetId="12" name="ㄴ" vbProcedure="false">[7]토목주소!$A$1</definedName>
    <definedName function="false" hidden="false" localSheetId="12" name="ㄷ" vbProcedure="false">#REF!</definedName>
    <definedName function="false" hidden="false" localSheetId="12" name="ㄷㄱㄱㄱㄱ" vbProcedure="false">#REF!</definedName>
    <definedName function="false" hidden="false" localSheetId="12" name="ㄷㅈ" vbProcedure="false">[4]!Macro2</definedName>
    <definedName function="false" hidden="false" localSheetId="12" name="ㅁ" vbProcedure="false">#REF!</definedName>
    <definedName function="false" hidden="false" localSheetId="12" name="ㅁ89" vbProcedure="false">#REF!</definedName>
    <definedName function="false" hidden="false" localSheetId="12" name="ㅂ" vbProcedure="false">#REF!</definedName>
    <definedName function="false" hidden="false" localSheetId="12" name="ㅅ" vbProcedure="false">#REF!</definedName>
    <definedName function="false" hidden="false" localSheetId="12" name="ㅇㄴㄹㄴㅁㄹㄹㅁㄴㄹㄴㄹㅁㄴㄹㅁㄴㄻㄴㄻㄴㄻㄴㄻㄴㄻㄴㄹㄴㅁㅇㄹ" vbProcedure="false">[3]내역서!$A$1</definedName>
    <definedName function="false" hidden="false" localSheetId="12" name="ㅇㄹㅇㄴㅇㅎㅇㅎㄴㅀ" vbProcedure="false">#REF!</definedName>
    <definedName function="false" hidden="false" localSheetId="12" name="ㅇㅇ" vbProcedure="false">#REF!</definedName>
    <definedName function="false" hidden="false" localSheetId="12" name="ㅇㅇㅇㅇㅇㅇㅇㅇㅇㅇㅇㅇ" vbProcedure="false">[8]!Macro13</definedName>
    <definedName function="false" hidden="false" localSheetId="12" name="ㅈ" vbProcedure="false">#REF!</definedName>
    <definedName function="false" hidden="false" localSheetId="12" name="ㅈㅈㅈ" vbProcedure="false">[9]프랜트면허!$A$1</definedName>
    <definedName function="false" hidden="false" localSheetId="12" name="ㅎㅎㅎㅎㅎㅎㅎ" vbProcedure="false">[10]현대물량!DH$25967</definedName>
    <definedName function="false" hidden="false" localSheetId="12" name="ㅑ" vbProcedure="false">[10]현대물량!$A$1</definedName>
    <definedName function="false" hidden="false" localSheetId="12" name="ㅕ" vbProcedure="false">#REF!</definedName>
    <definedName function="false" hidden="false" localSheetId="12" name="ㅕㅕㅕㅕㅕㅕㅕㅕㅕㅕㅕㅕㅕㅕㅕㅕㅕㅕㅕㅕㅕㅕㅕ" vbProcedure="false">#REF!</definedName>
    <definedName function="false" hidden="false" localSheetId="12" name="ㅛ" vbProcedure="false">[11]원가계산서!$A$1</definedName>
    <definedName function="false" hidden="false" localSheetId="12" name="가" vbProcedure="false">[12]주요항목별!CP$23645</definedName>
    <definedName function="false" hidden="false" localSheetId="12" name="가압지" vbProcedure="false">#REF!</definedName>
    <definedName function="false" hidden="false" localSheetId="12" name="갑지" vbProcedure="false">[13]주요항목별!CP$23645</definedName>
    <definedName function="false" hidden="false" localSheetId="12" name="거거실실제제연연" vbProcedure="false">#REF!,#REF!</definedName>
    <definedName function="false" hidden="false" localSheetId="12" name="거실" vbProcedure="false">#REF!</definedName>
    <definedName function="false" hidden="false" localSheetId="12" name="경비" vbProcedure="false">#REF!</definedName>
    <definedName function="false" hidden="false" localSheetId="12" name="공조실급수2" vbProcedure="false">#REF!</definedName>
    <definedName function="false" hidden="false" localSheetId="12" name="공종01" vbProcedure="false">#REF!</definedName>
    <definedName function="false" hidden="false" localSheetId="12" name="공종02" vbProcedure="false">#REF!</definedName>
    <definedName function="false" hidden="false" localSheetId="12" name="공종03" vbProcedure="false">#REF!</definedName>
    <definedName function="false" hidden="false" localSheetId="12" name="공종04" vbProcedure="false">#REF!</definedName>
    <definedName function="false" hidden="false" localSheetId="12" name="공종05" vbProcedure="false">#REF!</definedName>
    <definedName function="false" hidden="false" localSheetId="12" name="공종06" vbProcedure="false">#REF!</definedName>
    <definedName function="false" hidden="false" localSheetId="12" name="공종07" vbProcedure="false">#REF!</definedName>
    <definedName function="false" hidden="false" localSheetId="12" name="공종08" vbProcedure="false">#REF!</definedName>
    <definedName function="false" hidden="false" localSheetId="12" name="공종09" vbProcedure="false">#REF!</definedName>
    <definedName function="false" hidden="false" localSheetId="12" name="공종10" vbProcedure="false">#REF!</definedName>
    <definedName function="false" hidden="false" localSheetId="12" name="공종11" vbProcedure="false">#REF!</definedName>
    <definedName function="false" hidden="false" localSheetId="12" name="공종집계" vbProcedure="false">#REF!</definedName>
    <definedName function="false" hidden="false" localSheetId="12" name="관급" vbProcedure="false">#REF!,#REF!,#REF!</definedName>
    <definedName function="false" hidden="false" localSheetId="12" name="나" vbProcedure="false">[15]현대물량!$A$1</definedName>
    <definedName function="false" hidden="false" localSheetId="12" name="노무" vbProcedure="false">#REF!</definedName>
    <definedName function="false" hidden="false" localSheetId="12" name="노임" vbProcedure="false">#REF!</definedName>
    <definedName function="false" hidden="false" localSheetId="12" name="단가비교표" vbProcedure="false">#REF!,#REF!</definedName>
    <definedName function="false" hidden="false" localSheetId="12" name="단가품명" vbProcedure="false">#REF!</definedName>
    <definedName function="false" hidden="false" localSheetId="12" name="대동" vbProcedure="false">#REF!</definedName>
    <definedName function="false" hidden="false" localSheetId="12" name="동" vbProcedure="false">[7]프랜트면허!$D$4</definedName>
    <definedName function="false" hidden="false" localSheetId="12" name="동국대불교병원" vbProcedure="false">#REF!</definedName>
    <definedName function="false" hidden="false" localSheetId="12" name="로" vbProcedure="false">[7]토목주소!$A$1</definedName>
    <definedName function="false" hidden="false" localSheetId="12" name="배______관" vbProcedure="false">#REF!</definedName>
    <definedName function="false" hidden="false" localSheetId="12" name="보지" vbProcedure="false">[10]현대물량!$A$1</definedName>
    <definedName function="false" hidden="false" localSheetId="12" name="비목집계" vbProcedure="false">#REF!</definedName>
    <definedName function="false" hidden="false" localSheetId="12" name="오잉" vbProcedure="false">[8]원가계산서!$A$1</definedName>
    <definedName function="false" hidden="false" localSheetId="12" name="위병면회소" vbProcedure="false">[11]원가계산서!$A$1</definedName>
    <definedName function="false" hidden="false" localSheetId="12" name="일위" vbProcedure="false">#REF!,#REF!</definedName>
    <definedName function="false" hidden="false" localSheetId="12" name="임현수" vbProcedure="false">#REF!</definedName>
    <definedName function="false" hidden="false" localSheetId="12" name="자지" vbProcedure="false">[15]현대물량!$A$1</definedName>
    <definedName function="false" hidden="false" localSheetId="12" name="자탐1" vbProcedure="false">#REF!</definedName>
    <definedName function="false" hidden="false" localSheetId="12" name="재료" vbProcedure="false">#REF!</definedName>
    <definedName function="false" hidden="false" localSheetId="12" name="전체_1설계_" vbProcedure="false">#REF!</definedName>
    <definedName function="false" hidden="false" localSheetId="12" name="제연" vbProcedure="false">[7]프랜트면허!CP$23645</definedName>
    <definedName function="false" hidden="false" localSheetId="12" name="중기" vbProcedure="false">#REF!</definedName>
    <definedName function="false" hidden="false" localSheetId="12" name="펌프기동" vbProcedure="false">#REF!</definedName>
    <definedName function="false" hidden="false" localSheetId="12" name="품명" vbProcedure="false">#REF!</definedName>
    <definedName function="false" hidden="false" localSheetId="12" name="현대물량" vbProcedure="false">[19]현대물량!CY$25958</definedName>
    <definedName function="false" hidden="false" localSheetId="12" name="호" vbProcedure="false">#REF!</definedName>
    <definedName function="false" hidden="false" localSheetId="12" name="호홓" vbProcedure="false">[13]주요항목별!CY$25958</definedName>
    <definedName function="false" hidden="false" localSheetId="15" name="Macro10" vbProcedure="false">[4]!Macro10</definedName>
    <definedName function="false" hidden="false" localSheetId="15" name="Macro12" vbProcedure="false">[4]!Macro12</definedName>
    <definedName function="false" hidden="false" localSheetId="15" name="Macro13" vbProcedure="false">[4]!Macro13</definedName>
    <definedName function="false" hidden="false" localSheetId="15" name="Macro14" vbProcedure="false">[4]!Macro14</definedName>
    <definedName function="false" hidden="false" localSheetId="15" name="Macro2" vbProcedure="false">[4]!Macro2</definedName>
    <definedName function="false" hidden="false" localSheetId="15" name="Macro5" vbProcedure="false">[4]!Macro5</definedName>
    <definedName function="false" hidden="false" localSheetId="15" name="Macro6" vbProcedure="false">[4]!Macro6</definedName>
    <definedName function="false" hidden="false" localSheetId="15" name="Macro7" vbProcedure="false">[4]!Macro7</definedName>
    <definedName function="false" hidden="false" localSheetId="15" name="Macro8" vbProcedure="false">[4]!Macro8</definedName>
    <definedName function="false" hidden="false" localSheetId="15" name="Macro9" vbProcedure="false">[4]!Macro9</definedName>
    <definedName function="false" hidden="false" localSheetId="15" name="ㄷㅈ" vbProcedure="false">[4]!Macro2</definedName>
    <definedName function="false" hidden="false" localSheetId="15" name="ㅇㅇㅇㅇㅇㅇㅇㅇㅇㅇㅇㅇ" vbProcedure="false">[8]!Macro13</definedName>
  </definedNames>
  <calcPr iterateCount="100" refMode="A1" iterate="false" iterateDelta="0.001" fullCalcOnLoad="1"/>
  <extLst>
    <ext xmlns:loext="http://schemas.libreoffice.org/" uri="{7626C862-2A13-11E5-B345-FEFF819CDC9F}">
      <loext:extCalcPr stringRefSyntax="CalcA1"/>
    </ext>
  </extLst>
</workbook>
</file>

<file path=xl/sharedStrings.xml><?xml version="1.0" encoding="utf-8"?>
<sst xmlns="http://schemas.openxmlformats.org/spreadsheetml/2006/main" count="1115" uniqueCount="641">
  <si>
    <t xml:space="preserve">주된 점검인력</t>
  </si>
  <si>
    <t xml:space="preserve">김흥준</t>
  </si>
  <si>
    <t xml:space="preserve">점검자경력수첩</t>
  </si>
  <si>
    <t/>
  </si>
  <si>
    <t/>
  </si>
  <si>
    <t/>
  </si>
  <si>
    <t xml:space="preserve">보조 점검인력</t>
  </si>
  <si>
    <t/>
  </si>
  <si>
    <t/>
  </si>
  <si>
    <t/>
  </si>
  <si>
    <t/>
  </si>
  <si>
    <t/>
  </si>
  <si>
    <t/>
  </si>
  <si>
    <t/>
  </si>
  <si>
    <t/>
  </si>
  <si>
    <t/>
  </si>
  <si>
    <t/>
  </si>
  <si>
    <t/>
  </si>
  <si>
    <t/>
  </si>
  <si>
    <t/>
  </si>
  <si>
    <t/>
  </si>
  <si>
    <t xml:space="preserve">년도 </t>
  </si>
  <si>
    <t xml:space="preserve">위임장</t>
  </si>
  <si>
    <t xml:space="preserve">이행조치필요기간</t>
  </si>
  <si>
    <t xml:space="preserve">~</t>
  </si>
  <si>
    <t xml:space="preserve">일</t>
  </si>
  <si>
    <t xml:space="preserve">발신일자</t>
  </si>
  <si>
    <t xml:space="preserve">관계인</t>
  </si>
  <si>
    <t xml:space="preserve">이행조치일자</t>
  </si>
  <si>
    <t xml:space="preserve">문서번호</t>
  </si>
  <si>
    <t xml:space="preserve">직  위</t>
  </si>
  <si>
    <t/>
  </si>
  <si>
    <t xml:space="preserve"> </t>
  </si>
  <si>
    <t xml:space="preserve">점검일자</t>
  </si>
  <si>
    <t xml:space="preserve">연락처</t>
  </si>
  <si>
    <t xml:space="preserve">세대 수</t>
  </si>
  <si>
    <t xml:space="preserve">생년월일</t>
  </si>
  <si>
    <t xml:space="preserve">상호 </t>
  </si>
  <si>
    <t/>
  </si>
  <si>
    <t xml:space="preserve"> 관할소방서</t>
  </si>
  <si>
    <t/>
  </si>
  <si>
    <t xml:space="preserve">대상물 구분(용도)</t>
  </si>
  <si>
    <t/>
  </si>
  <si>
    <t xml:space="preserve">건물 동수</t>
  </si>
  <si>
    <t/>
  </si>
  <si>
    <t/>
  </si>
  <si>
    <t xml:space="preserve">소재지</t>
  </si>
  <si>
    <t/>
  </si>
  <si>
    <t xml:space="preserve">소방안전관리자 성명</t>
  </si>
  <si>
    <t/>
  </si>
  <si>
    <t xml:space="preserve">연 면적</t>
  </si>
  <si>
    <t/>
  </si>
  <si>
    <t xml:space="preserve">소방안전관리등급</t>
  </si>
  <si>
    <t xml:space="preserve">건축 면적</t>
  </si>
  <si>
    <t xml:space="preserve">전화번호</t>
  </si>
  <si>
    <t/>
  </si>
  <si>
    <t xml:space="preserve">사용 승인일</t>
  </si>
  <si>
    <t xml:space="preserve">최근 교육이수일</t>
  </si>
  <si>
    <t/>
  </si>
  <si>
    <t xml:space="preserve">건축 허가일</t>
  </si>
  <si>
    <t xml:space="preserve">높이</t>
  </si>
  <si>
    <t xml:space="preserve">경사로</t>
  </si>
  <si>
    <t xml:space="preserve">지상</t>
  </si>
  <si>
    <t xml:space="preserve">지하</t>
  </si>
  <si>
    <t xml:space="preserve">■ 소방시설 설치 및 관리에 관한 법률 시행규칙 [별지 제9호서식] </t>
  </si>
  <si>
    <t xml:space="preserve">(8쪽 중 제1쪽)</t>
  </si>
  <si>
    <r>
      <rPr>
        <b val="true"/>
        <sz val="14"/>
        <color rgb="FFFF0000"/>
        <rFont val="바탕체"/>
        <family val="1"/>
        <charset val="129"/>
      </rPr>
      <t xml:space="preserve">[√] 작동점검, 종합점검</t>
    </r>
    <r>
      <rPr>
        <b val="true"/>
        <sz val="12"/>
        <color rgb="FFFF0000"/>
        <rFont val="바탕체"/>
        <family val="1"/>
        <charset val="129"/>
      </rPr>
      <t xml:space="preserve">(［  ］최초점검, ［  ］그 밖의 종합점검) 
</t>
    </r>
    <r>
      <rPr>
        <b val="true"/>
        <sz val="18"/>
        <color rgb="FF0066CC"/>
        <rFont val="바탕체"/>
        <family val="1"/>
        <charset val="129"/>
      </rPr>
      <t xml:space="preserve">               </t>
    </r>
    <r>
      <rPr>
        <b val="true"/>
        <sz val="18"/>
        <rFont val="바탕체"/>
        <family val="1"/>
        <charset val="129"/>
      </rPr>
      <t xml:space="preserve">소방시설등 자체점검 실시결과 보고서</t>
    </r>
  </si>
  <si>
    <t xml:space="preserve">※ [  ]에는 해당되는 곳에 √ 표기를 합니다.                                                                         </t>
  </si>
  <si>
    <t xml:space="preserve">특정소방
대 상 물</t>
  </si>
  <si>
    <t xml:space="preserve">명칭(상호)</t>
  </si>
  <si>
    <t xml:space="preserve">점검기간</t>
  </si>
  <si>
    <t xml:space="preserve">( 총 점검일수 :</t>
  </si>
  <si>
    <t xml:space="preserve">점 검 자</t>
  </si>
  <si>
    <t xml:space="preserve">[  ]관계인            (성명:</t>
  </si>
  <si>
    <t xml:space="preserve">, 전화번호:                  )</t>
  </si>
  <si>
    <t xml:space="preserve">[  ]소방안전관리자    (성명:                  </t>
  </si>
  <si>
    <t xml:space="preserve">[√]소방시설관리업자  (업체명:             </t>
  </si>
  <si>
    <t xml:space="preserve">㈜승진소방이엔지</t>
  </si>
  <si>
    <t xml:space="preserve">, 전화번호:   031-772-3019   )</t>
  </si>
  <si>
    <t xml:space="preserve">전자우편
송달 동의</t>
  </si>
  <si>
    <t xml:space="preserve">「행정절차법」 제14조에 따라 정보통신망을 이용한 문서 송달에 동의합니다.</t>
  </si>
  <si>
    <t xml:space="preserve">[  ] 동의함      [√] 동의하지 않음</t>
  </si>
  <si>
    <t xml:space="preserve">                                                    </t>
  </si>
  <si>
    <t xml:space="preserve">(서명 또는 인)</t>
  </si>
  <si>
    <t xml:space="preserve"> 전자우편 주소                             @</t>
  </si>
  <si>
    <t xml:space="preserve">점검인력</t>
  </si>
  <si>
    <t xml:space="preserve">구 분</t>
  </si>
  <si>
    <t xml:space="preserve">성  명</t>
  </si>
  <si>
    <t xml:space="preserve">자격구분</t>
  </si>
  <si>
    <t xml:space="preserve">자격번호</t>
  </si>
  <si>
    <t xml:space="preserve">점검참여일(기간)</t>
  </si>
  <si>
    <t xml:space="preserve">소방시설관리사</t>
  </si>
  <si>
    <t xml:space="preserve">제2005-60호</t>
  </si>
  <si>
    <t xml:space="preserve">  「소방시설 설치 및 관리에 관한 법률」 제23조제3항 및 같은 법 시행규칙 제23조제1항 및 제2항에 따라 위와 같이 소방시설등 자체점검 실시결과 보고서를 제출합니다.</t>
  </si>
  <si>
    <t xml:space="preserve">관계인 :</t>
  </si>
  <si>
    <t xml:space="preserve"> 소방서장  귀하</t>
  </si>
  <si>
    <t xml:space="preserve">구  분</t>
  </si>
  <si>
    <t xml:space="preserve">첨부서류</t>
  </si>
  <si>
    <t xml:space="preserve">소방시설관리업자 또는 소방안전
관리자가 관계인에게 제출</t>
  </si>
  <si>
    <t xml:space="preserve">소방청장이 정하여 고시하는 소방시설등점검표</t>
  </si>
  <si>
    <t xml:space="preserve">관계인이 소방본부장 
또는 소방서장에게 제출</t>
  </si>
  <si>
    <t xml:space="preserve">1. 점검인력 배치확인서(소방시설관리업자가 점검한 경우에만 제출합니다) 1부
2. 별지 제10호서식의 소방시설등의 자체점검 결과 이행계획서</t>
  </si>
  <si>
    <t xml:space="preserve">유의 사항</t>
  </si>
  <si>
    <t xml:space="preserve">「소방시설  설치 및 관리에 
관한 법률」 제58조 제1호 
및 제61조 제1항 제8호</t>
  </si>
  <si>
    <t xml:space="preserve">1. 특정소방대상물의 관계인이 소방시설등에 대한 자체점검을 하지 않거나 
  관리업자 등으로 하여금 정기적으로 점검하게 하지 않은 경우 1년 이하의 징역 
  또는 1천만원 이하의 벌금에 처합니다.
2. 특정소방대상물의 관계인이 소방시설등의 점검 결과를 보고하지 않거나 거짓으로 
  보고한 경우 300만원 이하의 과태료를 부과합니다.</t>
  </si>
  <si>
    <t xml:space="preserve">(8쪽 중 제2쪽)</t>
  </si>
  <si>
    <t xml:space="preserve">특정소방대상물 정보</t>
  </si>
  <si>
    <t xml:space="preserve">※ [  ]에는 해당되는 곳에 √ 표기를 합니다. </t>
  </si>
  <si>
    <t xml:space="preserve"> 1. 소방안전정보</t>
  </si>
  <si>
    <t xml:space="preserve">대 표 자</t>
  </si>
  <si>
    <t xml:space="preserve">[  ]소유자, [√]관리자, [  ]점유자</t>
  </si>
  <si>
    <t xml:space="preserve">성명</t>
  </si>
  <si>
    <t xml:space="preserve">전화번호:</t>
  </si>
  <si>
    <t xml:space="preserve">소방안전
관리등급</t>
  </si>
  <si>
    <t xml:space="preserve">소방안전
관 리 자</t>
  </si>
  <si>
    <t xml:space="preserve">[  ]소방기술자격, [√]소방안전관리자수첩, [  ]업무대행감독, [  ]겸직, [  ]기타</t>
  </si>
  <si>
    <t xml:space="preserve">최근 교육이수일:    </t>
  </si>
  <si>
    <t xml:space="preserve">소방계획서</t>
  </si>
  <si>
    <t xml:space="preserve">[√]작성 ([√]보관 [  ]미보관),          [  ]미작성</t>
  </si>
  <si>
    <t xml:space="preserve">자체점검
(전년도)</t>
  </si>
  <si>
    <t xml:space="preserve">작동기능점검 ([√]실시 [  ]미실시),     종합정밀점검 ([  ]실시 [  ]미실시)</t>
  </si>
  <si>
    <t xml:space="preserve">교육훈련</t>
  </si>
  <si>
    <t xml:space="preserve">소방안전교육 ([√]실시 [  ]미실시),      소방훈련 ([√]실시 [  ]미실시)</t>
  </si>
  <si>
    <t xml:space="preserve">화재보험</t>
  </si>
  <si>
    <t xml:space="preserve">[√]가입, [  ]미가입
보험사:            ,  가입기간:  2024년  1월  1일 ~  2024년  12월  31일
가입금액:  대인(                  만원 )    대물(                  만원 )</t>
  </si>
  <si>
    <t xml:space="preserve">다중이용
업소현황</t>
  </si>
  <si>
    <t xml:space="preserve">[  ]휴게음식점영업(  개소)
[  ]단란주점영업(  개소)
[  ]비디오물감상실업
    (  개소)
[  ]학원(  개소)
[  ]찜질방업(  개소)
[  ]복합유통게임제공업
    (  개소)
[  ]산후조리업(  개소)
[  ]가상체험 체육시설업
    (  개소)
[  ]화상대화방업(  개소)
[√]해당없음</t>
  </si>
  <si>
    <t xml:space="preserve">[  ]제과점영업(  개소)
[  ]유흥주점영업(  개소)
[  ]비디오물소극장업
    (  개소)
[  ]독서실(  개소)
[  ]게임제공업(  개소)
[  ]노래연습장업(  개소)
[  ]고시원업(  개소)
[  ]안마시술소(  개소)
[  ]수면방업(  개소)
</t>
  </si>
  <si>
    <t xml:space="preserve">[  ]일반음식점영업(  개소)
[  ]영화상영관(  개소)
[  ]복합영상물제공업
    (  개소)
[  ]목욕장업(  개소)
[  ]인터넷컴퓨터게임시설
    제공업(  개소)
[  ]권총사격장(  개소)
[  ]전화방업(  개소)
[  ]콜라텍업(  개소)
</t>
  </si>
  <si>
    <t xml:space="preserve"> 2. 건축물 정보</t>
  </si>
  <si>
    <t xml:space="preserve">건축허가일</t>
  </si>
  <si>
    <t xml:space="preserve">사용승인일</t>
  </si>
  <si>
    <t xml:space="preserve">연 면 적</t>
  </si>
  <si>
    <t xml:space="preserve">㎡</t>
  </si>
  <si>
    <t xml:space="preserve">건축면적</t>
  </si>
  <si>
    <t xml:space="preserve">세대수(세대별점검현황)</t>
  </si>
  <si>
    <t xml:space="preserve">세대</t>
  </si>
  <si>
    <t xml:space="preserve">층    수</t>
  </si>
  <si>
    <t xml:space="preserve">높 이</t>
  </si>
  <si>
    <t xml:space="preserve">m</t>
  </si>
  <si>
    <t xml:space="preserve">건물동수</t>
  </si>
  <si>
    <t xml:space="preserve">건축물구조</t>
  </si>
  <si>
    <t xml:space="preserve"> [√]철근콘크리트구조, [  ]철골구조, [  ]조적조, [  ]목구조, [  ]기타</t>
  </si>
  <si>
    <t xml:space="preserve">지붕구조</t>
  </si>
  <si>
    <t xml:space="preserve"> [  ]슬라브, [  ]기와, [  ]슬레이트, [√]기타</t>
  </si>
  <si>
    <t xml:space="preserve">개소</t>
  </si>
  <si>
    <t xml:space="preserve">계    단</t>
  </si>
  <si>
    <t xml:space="preserve"> [√]직통(또는 피난계단) ( 1 개소 ), [  ]특별피난계단 (    개소)</t>
  </si>
  <si>
    <t xml:space="preserve">승 강 기</t>
  </si>
  <si>
    <t xml:space="preserve"> [  ]승용(    대 ), [  ]비상용(    대), [  ]피난용(    대)</t>
  </si>
  <si>
    <t xml:space="preserve">주 차 장</t>
  </si>
  <si>
    <t xml:space="preserve"> [  ]옥내([  ]지하 [  ]지상 [  ]필로티 [  ]기계식), [  ]옥상, [√]옥외</t>
  </si>
  <si>
    <t xml:space="preserve"> [√]콘크리트구조, [  ]철골구조, [  ]조적조, [  ]목구조, [  ]기타</t>
  </si>
  <si>
    <t xml:space="preserve">개</t>
  </si>
  <si>
    <t xml:space="preserve">(8쪽 중 제3쪽)</t>
  </si>
  <si>
    <t xml:space="preserve">소방시설등의 현황</t>
  </si>
  <si>
    <t xml:space="preserve">※ [  ]에는 해당 시설에 √ 표를 하고, 점검결과란은 양호○. 불량×. 해당없는 항목은 /표시를 합니다.              (1면)</t>
  </si>
  <si>
    <t xml:space="preserve"> 1. 소방시설등 점검결과</t>
  </si>
  <si>
    <t xml:space="preserve">구분</t>
  </si>
  <si>
    <t xml:space="preserve">해 당 설 비</t>
  </si>
  <si>
    <t xml:space="preserve">점검결과</t>
  </si>
  <si>
    <t xml:space="preserve">소화
설비</t>
  </si>
  <si>
    <t/>
  </si>
  <si>
    <t xml:space="preserve">소화기구 및 자동소화장치</t>
  </si>
  <si>
    <t xml:space="preserve">피난
구조
설비</t>
  </si>
  <si>
    <t xml:space="preserve">[  ]</t>
  </si>
  <si>
    <t xml:space="preserve">피난기구</t>
  </si>
  <si>
    <t xml:space="preserve">소화기구(소화기,자확,간이)</t>
  </si>
  <si>
    <t xml:space="preserve">공기안전매트·피난사다리</t>
  </si>
  <si>
    <t xml:space="preserve">주거용주방자동소화장치</t>
  </si>
  <si>
    <t xml:space="preserve">(간이)완강기·미끄럼대·구조대</t>
  </si>
  <si>
    <t xml:space="preserve">상업용주방자동소화장치</t>
  </si>
  <si>
    <t xml:space="preserve">다수인피난장비</t>
  </si>
  <si>
    <t xml:space="preserve">캐비닛형자동소화장치</t>
  </si>
  <si>
    <t xml:space="preserve">승강식피난기</t>
  </si>
  <si>
    <t xml:space="preserve">가스·분말·고체자동소화장치</t>
  </si>
  <si>
    <t xml:space="preserve">하향식피난구용내림식사다리</t>
  </si>
  <si>
    <t xml:space="preserve">옥내소화전설비</t>
  </si>
  <si>
    <t xml:space="preserve">인명구조기구</t>
  </si>
  <si>
    <t xml:space="preserve">스프링클러설비</t>
  </si>
  <si>
    <t xml:space="preserve">유도등</t>
  </si>
  <si>
    <t xml:space="preserve">간이스프링클러설비</t>
  </si>
  <si>
    <t xml:space="preserve">유도표지</t>
  </si>
  <si>
    <t xml:space="preserve">화재조기진압용스프링클러설비</t>
  </si>
  <si>
    <t xml:space="preserve">피난유도선</t>
  </si>
  <si>
    <t xml:space="preserve">물분무소화설비</t>
  </si>
  <si>
    <t xml:space="preserve">비상조명등</t>
  </si>
  <si>
    <t xml:space="preserve">미분무소화설비</t>
  </si>
  <si>
    <t xml:space="preserve">휴대용비상조명등</t>
  </si>
  <si>
    <t xml:space="preserve">포소화설비</t>
  </si>
  <si>
    <t xml:space="preserve">소화
용수
설비</t>
  </si>
  <si>
    <t xml:space="preserve">상수도소화용수설비</t>
  </si>
  <si>
    <t xml:space="preserve">이산화탄소소화설비</t>
  </si>
  <si>
    <t xml:space="preserve">소화수조 및 저수조</t>
  </si>
  <si>
    <t xml:space="preserve">할론소화설비</t>
  </si>
  <si>
    <t xml:space="preserve">소화
활동
설비</t>
  </si>
  <si>
    <t xml:space="preserve">거실제연설비</t>
  </si>
  <si>
    <t xml:space="preserve">할로겐화합물 및 불활성기체 소화설비</t>
  </si>
  <si>
    <t xml:space="preserve">부속실 등 제연설비</t>
  </si>
  <si>
    <t xml:space="preserve">분말소화설비</t>
  </si>
  <si>
    <t xml:space="preserve">연결송수관설비</t>
  </si>
  <si>
    <t xml:space="preserve">강화액소화설비</t>
  </si>
  <si>
    <t xml:space="preserve">연결살수설비</t>
  </si>
  <si>
    <t xml:space="preserve">고체에어로졸소화설비</t>
  </si>
  <si>
    <t xml:space="preserve">비상콘센트설비</t>
  </si>
  <si>
    <t xml:space="preserve">옥외소화전설비</t>
  </si>
  <si>
    <t xml:space="preserve">무선통신보조설비</t>
  </si>
  <si>
    <t xml:space="preserve">경보
설비</t>
  </si>
  <si>
    <t xml:space="preserve">단독경보형감지기</t>
  </si>
  <si>
    <t xml:space="preserve">연소방지설비</t>
  </si>
  <si>
    <t xml:space="preserve">비상경보설비</t>
  </si>
  <si>
    <t xml:space="preserve">기타</t>
  </si>
  <si>
    <t xml:space="preserve">방화문, 방화셔터</t>
  </si>
  <si>
    <t xml:space="preserve">자동화재탐지설비 및 시각경보기</t>
  </si>
  <si>
    <t xml:space="preserve">비상구, 피난통로</t>
  </si>
  <si>
    <t xml:space="preserve">비상방송설비</t>
  </si>
  <si>
    <t xml:space="preserve">방  염</t>
  </si>
  <si>
    <t xml:space="preserve">통합감시시설</t>
  </si>
  <si>
    <t xml:space="preserve">비고</t>
  </si>
  <si>
    <t xml:space="preserve">자동화재속보설비</t>
  </si>
  <si>
    <t xml:space="preserve">누전경보기</t>
  </si>
  <si>
    <t xml:space="preserve">가스누설경보기</t>
  </si>
  <si>
    <t xml:space="preserve">2.안전시설등 점검결과 (다중이용업소) </t>
  </si>
  <si>
    <t xml:space="preserve">소화기 또는 자동확산소화기</t>
  </si>
  <si>
    <t xml:space="preserve">비상구</t>
  </si>
  <si>
    <t xml:space="preserve">방화문</t>
  </si>
  <si>
    <t xml:space="preserve">비상구(비상탈출구)</t>
  </si>
  <si>
    <t xml:space="preserve">비상경보설비 또는 자동화재탐지설비</t>
  </si>
  <si>
    <t xml:space="preserve">영업장 내부 피난통로</t>
  </si>
  <si>
    <t xml:space="preserve">영상음향차단장치</t>
  </si>
  <si>
    <t xml:space="preserve">누전차단기</t>
  </si>
  <si>
    <t xml:space="preserve">창 문</t>
  </si>
  <si>
    <t xml:space="preserve">유도등, 유도표지 또는 비상조명등</t>
  </si>
  <si>
    <t xml:space="preserve">피난안내도, 피난안내영상물</t>
  </si>
  <si>
    <t xml:space="preserve">방염물품</t>
  </si>
  <si>
    <t xml:space="preserve">(8쪽 중 제4쪽)</t>
  </si>
  <si>
    <r>
      <rPr>
        <b val="true"/>
        <sz val="12"/>
        <color rgb="FF000000"/>
        <rFont val="바탕체"/>
        <family val="1"/>
        <charset val="129"/>
      </rPr>
      <t xml:space="preserve"> 3. 소방시설등의 세부현황
 </t>
    </r>
    <r>
      <rPr>
        <sz val="11"/>
        <color rgb="FF000000"/>
        <rFont val="바탕체"/>
        <family val="1"/>
        <charset val="129"/>
      </rPr>
      <t xml:space="preserve">3-1. 소화기구, 자동소화장치</t>
    </r>
  </si>
  <si>
    <t xml:space="preserve">   소화기</t>
  </si>
  <si>
    <t xml:space="preserve"> 간이소화용구</t>
  </si>
  <si>
    <t xml:space="preserve"> 자동</t>
  </si>
  <si>
    <t xml:space="preserve">비 고</t>
  </si>
  <si>
    <t xml:space="preserve">분말</t>
  </si>
  <si>
    <t xml:space="preserve"> 기타</t>
  </si>
  <si>
    <t xml:space="preserve"> 투척용</t>
  </si>
  <si>
    <t xml:space="preserve">   확산소화기</t>
  </si>
  <si>
    <t xml:space="preserve">  소화장치</t>
  </si>
  <si>
    <t xml:space="preserve">합계</t>
  </si>
  <si>
    <t xml:space="preserve">동명</t>
  </si>
  <si>
    <t xml:space="preserve"> 3-2. 수계소화설비(공통사항)</t>
  </si>
  <si>
    <t xml:space="preserve">수원</t>
  </si>
  <si>
    <t xml:space="preserve">주된수원</t>
  </si>
  <si>
    <t xml:space="preserve">◦ 설비의 종류: [  ]옥내소화전설비 [  ]옥외소화전설비 [  ]스프링클러설비</t>
  </si>
  <si>
    <t xml:space="preserve">               [  ]간이스프링클러설비 [  ]화재조기진압용스프링클러설비 </t>
  </si>
  <si>
    <t xml:space="preserve">               [  ]물분무소화설비 [  ]미분무소화설비 [  ]포소화설비</t>
  </si>
  <si>
    <t xml:space="preserve">◦ 설치장소: 동명(            ) [  ]지상/[  ]지하 (   )층, 실명(            )</t>
  </si>
  <si>
    <t xml:space="preserve">◦ 흡입방식: [  ]정압 [  ]부압,   ◦ 유효수량: (         )㎥</t>
  </si>
  <si>
    <t xml:space="preserve">보조수원</t>
  </si>
  <si>
    <t xml:space="preserve">◦ 설치장소: 동명(            ) 실명(            ), ◦ 유효수량: (         )㎥</t>
  </si>
  <si>
    <t xml:space="preserve">가압
송수
장치</t>
  </si>
  <si>
    <t xml:space="preserve">[  ]고가수조</t>
  </si>
  <si>
    <t xml:space="preserve">[  ]압력수조</t>
  </si>
  <si>
    <t xml:space="preserve">◦ 수조용량: (         )ℓ, 수조가압압력:(         )Mpa</t>
  </si>
  <si>
    <t xml:space="preserve">◦ 자동식공기압축기 용량:(         )㎥/min, 동 력:(         )Kw</t>
  </si>
  <si>
    <t xml:space="preserve">[  ]가압수조</t>
  </si>
  <si>
    <t xml:space="preserve">◦ 가압가스의 종류: [  ]공기 [  ]불연성가스(                  )</t>
  </si>
  <si>
    <t xml:space="preserve"> 비 고
 1. 해당 특정소방대상물에 설치된 소방시설에 대하여만 작성이 가능합니다.
 2. [  ]에는 해당 시설에 √ 표를 하고, 세부 현황 및 설치된 수량을 기입합니다.
 3. 기입란이 부족한 경우 서식을 추가하여 작성할 수 있습니다.</t>
  </si>
  <si>
    <r>
      <rPr>
        <b val="true"/>
        <sz val="12"/>
        <color rgb="FF000000"/>
        <rFont val="바탕체"/>
        <family val="1"/>
        <charset val="129"/>
      </rPr>
      <t xml:space="preserve"> 3. 소방시설등의 세부현황
 </t>
    </r>
    <r>
      <rPr>
        <sz val="11"/>
        <color rgb="FF000000"/>
        <rFont val="바탕체"/>
        <family val="1"/>
        <charset val="129"/>
      </rPr>
      <t xml:space="preserve">3-1. 소화기구, 자동소화장치, 옥내소화전, 스프링클러설비</t>
    </r>
  </si>
  <si>
    <t xml:space="preserve">옥내</t>
  </si>
  <si>
    <t xml:space="preserve">스프링클러</t>
  </si>
  <si>
    <t xml:space="preserve">투척용</t>
  </si>
  <si>
    <t xml:space="preserve">확산소화기</t>
  </si>
  <si>
    <t xml:space="preserve">소화장치</t>
  </si>
  <si>
    <t xml:space="preserve">소화전</t>
  </si>
  <si>
    <t xml:space="preserve">습식</t>
  </si>
  <si>
    <t xml:space="preserve">준비작동식</t>
  </si>
  <si>
    <t xml:space="preserve">(8쪽 중 제5쪽)</t>
  </si>
  <si>
    <t xml:space="preserve">[  ]펌프방식</t>
  </si>
  <si>
    <t xml:space="preserve">◦ 주펌프  전양정:(         )m, 토출량:(         )ℓ/min</t>
  </si>
  <si>
    <t xml:space="preserve">  [  ]전동기 [  ]내연기관(연료:[  ]경유 [  ]기타</t>
  </si>
  <si>
    <t xml:space="preserve">◦ 예비펌프  전양정:(         )m, 토출량:(         )ℓ/min</t>
  </si>
  <si>
    <t xml:space="preserve">◦ 충압펌프  전양정:(         )m, 토출량:(         )ℓ/min</t>
  </si>
  <si>
    <t xml:space="preserve">◦ [  ]물올림장치(유효수량: (         )ℓ, 급수배관: (         )㎜</t>
  </si>
  <si>
    <t xml:space="preserve">◦ 기동장치: [  ]기동용수압개폐장치, [  ]ON/OFF 방식</t>
  </si>
  <si>
    <t xml:space="preserve">  [  ]압력챔버(용량:(         )ℓ, 사용압력:(         )MPa)</t>
  </si>
  <si>
    <t xml:space="preserve">  [  ]기동용압력스위치([  ]부르동관식 [  ]전자식 [  ]그 밖의 것)</t>
  </si>
  <si>
    <t xml:space="preserve">◦ [  ]감압장치 [  ]지상/[  ]지하 (   )층, 설치장소:(                  )</t>
  </si>
  <si>
    <t xml:space="preserve">송수구</t>
  </si>
  <si>
    <t xml:space="preserve">◦ 설치장소:(                 ), [  ]쌍구형 (   )개/[  ]단구형 (   )개</t>
  </si>
  <si>
    <t xml:space="preserve">비상전원</t>
  </si>
  <si>
    <t xml:space="preserve"> [  ]자가발전설비([  ]소방전용 [  ]소방부하겸용 [  ]소방전원보존형 [  ]기타(          ))</t>
  </si>
  <si>
    <t xml:space="preserve"> [  ]비상전원수전설비 [  ]축전지설비 [  ]전기저장장치</t>
  </si>
  <si>
    <t xml:space="preserve"> 3-3. 수계소화설비(개별사항)</t>
  </si>
  <si>
    <t xml:space="preserve">옥내소화전</t>
  </si>
  <si>
    <t xml:space="preserve">◦ 설치장소: 동명(   ) [  ]전체층/[  ]일부층 [  ]지상/[  ]지하(  )층 ~ [  ]지상/[  ]지하(  )층</t>
  </si>
  <si>
    <t xml:space="preserve">            동명(   ) [  ]전체층/[  ]일부층 [  ]지상/[  ]지하(  )층 ~ [  ]지상/[  ]지하(  )층</t>
  </si>
  <si>
    <t xml:space="preserve">◦ 설치개수가 가장 많은 층의 설치개수: (   )개</t>
  </si>
  <si>
    <t xml:space="preserve">옥외소화전</t>
  </si>
  <si>
    <t xml:space="preserve">◦ 설치개수: (   )개</t>
  </si>
  <si>
    <t xml:space="preserve">◦ 종류: [  ]습식 [  ]부압식 [  ]준비작동식 [  ]건식 [  ]일제살수식</t>
  </si>
  <si>
    <t xml:space="preserve">간이
스프링클러설비</t>
  </si>
  <si>
    <t xml:space="preserve">◦ 종류: [  ]펌프 [  ]캐비닛 [  ]상수도</t>
  </si>
  <si>
    <t xml:space="preserve">화재
조기진압용</t>
  </si>
  <si>
    <t xml:space="preserve">물분무
소화설비</t>
  </si>
  <si>
    <t xml:space="preserve">포
소화설비</t>
  </si>
  <si>
    <t xml:space="preserve">[  ]포워터스프링클러설비 [  ]포헤드설비 [  ]고정포방출설비 [  ]기타(               )</t>
  </si>
  <si>
    <t xml:space="preserve">◦ 소화약제 [  ]단백포 [  ]합성계면활성제포 [  ]수성막포 [  ]내알코올포</t>
  </si>
  <si>
    <t xml:space="preserve"> 3-4. 가스계소화설비(개별사항)</t>
  </si>
  <si>
    <t xml:space="preserve">이산화탄소</t>
  </si>
  <si>
    <t xml:space="preserve">[  ]전역방출 [  ]국소방출 [  ]호스릴 / [  ]고압식 [  ]저압식 / [  ]축압식 [  ]가압식</t>
  </si>
  <si>
    <t xml:space="preserve">할론</t>
  </si>
  <si>
    <t xml:space="preserve">할로겐화합물
및 불활성기체</t>
  </si>
  <si>
    <t xml:space="preserve">◦ 저장용기 설치장소: [  ]지상/[  ]지하 (   )층, [  ]전용실 [  ]기타(               )</t>
  </si>
  <si>
    <t xml:space="preserve">  수량: (         )[ ]㎏,[ ]㎥ (         )ℓ (         )개</t>
  </si>
  <si>
    <t xml:space="preserve">◦ 소화약제 [  ]이산화탄소 [  ]할론1301 [  ]할론2402 [  ]할론1211 [  ] 할론104</t>
  </si>
  <si>
    <t xml:space="preserve">강화액</t>
  </si>
  <si>
    <t xml:space="preserve">  [  ]FC-3-1-10 [  ]HCFC BLEND A [  ]HCFC-124 [  ]HFC-125 [  ]HFC-227ea</t>
  </si>
  <si>
    <t xml:space="preserve">고체에어로졸</t>
  </si>
  <si>
    <t xml:space="preserve">  [  ]HFC-23 [  ]IG-541 [  ]IG-100 [  ] 기타(           )</t>
  </si>
  <si>
    <t xml:space="preserve">  [  ]제1종분말 [  ]제2종분말 [  ]제3종분말 [  ]제4종분말</t>
  </si>
  <si>
    <t xml:space="preserve">(8쪽 중 제6쪽)</t>
  </si>
  <si>
    <t xml:space="preserve"> 3-5. 경보설비</t>
  </si>
  <si>
    <t xml:space="preserve">단독
경보형감지기</t>
  </si>
  <si>
    <t xml:space="preserve">◦ 주전원 [  ]상용전원 [  ]건전지</t>
  </si>
  <si>
    <t xml:space="preserve">[  ]비상벨설비 [  ]자동식사이렌설비</t>
  </si>
  <si>
    <t xml:space="preserve">◦ 조작장치 설치장소: 동명(            ) [  ]지상/[  ]지하 (   )층 실명(              )</t>
  </si>
  <si>
    <t xml:space="preserve">자동화재
탐지설비</t>
  </si>
  <si>
    <t/>
  </si>
  <si>
    <t/>
  </si>
  <si>
    <t/>
  </si>
  <si>
    <t/>
  </si>
  <si>
    <t xml:space="preserve">[  ]전용 [  ]겸용 / [  ]전층경보 [  ]우선경보</t>
  </si>
  <si>
    <t xml:space="preserve">◦ 증폭기 설치장소: 동명(            ) [  ]지상/[  ]지하 (    )층, 실명(             )</t>
  </si>
  <si>
    <t xml:space="preserve">자동화재
속보설비</t>
  </si>
  <si>
    <t xml:space="preserve">◦ 속보기 설치장소: 동명(            ) [  ]지상/[  ]지하 (    )층, 실명(             )</t>
  </si>
  <si>
    <t xml:space="preserve">◦ 주수신기 설치장소: 동명(            ) [  ]지상/[  ]지하 (    )층, 실명(             )</t>
  </si>
  <si>
    <t xml:space="preserve">◦ 부수신기 설치장소: 동명(            ) [  ]지상/[  ]지하 (    )층, 실명(             )</t>
  </si>
  <si>
    <t xml:space="preserve">◦ 정보통신망 [  ]광케이블 [  ]기타(            ) / 예비선로 [  ]유 [  ]무</t>
  </si>
  <si>
    <t xml:space="preserve">◦ 수신기 형식 [  ]1급 [  ]2급, 차단기구 [ ]무 [  ]유(설치장소:                    )</t>
  </si>
  <si>
    <t xml:space="preserve">가스누설
경보기</t>
  </si>
  <si>
    <t xml:space="preserve">◦ [  ]단독형 [  ]분리형, 사용가스종류 [  ]LNG [  ]LPG, 경계구역 수: (     )개</t>
  </si>
  <si>
    <t xml:space="preserve">◦ 수신기 설치장소: 동명(            ) [  ]지상/[  ]지하 (    )층, 실명(             )</t>
  </si>
  <si>
    <t xml:space="preserve">◦ 차단기구 [  ]무 [  ]유(설치장소:                    )</t>
  </si>
  <si>
    <t xml:space="preserve"> 3-6. 피난구조설비</t>
  </si>
  <si>
    <t xml:space="preserve">◦ 종류: [  ]피난사다리 [  ]완강기 [  ]다수인피난장비 [  ]승강식피난기 [  ]미끄럼대</t>
  </si>
  <si>
    <t xml:space="preserve">        [  ]피난교 [  ]피난용트랩 [  ]구조대 [  ]간이완강기 [  ]공기안전매트</t>
  </si>
  <si>
    <t xml:space="preserve">인명
구조기구</t>
  </si>
  <si>
    <t xml:space="preserve">◦ 종류: [  ]방열복/ 방화복 [  ]공기호흡기 [  ]인공소생기</t>
  </si>
  <si>
    <t xml:space="preserve">◦ 대상물의 용도: [  ] 5층이상 병원  [  ] 7층이상 관광호텔 [  ] 이산화탄소소화설비 설치</t>
  </si>
  <si>
    <t xml:space="preserve">                 [  ] 지하역사·백화점·대형점포·쇼핑센타·지하상가·영화상영관</t>
  </si>
  <si>
    <t/>
  </si>
  <si>
    <t xml:space="preserve">◦ 비상전원 [  ]자가발전설비 [  ]축전지설비 [  ]내장형</t>
  </si>
  <si>
    <t xml:space="preserve">휴대용
 비상조명등</t>
  </si>
  <si>
    <t xml:space="preserve">◦ 전원 [ ]건전지식 [ ]충전식 배터리식</t>
  </si>
  <si>
    <t xml:space="preserve"> 3-7. 소화용수설비</t>
  </si>
  <si>
    <t xml:space="preserve">상수도
 소화용수</t>
  </si>
  <si>
    <t xml:space="preserve">◦ 설치장소:(                  ), 소화전 호칭지름: (         )㎜</t>
  </si>
  <si>
    <t xml:space="preserve">소화수조</t>
  </si>
  <si>
    <t xml:space="preserve">[  ]전용 [  ]겸용/[  ]흡수식 [  ]가압식/[  ]일반수조 [  ]그 밖의 것/유효수량:(      )㎥</t>
  </si>
  <si>
    <t xml:space="preserve">◦ 가압송수장치  전양정:(   )m, 토출량:(   )ℓ/min, [ ]전동기/[ ]내연기관(연료:[ ]경유 [ ]기타)</t>
  </si>
  <si>
    <t xml:space="preserve">◦ [  ]물올림장치 유효수량: (         )ℓ, 급수배관: (         )㎜</t>
  </si>
  <si>
    <t xml:space="preserve">◦ 기동스위치 설치장소: [  ]채수구 부근 [  ]방재실 [  ]기타(                  )</t>
  </si>
  <si>
    <t xml:space="preserve">◦ 채수구 구경: (    )㎜, 흡수관 투입구: 가로 (    )㎝ 세로 (    )㎝/직경 (    )㎝</t>
  </si>
  <si>
    <t xml:space="preserve">(8쪽 중 제7쪽)</t>
  </si>
  <si>
    <t xml:space="preserve"> 3-8. 소화활동설비</t>
  </si>
  <si>
    <t xml:space="preserve">제
연
설
비</t>
  </si>
  <si>
    <t xml:space="preserve">거
실</t>
  </si>
  <si>
    <t xml:space="preserve">◦ 방식 [  ]단독 [  ]공동 [  ]상호 [  ]기타(                  )</t>
  </si>
  <si>
    <t xml:space="preserve">◦ 기동장치 [  ]자동(감지기 연동) [  ]수동 [  ]원격</t>
  </si>
  <si>
    <t xml:space="preserve">◦ 제연구획면적 최대: (         )㎡ / 구조 [  ]내화 [  ]불연 [  ]그 밖의 것:(          )</t>
  </si>
  <si>
    <t xml:space="preserve">◦ 제연구역 출입문 [  ]상시폐쇄(자동폐쇄장치) [  ]상시개방(감지기에 의한 닫힘)</t>
  </si>
  <si>
    <t xml:space="preserve">◦ 급기용송풍기 설치장소: 동명(          ) [  ]지상/[  ]지하 (   )층, 실명(            )</t>
  </si>
  <si>
    <t xml:space="preserve">  전동기 (      )㎾, 풍량 (      )㎥/min, 정압 (      )㎜Aq</t>
  </si>
  <si>
    <t xml:space="preserve">◦ 배출용송풍기 설치장소: 동명(          ) [  ]지상/[  ]지하 (   )층, 실명(            )</t>
  </si>
  <si>
    <t xml:space="preserve">◦ 배출구 [  ]천장면 [  ]천장직하 [  ]기타(      ) / 옥외배출구 [  ]옥상 [  ]기타(      )</t>
  </si>
  <si>
    <t xml:space="preserve">  풍도구조 [  ]내화 [  ]불연 [  ]그 밖의 것(          ) / 구획댐퍼 [  ]유 [  ]무</t>
  </si>
  <si>
    <t xml:space="preserve">◦ 유입공기배출 [  ]자연배출 [  ]기계배출 [  ]배출구 [  ]제연설비</t>
  </si>
  <si>
    <t xml:space="preserve">◦ 급기구 [  ]강제유입 [  ]자연유입 [  ]인접구역유입</t>
  </si>
  <si>
    <t xml:space="preserve">전
실</t>
  </si>
  <si>
    <t xml:space="preserve">◦ 설치장소: 동명(           ,           ,           ,           ,           )</t>
  </si>
  <si>
    <t xml:space="preserve">  특별피난계단 (      )개소, 비상용승강기 (      )대</t>
  </si>
  <si>
    <t xml:space="preserve">◦ 방식 [  ]부속실 [  ]계단실 및 부속실 [  ] 계단실 [  ] 비상용승강기승강장</t>
  </si>
  <si>
    <t xml:space="preserve">◦ 기동방식 [  ]전층 [  ]부분층(        개층) / 댐퍼개방감지기 [  ]전용 [  ]겸용</t>
  </si>
  <si>
    <t xml:space="preserve">◦ 제연구역 출입문 [  ]상시폐쇄(자동폐쇄장치) [  ]상시개방(연기감지기에 의한 닫힘)</t>
  </si>
  <si>
    <t xml:space="preserve">◦ 과압방지장치 [  ]플랩댐퍼 [  ]자동차압(과압조절형)댐퍼 [  ]그 밖의 것 [  ]해당없음</t>
  </si>
  <si>
    <t xml:space="preserve">연결송수관</t>
  </si>
  <si>
    <t xml:space="preserve">[  ]전용 [  ]겸용([  ]옥내소화전설비 [  ]스프링클러설비 [  ]기타:             )</t>
  </si>
  <si>
    <t xml:space="preserve">◦ 방수구 위치 [  ]복도·통로 [  ]계단실 [  ] 계단등의 부근</t>
  </si>
  <si>
    <t xml:space="preserve">◦ 송수구 설치장소:(                  ), 중간수조용량: (         )㎥</t>
  </si>
  <si>
    <t xml:space="preserve">◦ 가압송수장치 설치장소: 동명(           ) [  ]지상/[  ]지하 (   )층, 실명(           )</t>
  </si>
  <si>
    <t xml:space="preserve">  전양정:(         )m, 토출량:(         )ℓ/min</t>
  </si>
  <si>
    <t xml:space="preserve">  [  ]전동기 [  ]내연기관(연료:[  ]경유 [  ]기타)</t>
  </si>
  <si>
    <t xml:space="preserve">◦ 기동스위치 설치장소 [  ]송수구 [  ]방재실 [  ]기타(             )</t>
  </si>
  <si>
    <t xml:space="preserve">연결살수</t>
  </si>
  <si>
    <t xml:space="preserve">◦ 방식 [ ]습식 [ ]건식 / [ ]지하층 [ ]판매시설 [ ]가스시설 [ ]부속된 연결통로</t>
  </si>
  <si>
    <t xml:space="preserve">◦ 송수구 설치장소:(                  ), 송수구역수: (         )구역</t>
  </si>
  <si>
    <t xml:space="preserve">비상콘센트</t>
  </si>
  <si>
    <t xml:space="preserve">◦ 설치장소: 동명(   ) [  ]지상/[  ]지하(  )층 ~ [  ]지상/[  ]지하(  )층</t>
  </si>
  <si>
    <t xml:space="preserve">[  ]3상 380V  [ ]단상 220V / [  ]접지형 2극 플러그접속기 [  ]접지형 3극 플러그접속기</t>
  </si>
  <si>
    <t xml:space="preserve">무선통신
보조</t>
  </si>
  <si>
    <t xml:space="preserve">[  ]전용 [  ]공용 / 방식: [  ]누설동축케이블 [  ]누설동축케이블과 안테나 [  ]안테나</t>
  </si>
  <si>
    <t xml:space="preserve">◦ 접속단자 설치장소(              ), (              )</t>
  </si>
  <si>
    <t xml:space="preserve">연소방지</t>
  </si>
  <si>
    <t xml:space="preserve">◦ 방호대상물 [  ]전력사업용 [  ]통신사업용 [  ]그 밖의 것(                  )</t>
  </si>
  <si>
    <t xml:space="preserve">◦ 송수구역수: (         )구역 / 구역간의 구획 [  ]있다 [  ]일부 있다 [  ]없다</t>
  </si>
  <si>
    <t xml:space="preserve">※ 제연설비 설비개요 작성 시 최대 구역 1개소에 대하여 기입합니다.</t>
  </si>
  <si>
    <t xml:space="preserve">(8쪽 중 제8쪽)</t>
  </si>
  <si>
    <t xml:space="preserve"> 4. 소방시설등 불량 세부 사항</t>
  </si>
  <si>
    <t xml:space="preserve">설비명</t>
  </si>
  <si>
    <t xml:space="preserve">점검번호</t>
  </si>
  <si>
    <t xml:space="preserve">불량내용</t>
  </si>
  <si>
    <t xml:space="preserve">소화설비</t>
  </si>
  <si>
    <t/>
  </si>
  <si>
    <t xml:space="preserve">경보설비</t>
  </si>
  <si>
    <t xml:space="preserve">피난구조설비</t>
  </si>
  <si>
    <t/>
  </si>
  <si>
    <t xml:space="preserve">소화용수설비</t>
  </si>
  <si>
    <t xml:space="preserve">소화활동설비</t>
  </si>
  <si>
    <t/>
  </si>
  <si>
    <t/>
  </si>
  <si>
    <t xml:space="preserve">안전시설등</t>
  </si>
  <si>
    <t xml:space="preserve">점검번호는 소방시설등 자체점검표의 점검항목별 번호를 기입합니다.</t>
  </si>
  <si>
    <r>
      <rPr>
        <sz val="22"/>
        <color rgb="FF000000"/>
        <rFont val="HY견고딕"/>
        <family val="1"/>
        <charset val="129"/>
      </rPr>
      <t xml:space="preserve">소방시설 </t>
    </r>
    <r>
      <rPr>
        <sz val="22"/>
        <color rgb="FFFF0000"/>
        <rFont val="HY견고딕"/>
        <family val="1"/>
        <charset val="129"/>
      </rPr>
      <t xml:space="preserve">종합점검</t>
    </r>
    <r>
      <rPr>
        <sz val="22"/>
        <color rgb="FF000000"/>
        <rFont val="HY견고딕"/>
        <family val="1"/>
        <charset val="129"/>
      </rPr>
      <t xml:space="preserve"> 결과보고서</t>
    </r>
  </si>
  <si>
    <t xml:space="preserve">㈜ 승 진 소 방 E N G</t>
  </si>
  <si>
    <t xml:space="preserve">경기도 양평군 양평읍 잿말길10번길50-1 (덕평리98-1)</t>
  </si>
  <si>
    <t xml:space="preserve">T E L.  0 3 1 - 7 7 2 - 3 0 1 9     F A X.  0 3 1 - 7 7 2 - 2 4 1 9</t>
  </si>
  <si>
    <t xml:space="preserve">소방시설점검 / 소방안전관리 업무대행 / 소방공사</t>
  </si>
  <si>
    <t xml:space="preserve">주식회사 승진소방 ENG</t>
  </si>
  <si>
    <t xml:space="preserve">경기도 양평군 양평읍 잿말길10번길 50-1 / Tel) 031-772-3019 / Fax) 031-772-2419</t>
  </si>
  <si>
    <t xml:space="preserve">문서번호 :</t>
  </si>
  <si>
    <t xml:space="preserve">승     진 </t>
  </si>
  <si>
    <t xml:space="preserve">선결</t>
  </si>
  <si>
    <t xml:space="preserve">지시</t>
  </si>
  <si>
    <t xml:space="preserve">발신일자 :</t>
  </si>
  <si>
    <t xml:space="preserve">수      신 :</t>
  </si>
  <si>
    <t xml:space="preserve">접수</t>
  </si>
  <si>
    <t xml:space="preserve">일자
시간</t>
  </si>
  <si>
    <t xml:space="preserve">결재</t>
  </si>
  <si>
    <t xml:space="preserve">참      조 :</t>
  </si>
  <si>
    <t xml:space="preserve">소방안전관리자 및 관계인</t>
  </si>
  <si>
    <t xml:space="preserve">발      신 :</t>
  </si>
  <si>
    <t xml:space="preserve">㈜승진소방 ENG</t>
  </si>
  <si>
    <t xml:space="preserve">번호</t>
  </si>
  <si>
    <t xml:space="preserve">공람</t>
  </si>
  <si>
    <t xml:space="preserve">처 리 과</t>
  </si>
  <si>
    <t xml:space="preserve">담 당 자</t>
  </si>
  <si>
    <t xml:space="preserve">제      목 :   </t>
  </si>
  <si>
    <t xml:space="preserve">소방시설 점검 결과보고서 제출</t>
  </si>
  <si>
    <t xml:space="preserve">           1. 귀 대상물의 무궁한 발전을 기원합니다.</t>
  </si>
  <si>
    <t xml:space="preserve">           2. 귀 대상물의 소방시설점검에 대한 결과보고서를 아래의 붙임과 같이 제출하는 </t>
  </si>
  <si>
    <t xml:space="preserve">바입니다.</t>
  </si>
  <si>
    <t xml:space="preserve">붙 임 :   1. 소방시설점검 결과보고서 1부</t>
  </si>
  <si>
    <t xml:space="preserve">                끝.</t>
  </si>
  <si>
    <t xml:space="preserve">대표이사 김흥준(직인생략)</t>
  </si>
  <si>
    <t xml:space="preserve">■ 소방시설 자체점검사항 등에 관한 고시[별지 제4호서식]</t>
  </si>
  <si>
    <t xml:space="preserve">소방시설등 </t>
  </si>
  <si>
    <t xml:space="preserve">   작동점검</t>
  </si>
  <si>
    <t xml:space="preserve">종합점검(최초점검)</t>
  </si>
  <si>
    <t xml:space="preserve">그 밖의 점검</t>
  </si>
  <si>
    <t xml:space="preserve">)점검표</t>
  </si>
  <si>
    <t xml:space="preserve">                                                                                                                     (7쪽 중 1쪽)
※ 소방시설, 다중이용업란의 [  ]란에는 해당 시설에 √ 표를 한다. 점검결과란은 양호○. 불량X. 해당없는 항목은 /표시를 한다. </t>
  </si>
  <si>
    <t xml:space="preserve"> □ 특정소방대상물</t>
  </si>
  <si>
    <t xml:space="preserve">건물명(상호)</t>
  </si>
  <si>
    <t xml:space="preserve">대상물 구분</t>
  </si>
  <si>
    <t xml:space="preserve">소 재 지</t>
  </si>
  <si>
    <t xml:space="preserve"> □ 소방시설등 점검결과</t>
  </si>
  <si>
    <t xml:space="preserve">소화용수
설    비</t>
  </si>
  <si>
    <t xml:space="preserve">기  타</t>
  </si>
  <si>
    <t xml:space="preserve">비  고</t>
  </si>
  <si>
    <r>
      <rPr>
        <b val="true"/>
        <sz val="12"/>
        <rFont val="바탕체"/>
        <family val="1"/>
        <charset val="129"/>
      </rPr>
      <t xml:space="preserve"> □ 다중이용업소 안전시설등 점검결과                                                  </t>
    </r>
    <r>
      <rPr>
        <sz val="10"/>
        <rFont val="바탕체"/>
        <family val="1"/>
        <charset val="129"/>
      </rPr>
      <t xml:space="preserve">(7쪽 중 2쪽)</t>
    </r>
  </si>
  <si>
    <t xml:space="preserve"> □ 점검업체(점검인력) 현황</t>
  </si>
  <si>
    <t xml:space="preserve">서명</t>
  </si>
  <si>
    <t xml:space="preserve">주 인 력</t>
  </si>
  <si>
    <t xml:space="preserve">보조인력</t>
  </si>
  <si>
    <t xml:space="preserve">점검기간(일자):  </t>
  </si>
  <si>
    <t xml:space="preserve">         ( 총 점검기간  :</t>
  </si>
  <si>
    <t xml:space="preserve">                                    소방시설관리업체(등록번호):  승진소방 ENG  (제 경기양평-2020-01호)
                                                      대 표 자:          김  흥  준             (인)        </t>
  </si>
  <si>
    <t xml:space="preserve">점검번호 구분</t>
  </si>
  <si>
    <t xml:space="preserve">대분류
(설비구분)</t>
  </si>
  <si>
    <t xml:space="preserve"> 소화기구 및 자동소화장치를‘1’번으로 하여 설비별 순차적으로 번호를 부여하여
 다중이용업소‘32’번까지로 함</t>
  </si>
  <si>
    <t xml:space="preserve">중분류
(단위구분)</t>
  </si>
  <si>
    <t xml:space="preserve"> 각 설비별 점검단위에 따라‘A’부터 알파벳 순서대로 부여함</t>
  </si>
  <si>
    <t xml:space="preserve">소분류
(점검항목)</t>
  </si>
  <si>
    <t xml:space="preserve"> 각 설비별 점검단위 내의 점검항목에 따라‘001’부터 순서대로 부여함</t>
  </si>
  <si>
    <t xml:space="preserve">작성 및 유의사항</t>
  </si>
  <si>
    <t xml:space="preserve"> 1. 소방시설등 (작동, 종합)점검결과보고서의 ‘각 설비별 점검결과’에는 본 서식의 점검번호를 기재한다.
 2. 자체점검결과(보고서 및 점검표)를 2년간 보관하여야 한다.</t>
  </si>
  <si>
    <t xml:space="preserve">소방시설등의 세부현황</t>
  </si>
  <si>
    <t xml:space="preserve">(7쪽 중 3쪽)</t>
  </si>
  <si>
    <t xml:space="preserve">※[ ]에는 해당 시설에√표를 하고, 수량을 기입하며, 설비현황에 대하여 기입란이 부족한 경우 서식을 추가하여 작성할 수 있습니다.</t>
  </si>
  <si>
    <t xml:space="preserve"> 1. 소화기구, 자동소화장치</t>
  </si>
  <si>
    <t xml:space="preserve"> 분말 </t>
  </si>
  <si>
    <t xml:space="preserve"> 2. 수계소화설비(공통사항)</t>
  </si>
  <si>
    <t xml:space="preserve">(7쪽 중 4쪽)</t>
  </si>
  <si>
    <t xml:space="preserve"> 3. 수계소화설비(개별사항)</t>
  </si>
  <si>
    <t xml:space="preserve">(7쪽 중 5쪽)</t>
  </si>
  <si>
    <t xml:space="preserve"> 4. 가스계소화설비(개별사항)</t>
  </si>
  <si>
    <t xml:space="preserve"> 5. 경보설비</t>
  </si>
  <si>
    <t xml:space="preserve">(7쪽 중 6쪽)</t>
  </si>
  <si>
    <t xml:space="preserve"> 6. 피난구조설비</t>
  </si>
  <si>
    <t xml:space="preserve"> 7. 소화용수설비</t>
  </si>
  <si>
    <t xml:space="preserve"> 8. 소화활동설비</t>
  </si>
  <si>
    <t xml:space="preserve">(7쪽 중 7쪽)</t>
  </si>
  <si>
    <t xml:space="preserve">- 목      차 -</t>
  </si>
  <si>
    <t xml:space="preserve">1.  소화기구 및 자동소화장치 점검표</t>
  </si>
  <si>
    <t xml:space="preserve">2.  옥내소화전설비 점검표</t>
  </si>
  <si>
    <t xml:space="preserve">3.  스프링클러소화설비 점검표</t>
  </si>
  <si>
    <t xml:space="preserve">4.  간이스프링클러소화설비 점검표</t>
  </si>
  <si>
    <t xml:space="preserve">5. 할로겐화합물 및 불활성기체소화설비 점검표</t>
  </si>
  <si>
    <t xml:space="preserve">6. 옥외소화전설비 점검표</t>
  </si>
  <si>
    <t xml:space="preserve">7. 비상경보설비 및 단독경보형감지기 점검표</t>
  </si>
  <si>
    <t xml:space="preserve">8. 자동화재탐지설비 및 시각경보장치 점검표</t>
  </si>
  <si>
    <t xml:space="preserve">9. 비상방송설비 점검표</t>
  </si>
  <si>
    <t xml:space="preserve">10. 자동화재속보설비 및 통합감시시설 점검표</t>
  </si>
  <si>
    <t xml:space="preserve">11. 가스누설경보기 점검표</t>
  </si>
  <si>
    <t xml:space="preserve">12. 피난기구 및 인명구조기구 점검표</t>
  </si>
  <si>
    <t xml:space="preserve">13. 유도등 및 유도표지 점검표</t>
  </si>
  <si>
    <t xml:space="preserve">14. 비상조명등 및 휴대용비상조명등 점검표</t>
  </si>
  <si>
    <t xml:space="preserve">15. 소화용수설비 점검표</t>
  </si>
  <si>
    <t xml:space="preserve">16. 특별피난계단의 계단실 및 부속실 제연설비 점검표</t>
  </si>
  <si>
    <t xml:space="preserve">17. 연결송수관설비 점검표</t>
  </si>
  <si>
    <t xml:space="preserve">18. 연결살수설비 점검표</t>
  </si>
  <si>
    <t xml:space="preserve">19. 비상콘센트설비 점검표</t>
  </si>
  <si>
    <t xml:space="preserve">20. 무선통신보조설비 점검표</t>
  </si>
  <si>
    <t xml:space="preserve">21. 기타사항 점검표</t>
  </si>
  <si>
    <t xml:space="preserve">22. 다중이용업소 점검표</t>
  </si>
  <si>
    <r>
      <rPr>
        <b val="true"/>
        <sz val="16"/>
        <color rgb="FF000000"/>
        <rFont val="맑은 고딕"/>
        <family val="3"/>
        <charset val="129"/>
      </rPr>
      <t xml:space="preserve">소방시설등</t>
    </r>
    <r>
      <rPr>
        <sz val="10"/>
        <color rgb="FF000000"/>
        <rFont val="맑은 고딕"/>
        <family val="3"/>
        <charset val="129"/>
      </rPr>
      <t xml:space="preserve"> </t>
    </r>
  </si>
  <si>
    <t xml:space="preserve">작동</t>
  </si>
  <si>
    <r>
      <rPr>
        <b val="true"/>
        <sz val="16"/>
        <color rgb="FF000000"/>
        <rFont val="맑은 고딕"/>
        <family val="3"/>
        <charset val="129"/>
      </rPr>
      <t xml:space="preserve">점검결과 보고서 제출용 위임장</t>
    </r>
    <r>
      <rPr>
        <b val="true"/>
        <sz val="10"/>
        <color rgb="FF000000"/>
        <rFont val="맑은 고딕"/>
        <family val="3"/>
        <charset val="129"/>
      </rPr>
      <t xml:space="preserve"> </t>
    </r>
  </si>
  <si>
    <t xml:space="preserve">최초</t>
  </si>
  <si>
    <t xml:space="preserve">종합</t>
  </si>
  <si>
    <r>
      <rPr>
        <b val="true"/>
        <sz val="13"/>
        <color rgb="FF000000"/>
        <rFont val="돋움"/>
        <family val="3"/>
        <charset val="129"/>
      </rPr>
      <t xml:space="preserve">특정소방대상물 관계인(본인)</t>
    </r>
    <r>
      <rPr>
        <sz val="10"/>
        <color rgb="FF000000"/>
        <rFont val="함초롬바탕"/>
        <family val="1"/>
        <charset val="129"/>
      </rPr>
      <t xml:space="preserve"> </t>
    </r>
  </si>
  <si>
    <r>
      <rPr>
        <b val="true"/>
        <sz val="13"/>
        <color rgb="FF000000"/>
        <rFont val="돋움"/>
        <family val="3"/>
        <charset val="129"/>
      </rPr>
      <t xml:space="preserve">소방시설관리업체(대리인)</t>
    </r>
    <r>
      <rPr>
        <sz val="10"/>
        <color rgb="FF000000"/>
        <rFont val="함초롬바탕"/>
        <family val="1"/>
        <charset val="129"/>
      </rPr>
      <t xml:space="preserve"> </t>
    </r>
  </si>
  <si>
    <r>
      <rPr>
        <sz val="10"/>
        <color rgb="FF000000"/>
        <rFont val="돋움"/>
        <family val="3"/>
        <charset val="129"/>
      </rPr>
      <t xml:space="preserve">성 명</t>
    </r>
    <r>
      <rPr>
        <sz val="10"/>
        <color rgb="FF000000"/>
        <rFont val="함초롬바탕"/>
        <family val="1"/>
        <charset val="129"/>
      </rPr>
      <t xml:space="preserve"> </t>
    </r>
  </si>
  <si>
    <r>
      <rPr>
        <sz val="10"/>
        <color rgb="FF000000"/>
        <rFont val="돋움"/>
        <family val="3"/>
        <charset val="129"/>
      </rPr>
      <t xml:space="preserve">직 위</t>
    </r>
    <r>
      <rPr>
        <sz val="10"/>
        <color rgb="FF000000"/>
        <rFont val="함초롬바탕"/>
        <family val="1"/>
        <charset val="129"/>
      </rPr>
      <t xml:space="preserve"> </t>
    </r>
  </si>
  <si>
    <t xml:space="preserve">직위</t>
  </si>
  <si>
    <r>
      <rPr>
        <sz val="10"/>
        <color rgb="FF000000"/>
        <rFont val="돋움"/>
        <family val="3"/>
        <charset val="129"/>
      </rPr>
      <t xml:space="preserve">연락처</t>
    </r>
    <r>
      <rPr>
        <sz val="10"/>
        <color rgb="FF000000"/>
        <rFont val="함초롬바탕"/>
        <family val="1"/>
        <charset val="129"/>
      </rPr>
      <t xml:space="preserve"> </t>
    </r>
  </si>
  <si>
    <r>
      <rPr>
        <sz val="10"/>
        <color rgb="FF000000"/>
        <rFont val="돋움"/>
        <family val="3"/>
        <charset val="129"/>
      </rPr>
      <t xml:space="preserve">생년월일</t>
    </r>
    <r>
      <rPr>
        <sz val="10"/>
        <color rgb="FF000000"/>
        <rFont val="함초롬바탕"/>
        <family val="1"/>
        <charset val="129"/>
      </rPr>
      <t xml:space="preserve"> </t>
    </r>
  </si>
  <si>
    <r>
      <rPr>
        <sz val="10"/>
        <color rgb="FF000000"/>
        <rFont val="돋움"/>
        <family val="3"/>
        <charset val="129"/>
      </rPr>
      <t xml:space="preserve">점검일자</t>
    </r>
    <r>
      <rPr>
        <sz val="10"/>
        <color rgb="FF000000"/>
        <rFont val="함초롬바탕"/>
        <family val="1"/>
        <charset val="129"/>
      </rPr>
      <t xml:space="preserve"> </t>
    </r>
  </si>
  <si>
    <t xml:space="preserve">(</t>
  </si>
  <si>
    <t xml:space="preserve">위임내용</t>
  </si>
  <si>
    <t xml:space="preserve">    상기 본인은소방시설 설치 및관리에 관한 법률 제22조 제1항 따라 실시한</t>
  </si>
  <si>
    <t xml:space="preserve">소방시설등의 자체점검과 관련하여 대리인이 실시한 자체점검 내용 일체를 확인하였으며, 같은</t>
  </si>
  <si>
    <r>
      <rPr>
        <sz val="10"/>
        <color rgb="FF000000"/>
        <rFont val="돋움"/>
        <family val="3"/>
        <charset val="129"/>
      </rPr>
      <t xml:space="preserve">법 시행규칙 제23조에 따른 점검결과보고서의 제출을 대리인에게 위임합니다.</t>
    </r>
    <r>
      <rPr>
        <sz val="10"/>
        <color rgb="FF000000"/>
        <rFont val="함초롬바탕"/>
        <family val="1"/>
        <charset val="129"/>
      </rPr>
      <t xml:space="preserve"> </t>
    </r>
  </si>
  <si>
    <t xml:space="preserve">소방서(본부) 귀하</t>
  </si>
  <si>
    <r>
      <rPr>
        <sz val="9"/>
        <color rgb="FF000000"/>
        <rFont val="돋움"/>
        <family val="3"/>
        <charset val="129"/>
      </rPr>
      <t xml:space="preserve">붙임서류</t>
    </r>
    <r>
      <rPr>
        <sz val="10"/>
        <color rgb="FF000000"/>
        <rFont val="함초롬바탕"/>
        <family val="1"/>
        <charset val="129"/>
      </rPr>
      <t xml:space="preserve"> </t>
    </r>
  </si>
  <si>
    <r>
      <rPr>
        <sz val="9"/>
        <color rgb="FF000000"/>
        <rFont val="돋움"/>
        <family val="3"/>
        <charset val="129"/>
      </rPr>
      <t xml:space="preserve"> 소방시설등 점검결과 보고서 제출을 위임한 관계인 신분증명서 사본 1부</t>
    </r>
    <r>
      <rPr>
        <sz val="10"/>
        <color rgb="FF000000"/>
        <rFont val="함초롬바탕"/>
        <family val="1"/>
        <charset val="129"/>
      </rPr>
      <t xml:space="preserve"> </t>
    </r>
  </si>
  <si>
    <t xml:space="preserve">유의사항</t>
  </si>
  <si>
    <r>
      <rPr>
        <sz val="8"/>
        <color rgb="FF000000"/>
        <rFont val="돋움체"/>
        <family val="3"/>
        <charset val="129"/>
      </rPr>
      <t xml:space="preserve"> 1. 다른 사람의 인장 도용 등 허위로 위임장을 작성하여 신청할 경우에는 「형법」 제231조와 제232조에 따라 사문서 위조ㆍ변조죄로 5년 이하의 징역 또는 1천만원 이하의 벌금에 처하게 됩니다.</t>
    </r>
    <r>
      <rPr>
        <sz val="10"/>
        <color rgb="FF000000"/>
        <rFont val="함초롬바탕"/>
        <family val="1"/>
        <charset val="129"/>
      </rPr>
      <t xml:space="preserve"> </t>
    </r>
  </si>
  <si>
    <r>
      <rPr>
        <sz val="8"/>
        <color rgb="FF000000"/>
        <rFont val="돋움체"/>
        <family val="3"/>
        <charset val="129"/>
      </rPr>
      <t xml:space="preserve"> 2. 자체점검 결과보고서를 보고기한 내에 제출하지 않으면, 이를 대리인에게 위임한 경우라도「질서위반행위규제법」제11조 제1항에 따라 제출의무가 있는 관계인이 100만원 이하의 과태료를 부과받게 됩니다.</t>
    </r>
    <r>
      <rPr>
        <sz val="10"/>
        <color rgb="FF000000"/>
        <rFont val="함초롬바탕"/>
        <family val="1"/>
        <charset val="129"/>
      </rPr>
      <t xml:space="preserve"> </t>
    </r>
  </si>
  <si>
    <r>
      <rPr>
        <sz val="8"/>
        <color rgb="FF000000"/>
        <rFont val="돋움체"/>
        <family val="3"/>
        <charset val="129"/>
      </rPr>
      <t xml:space="preserve">210mm×297mm[백상지 80g/㎡(재활용품)]</t>
    </r>
    <r>
      <rPr>
        <sz val="10"/>
        <color rgb="FF000000"/>
        <rFont val="함초롬바탕"/>
        <family val="1"/>
        <charset val="129"/>
      </rPr>
      <t xml:space="preserve"> </t>
    </r>
  </si>
  <si>
    <r>
      <rPr>
        <sz val="8"/>
        <color rgb="FF000000"/>
        <rFont val="돋움체"/>
        <family val="3"/>
        <charset val="129"/>
      </rPr>
      <t xml:space="preserve">■ 소방시설 설치 및 관리에 관한 법률 시행규칙 [별지 제10호서식] </t>
    </r>
    <r>
      <rPr>
        <sz val="12.5"/>
        <color rgb="FF000000"/>
        <rFont val="신명 견명조"/>
        <family val="3"/>
        <charset val="129"/>
      </rPr>
      <t xml:space="preserve"> </t>
    </r>
  </si>
  <si>
    <t xml:space="preserve">소방시설등의 자체점검 결과 이행계획서</t>
  </si>
  <si>
    <t xml:space="preserve">특정소방
대상물</t>
  </si>
  <si>
    <r>
      <rPr>
        <sz val="11"/>
        <color rgb="FF000000"/>
        <rFont val="돋움"/>
        <family val="3"/>
        <charset val="129"/>
      </rPr>
      <t xml:space="preserve">대상물 명칭(상호)</t>
    </r>
    <r>
      <rPr>
        <sz val="11"/>
        <color rgb="FF000000"/>
        <rFont val="한양신명조"/>
        <family val="3"/>
        <charset val="129"/>
      </rPr>
      <t xml:space="preserve"> </t>
    </r>
  </si>
  <si>
    <r>
      <rPr>
        <sz val="11"/>
        <color rgb="FF000000"/>
        <rFont val="돋움"/>
        <family val="3"/>
        <charset val="129"/>
      </rPr>
      <t xml:space="preserve">대상물 구분(용도)</t>
    </r>
    <r>
      <rPr>
        <sz val="11"/>
        <color rgb="FF000000"/>
        <rFont val="한양신명조"/>
        <family val="3"/>
        <charset val="129"/>
      </rPr>
      <t xml:space="preserve"> </t>
    </r>
  </si>
  <si>
    <r>
      <rPr>
        <sz val="11"/>
        <color rgb="FF000000"/>
        <rFont val="돋움"/>
        <family val="3"/>
        <charset val="129"/>
      </rPr>
      <t xml:space="preserve">관계인</t>
    </r>
    <r>
      <rPr>
        <sz val="11"/>
        <color rgb="FF000000"/>
        <rFont val="한양신명조"/>
        <family val="3"/>
        <charset val="129"/>
      </rPr>
      <t xml:space="preserve"> </t>
    </r>
  </si>
  <si>
    <r>
      <rPr>
        <sz val="11"/>
        <color rgb="FF000000"/>
        <rFont val="돋움"/>
        <family val="3"/>
        <charset val="129"/>
      </rPr>
      <t xml:space="preserve">소방안전관리자</t>
    </r>
    <r>
      <rPr>
        <sz val="11"/>
        <color rgb="FF000000"/>
        <rFont val="한양신명조"/>
        <family val="3"/>
        <charset val="129"/>
      </rPr>
      <t xml:space="preserve"> </t>
    </r>
  </si>
  <si>
    <t xml:space="preserve">(성명:</t>
  </si>
  <si>
    <t xml:space="preserve">)</t>
  </si>
  <si>
    <t xml:space="preserve">전화번호 :</t>
  </si>
  <si>
    <r>
      <rPr>
        <sz val="11"/>
        <color rgb="FF000000"/>
        <rFont val="돋움"/>
        <family val="3"/>
        <charset val="129"/>
      </rPr>
      <t xml:space="preserve">소재지</t>
    </r>
    <r>
      <rPr>
        <sz val="11"/>
        <color rgb="FF000000"/>
        <rFont val="한양신명조"/>
        <family val="3"/>
        <charset val="129"/>
      </rPr>
      <t xml:space="preserve"> </t>
    </r>
  </si>
  <si>
    <t xml:space="preserve">이행조치
계획사항</t>
  </si>
  <si>
    <t xml:space="preserve">이행조치 사항</t>
  </si>
  <si>
    <r>
      <rPr>
        <sz val="11"/>
        <color rgb="FF000000"/>
        <rFont val="돋움"/>
        <family val="3"/>
        <charset val="129"/>
      </rPr>
      <t xml:space="preserve">이행조치 일자</t>
    </r>
    <r>
      <rPr>
        <sz val="11"/>
        <color rgb="FF000000"/>
        <rFont val="한양신명조"/>
        <family val="3"/>
        <charset val="129"/>
      </rPr>
      <t xml:space="preserve"> </t>
    </r>
  </si>
  <si>
    <t xml:space="preserve">:</t>
  </si>
  <si>
    <t xml:space="preserve">(총</t>
  </si>
  <si>
    <t xml:space="preserve">일 )</t>
  </si>
  <si>
    <t xml:space="preserve">이행조치
필요기간</t>
  </si>
  <si>
    <t xml:space="preserve">일)</t>
  </si>
  <si>
    <r>
      <rPr>
        <sz val="11"/>
        <color rgb="FF000000"/>
        <rFont val="돋움"/>
        <family val="3"/>
        <charset val="129"/>
      </rPr>
      <t xml:space="preserve">  「소방시설 설치 및 안전관리에 관한 법률」 제23조제3항 및 같은 법 시행규칙 제23조제2항에 따라 위와 같이 소방시설등의 수리ㆍ교체ㆍ정비에 대한 이행계획서를 제출합니다.</t>
    </r>
    <r>
      <rPr>
        <sz val="11"/>
        <color rgb="FF000000"/>
        <rFont val="한양신명조"/>
        <family val="3"/>
        <charset val="129"/>
      </rPr>
      <t xml:space="preserve"> </t>
    </r>
  </si>
  <si>
    <t xml:space="preserve">관계인:</t>
  </si>
  <si>
    <t xml:space="preserve"> (서명 또는 인) </t>
  </si>
  <si>
    <r>
      <rPr>
        <b val="true"/>
        <sz val="13"/>
        <color rgb="FF000000"/>
        <rFont val="돋움"/>
        <family val="3"/>
        <charset val="129"/>
      </rPr>
      <t xml:space="preserve">소방서장   </t>
    </r>
    <r>
      <rPr>
        <sz val="11"/>
        <color rgb="FF000000"/>
        <rFont val="돋움"/>
        <family val="3"/>
        <charset val="129"/>
      </rPr>
      <t xml:space="preserve">귀하</t>
    </r>
  </si>
  <si>
    <r>
      <rPr>
        <sz val="8"/>
        <color rgb="FF000000"/>
        <rFont val="돋움"/>
        <family val="3"/>
        <charset val="129"/>
      </rPr>
      <t xml:space="preserve">「소방시설 
설치 및 관리에 
관한 법률」 
제61조제1항 
제8호 및 제9호</t>
    </r>
    <r>
      <rPr>
        <sz val="11"/>
        <color rgb="FF000000"/>
        <rFont val="돋움"/>
        <family val="3"/>
        <charset val="129"/>
      </rPr>
      <t xml:space="preserve"> </t>
    </r>
  </si>
  <si>
    <t xml:space="preserve">1. 특정소방대상물의 관계인이 법 제22조에 따른 소방시설등의 자체점검 결과에 따른 수리ㆍ조치ㆍ정비사항의</t>
  </si>
  <si>
    <r>
      <rPr>
        <sz val="8"/>
        <color rgb="FF000000"/>
        <rFont val="돋움"/>
        <family val="3"/>
        <charset val="129"/>
      </rPr>
      <t xml:space="preserve">발생 시 이행계획서를 첨부하지 않거나 거짓으로 제출한 경우 300만원 이하의 과태료를 부과합니다. </t>
    </r>
    <r>
      <rPr>
        <sz val="11"/>
        <color rgb="FF000000"/>
        <rFont val="돋움"/>
        <family val="3"/>
        <charset val="129"/>
      </rPr>
      <t xml:space="preserve"> </t>
    </r>
  </si>
  <si>
    <t xml:space="preserve">2. 특정소방대상물의 관계인이 소방시설등의 수리ㆍ조치ㆍ정비 이행계획을 별도의 연기신청 없이 기간 내에 완</t>
  </si>
  <si>
    <r>
      <rPr>
        <sz val="8"/>
        <color rgb="FF000000"/>
        <rFont val="돋움"/>
        <family val="3"/>
        <charset val="129"/>
      </rPr>
      <t xml:space="preserve">료하지 않은 경우 300만원 이하의 과태료를 부과합니다.</t>
    </r>
    <r>
      <rPr>
        <sz val="11"/>
        <color rgb="FF000000"/>
        <rFont val="한양신명조"/>
        <family val="3"/>
        <charset val="129"/>
      </rPr>
      <t xml:space="preserve"> </t>
    </r>
  </si>
  <si>
    <r>
      <rPr>
        <sz val="8"/>
        <color rgb="FF000000"/>
        <rFont val="돋움체"/>
        <family val="3"/>
        <charset val="129"/>
      </rPr>
      <t xml:space="preserve">210mm×297mm[백상지(80g/㎡) 또는 중질지(80g/㎡)]</t>
    </r>
    <r>
      <rPr>
        <sz val="11"/>
        <color rgb="FF000000"/>
        <rFont val="한양신명조"/>
        <family val="3"/>
        <charset val="129"/>
      </rPr>
      <t xml:space="preserve"> </t>
    </r>
  </si>
  <si>
    <r>
      <rPr>
        <sz val="8"/>
        <color rgb="FF000000"/>
        <rFont val="돋움체"/>
        <family val="3"/>
        <charset val="129"/>
      </rPr>
      <t xml:space="preserve">■ 소방시설 설치 및 관리에 관한 법률 시행규칙 [별지 제11호서식] </t>
    </r>
    <r>
      <rPr>
        <sz val="12.5"/>
        <color rgb="FF000000"/>
        <rFont val="신명 견명조"/>
        <family val="3"/>
        <charset val="129"/>
      </rPr>
      <t xml:space="preserve"> </t>
    </r>
  </si>
  <si>
    <r>
      <rPr>
        <b val="true"/>
        <sz val="16"/>
        <color rgb="FF000000"/>
        <rFont val="맑은 고딕"/>
        <family val="3"/>
        <charset val="129"/>
      </rPr>
      <t xml:space="preserve">소방시설등의 자체점검 결과 이행완료 보고서</t>
    </r>
    <r>
      <rPr>
        <sz val="11"/>
        <color rgb="FF000000"/>
        <rFont val="맑은 고딕"/>
        <family val="3"/>
        <charset val="129"/>
      </rPr>
      <t xml:space="preserve"> </t>
    </r>
  </si>
  <si>
    <r>
      <rPr>
        <sz val="10"/>
        <color rgb="FF000000"/>
        <rFont val="돋움"/>
        <family val="3"/>
        <charset val="129"/>
      </rPr>
      <t xml:space="preserve">(성명:               전화번호:           )</t>
    </r>
    <r>
      <rPr>
        <sz val="10"/>
        <color rgb="FF000000"/>
        <rFont val="한양신명조"/>
        <family val="3"/>
        <charset val="129"/>
      </rPr>
      <t xml:space="preserve"> </t>
    </r>
  </si>
  <si>
    <r>
      <rPr>
        <sz val="10"/>
        <color rgb="FF000000"/>
        <rFont val="돋움"/>
        <family val="3"/>
        <charset val="129"/>
      </rPr>
      <t xml:space="preserve">성명:</t>
    </r>
    <r>
      <rPr>
        <sz val="10"/>
        <color rgb="FF000000"/>
        <rFont val="한양신명조"/>
        <family val="3"/>
        <charset val="129"/>
      </rPr>
      <t xml:space="preserve"> </t>
    </r>
  </si>
  <si>
    <r>
      <rPr>
        <sz val="10"/>
        <color rgb="FF000000"/>
        <rFont val="돋움"/>
        <family val="3"/>
        <charset val="129"/>
      </rPr>
      <t xml:space="preserve">전화번호:</t>
    </r>
    <r>
      <rPr>
        <sz val="10"/>
        <color rgb="FF000000"/>
        <rFont val="한양신명조"/>
        <family val="3"/>
        <charset val="129"/>
      </rPr>
      <t xml:space="preserve"> </t>
    </r>
  </si>
  <si>
    <t xml:space="preserve">소방공사
업체</t>
  </si>
  <si>
    <r>
      <rPr>
        <sz val="11"/>
        <color rgb="FF000000"/>
        <rFont val="돋움"/>
        <family val="3"/>
        <charset val="129"/>
      </rPr>
      <t xml:space="preserve">업체명(상호)</t>
    </r>
    <r>
      <rPr>
        <sz val="11"/>
        <color rgb="FF000000"/>
        <rFont val="한양신명조"/>
        <family val="3"/>
        <charset val="129"/>
      </rPr>
      <t xml:space="preserve"> </t>
    </r>
  </si>
  <si>
    <r>
      <rPr>
        <sz val="11"/>
        <color rgb="FF000000"/>
        <rFont val="돋움"/>
        <family val="3"/>
        <charset val="129"/>
      </rPr>
      <t xml:space="preserve">사업자번호</t>
    </r>
    <r>
      <rPr>
        <sz val="11"/>
        <color rgb="FF000000"/>
        <rFont val="한양신명조"/>
        <family val="3"/>
        <charset val="129"/>
      </rPr>
      <t xml:space="preserve"> </t>
    </r>
  </si>
  <si>
    <r>
      <rPr>
        <sz val="11"/>
        <color rgb="FF000000"/>
        <rFont val="돋움"/>
        <family val="3"/>
        <charset val="129"/>
      </rPr>
      <t xml:space="preserve">대표이사</t>
    </r>
    <r>
      <rPr>
        <sz val="11"/>
        <color rgb="FF000000"/>
        <rFont val="한양신명조"/>
        <family val="3"/>
        <charset val="129"/>
      </rPr>
      <t xml:space="preserve"> </t>
    </r>
  </si>
  <si>
    <t xml:space="preserve">이행완료
사항</t>
  </si>
  <si>
    <r>
      <rPr>
        <sz val="11"/>
        <color rgb="FF000000"/>
        <rFont val="돋움"/>
        <family val="3"/>
        <charset val="129"/>
      </rPr>
      <t xml:space="preserve">이행조치 내용</t>
    </r>
    <r>
      <rPr>
        <sz val="11"/>
        <color rgb="FF000000"/>
        <rFont val="한양신명조"/>
        <family val="3"/>
        <charset val="129"/>
      </rPr>
      <t xml:space="preserve"> </t>
    </r>
  </si>
  <si>
    <r>
      <rPr>
        <sz val="11"/>
        <color rgb="FF000000"/>
        <rFont val="돋움"/>
        <family val="3"/>
        <charset val="129"/>
      </rPr>
      <t xml:space="preserve">「소방시설 설치 및 안전관리에 관한 법률」 제23조제4항 및 같은 법 시행규칙 제23조제6항에 따라 위와 같이 소방시설등의 수리ㆍ교체ㆍ정비에 대한 이행완료 보고서를 제출합니다.</t>
    </r>
    <r>
      <rPr>
        <sz val="11"/>
        <color rgb="FF000000"/>
        <rFont val="한양신명조"/>
        <family val="3"/>
        <charset val="129"/>
      </rPr>
      <t xml:space="preserve"> </t>
    </r>
  </si>
  <si>
    <r>
      <rPr>
        <b val="true"/>
        <sz val="13"/>
        <color rgb="FF000000"/>
        <rFont val="돋움"/>
        <family val="3"/>
        <charset val="129"/>
      </rPr>
      <t xml:space="preserve">소방서장  </t>
    </r>
    <r>
      <rPr>
        <sz val="11"/>
        <color rgb="FF000000"/>
        <rFont val="돋움"/>
        <family val="3"/>
        <charset val="129"/>
      </rPr>
      <t xml:space="preserve"> 귀하</t>
    </r>
  </si>
  <si>
    <r>
      <rPr>
        <sz val="9"/>
        <color rgb="FF000000"/>
        <rFont val="돋움체"/>
        <family val="3"/>
        <charset val="129"/>
      </rPr>
      <t xml:space="preserve">첨부서류</t>
    </r>
    <r>
      <rPr>
        <sz val="11"/>
        <color rgb="FF000000"/>
        <rFont val="한양신명조"/>
        <family val="3"/>
        <charset val="129"/>
      </rPr>
      <t xml:space="preserve"> </t>
    </r>
  </si>
  <si>
    <r>
      <rPr>
        <sz val="9"/>
        <color rgb="FF000000"/>
        <rFont val="돋움체"/>
        <family val="3"/>
        <charset val="129"/>
      </rPr>
      <t xml:space="preserve">1. 이행계획 건별 이행 전ㆍ후 사진 증명자료 1부</t>
    </r>
    <r>
      <rPr>
        <sz val="11"/>
        <color rgb="FF000000"/>
        <rFont val="한양신명조"/>
        <family val="3"/>
        <charset val="129"/>
      </rPr>
      <t xml:space="preserve"> </t>
    </r>
  </si>
  <si>
    <r>
      <rPr>
        <sz val="9"/>
        <color rgb="FF000000"/>
        <rFont val="돋움체"/>
        <family val="3"/>
        <charset val="129"/>
      </rPr>
      <t xml:space="preserve">2. 소방시설공사 계약서(이행조치 내용과 관련됩니다) 1부</t>
    </r>
    <r>
      <rPr>
        <sz val="11"/>
        <color rgb="FF000000"/>
        <rFont val="한양신명조"/>
        <family val="3"/>
        <charset val="129"/>
      </rPr>
      <t xml:space="preserve"> </t>
    </r>
  </si>
  <si>
    <r>
      <rPr>
        <sz val="8"/>
        <color rgb="FF000000"/>
        <rFont val="돋움"/>
        <family val="3"/>
        <charset val="129"/>
      </rPr>
      <t xml:space="preserve">「소방시설 설치 및 관리에 관한 법률」 제61조제1항 제8호 및 제9호</t>
    </r>
    <r>
      <rPr>
        <sz val="11"/>
        <color rgb="FF000000"/>
        <rFont val="한양신명조"/>
        <family val="3"/>
        <charset val="129"/>
      </rPr>
      <t xml:space="preserve"> </t>
    </r>
  </si>
  <si>
    <r>
      <rPr>
        <sz val="8"/>
        <color rgb="FF000000"/>
        <rFont val="돋움"/>
        <family val="3"/>
        <charset val="129"/>
      </rPr>
      <t xml:space="preserve">1. 특정소방대상물의 관계인이 법 제22조에 따른 소방시설등의 자체점검 결과에 따른 수리ㆍ조치ㆍ정비사항 발생 시 이행계획서를 첨부하지 않거나 거짓으로 제출한 경우 300만원 이하의 과태료를 부과합니다. </t>
    </r>
    <r>
      <rPr>
        <sz val="11"/>
        <color rgb="FF000000"/>
        <rFont val="한양신명조"/>
        <family val="3"/>
        <charset val="129"/>
      </rPr>
      <t xml:space="preserve"> </t>
    </r>
  </si>
  <si>
    <r>
      <rPr>
        <sz val="8"/>
        <color rgb="FF000000"/>
        <rFont val="돋움"/>
        <family val="3"/>
        <charset val="129"/>
      </rPr>
      <t xml:space="preserve">2. 특정소방대상물의 관계인이 소방시설등의 수리ㆍ조치ㆍ정비 이행계획을 별도의 연기신청 없이 기간 내에 완료하지 않은 경우 300만원 이하의 과태료를 부과합니다.</t>
    </r>
    <r>
      <rPr>
        <sz val="11"/>
        <color rgb="FF000000"/>
        <rFont val="한양신명조"/>
        <family val="3"/>
        <charset val="129"/>
      </rPr>
      <t xml:space="preserve"> </t>
    </r>
  </si>
  <si>
    <t xml:space="preserve">소 방 시 설 보 수 계 약 서</t>
  </si>
  <si>
    <t xml:space="preserve">(이하 "발주처"라 칭함)과   ㈜승진소방ENG(이하 "계약대상자"라 칭함)</t>
  </si>
  <si>
    <t xml:space="preserve">아래와 같이 소방시설물 보수 용역계약을 체결함에 있어 계약체결의 증표로써 본 계약서 2부를</t>
  </si>
  <si>
    <t xml:space="preserve">작성하여 쌍방이 서명 날인하고 "발주처"."계약대상자"가 1부씩 보관한다.</t>
  </si>
  <si>
    <t xml:space="preserve">계약내용</t>
  </si>
  <si>
    <t xml:space="preserve">1.</t>
  </si>
  <si>
    <t xml:space="preserve">계약명</t>
  </si>
  <si>
    <t xml:space="preserve">소방보수</t>
  </si>
  <si>
    <t xml:space="preserve">2.</t>
  </si>
  <si>
    <t xml:space="preserve">주      소 </t>
  </si>
  <si>
    <t xml:space="preserve">3.</t>
  </si>
  <si>
    <t xml:space="preserve">건축물 개요</t>
  </si>
  <si>
    <t xml:space="preserve">4.</t>
  </si>
  <si>
    <t xml:space="preserve">보수기간</t>
  </si>
  <si>
    <t xml:space="preserve">5.</t>
  </si>
  <si>
    <t xml:space="preserve">보수금액</t>
  </si>
  <si>
    <t xml:space="preserve">일금</t>
  </si>
  <si>
    <t xml:space="preserve">6.</t>
  </si>
  <si>
    <t xml:space="preserve">선급금</t>
  </si>
  <si>
    <t xml:space="preserve">7.</t>
  </si>
  <si>
    <t xml:space="preserve">중도금</t>
  </si>
  <si>
    <t xml:space="preserve">8.</t>
  </si>
  <si>
    <t xml:space="preserve">잔금</t>
  </si>
  <si>
    <t xml:space="preserve">(VAT별도) (공사완료후 30일이내)</t>
  </si>
  <si>
    <t xml:space="preserve">기타사항</t>
  </si>
  <si>
    <t xml:space="preserve"> 본 공사 이행에 필요한 사항은 별첨 협약서에 의한다.</t>
  </si>
  <si>
    <t xml:space="preserve">첨         부</t>
  </si>
  <si>
    <t xml:space="preserve">1. 협약서 1부</t>
  </si>
  <si>
    <t xml:space="preserve">작성일자</t>
  </si>
  <si>
    <t xml:space="preserve">발   주   처</t>
  </si>
  <si>
    <t xml:space="preserve">주     소 :</t>
  </si>
  <si>
    <t xml:space="preserve">상     호 : </t>
  </si>
  <si>
    <t xml:space="preserve">연락처:</t>
  </si>
  <si>
    <t xml:space="preserve">담 당 자 :  </t>
  </si>
  <si>
    <t xml:space="preserve">(서명 또는 날인)</t>
  </si>
  <si>
    <t xml:space="preserve">계약대상자</t>
  </si>
  <si>
    <t xml:space="preserve">경기도 양평군 양평읍 잿말길10번길 50-1</t>
  </si>
  <si>
    <t xml:space="preserve">상     호 :</t>
  </si>
  <si>
    <t xml:space="preserve">연락처 :</t>
  </si>
  <si>
    <t xml:space="preserve">031-772-3019</t>
  </si>
  <si>
    <t xml:space="preserve">대 표 자 :</t>
  </si>
  <si>
    <t xml:space="preserve">(인)</t>
  </si>
  <si>
    <t xml:space="preserve">팩  스 :</t>
  </si>
  <si>
    <t xml:space="preserve">031-772-2419</t>
  </si>
</sst>
</file>

<file path=xl/styles.xml><?xml version="1.0" encoding="utf-8"?>
<styleSheet xmlns="http://schemas.openxmlformats.org/spreadsheetml/2006/main">
  <numFmts count="38">
    <numFmt numFmtId="164" formatCode="General"/>
    <numFmt numFmtId="165" formatCode="_ * #,##0_ ;_ * \-#,##0_ ;_ * \-_ ;_ @_ "/>
    <numFmt numFmtId="166" formatCode="_ * #,##0.00_ ;_ * \-#,##0.00_ ;_ * \-??_ ;_ @_ "/>
    <numFmt numFmtId="167" formatCode="_(\$* #,##0_);_(\$* \(#,##0\);_(\$* \-_);_(@_)"/>
    <numFmt numFmtId="168" formatCode="_(\$* #,##0.00_);_(\$* \(#,##0.00\);_(\$* \-??_);_(@_)"/>
    <numFmt numFmtId="169" formatCode="0.00%"/>
    <numFmt numFmtId="170" formatCode="###&quot;일)&quot;"/>
    <numFmt numFmtId="171" formatCode="mm&quot;월 &quot;dd\일"/>
    <numFmt numFmtId="172" formatCode="[$-412]yyyy\-mm\-dd"/>
    <numFmt numFmtId="173" formatCode="###&quot;성명&quot;"/>
    <numFmt numFmtId="174" formatCode="yy\-m\-d;@"/>
    <numFmt numFmtId="175" formatCode="yyyy&quot;년 &quot;m&quot;월 &quot;d\일;@"/>
    <numFmt numFmtId="176" formatCode="@"/>
    <numFmt numFmtId="177" formatCode="&quot;성명 &quot;###\층"/>
    <numFmt numFmtId="178" formatCode="###\급"/>
    <numFmt numFmtId="179" formatCode="[$-412]yyyy&quot;년 &quot;mm&quot;월 &quot;dd\일"/>
    <numFmt numFmtId="180" formatCode="###&quot; 층&quot;"/>
    <numFmt numFmtId="181" formatCode="###&quot; 층&quot;"/>
    <numFmt numFmtId="182" formatCode="###&quot;개동&quot;"/>
    <numFmt numFmtId="183" formatCode="###&quot;기타&quot;"/>
    <numFmt numFmtId="184" formatCode="####&quot; 년도&quot;"/>
    <numFmt numFmtId="185" formatCode="&quot;[  &quot;@&quot;  ]&quot;"/>
    <numFmt numFmtId="186" formatCode="yyyy&quot;년 &quot;m\월;@"/>
    <numFmt numFmtId="187" formatCode="####&quot; 년&quot;"/>
    <numFmt numFmtId="188" formatCode="yyyy/mm/dd;@"/>
    <numFmt numFmtId="189" formatCode="yyyy\-m\-d;@"/>
    <numFmt numFmtId="190" formatCode="\₩#,##0"/>
    <numFmt numFmtId="191" formatCode="#,##0_ "/>
    <numFmt numFmtId="192" formatCode="General"/>
    <numFmt numFmtId="193" formatCode="_ * #,##0_ ;_ * \-#,##0_ ;_ * \-_ ;_ @_ "/>
    <numFmt numFmtId="194" formatCode="_ * #,##0.00_ ;_ * \-#,##0.00_ ;_ * \-??_ ;_ @_ "/>
    <numFmt numFmtId="195" formatCode="_(\$* #,##0_);_(\$* \(#,##0\);_(\$* \-_);_(@_)"/>
    <numFmt numFmtId="196" formatCode="_(\$* #,##0.00_);_(\$* \(#,##0.00\);_(\$* \-??_);_(@_)"/>
    <numFmt numFmtId="197" formatCode="0.00%"/>
    <numFmt numFmtId="198" formatCode="@"/>
    <numFmt numFmtId="199" formatCode="#,##0_ "/>
    <numFmt numFmtId="200" formatCode="#,##0"/>
    <numFmt numFmtId="201" formatCode="#,##0.00_);[RED]\(#,##0.00\)"/>
  </numFmts>
  <fonts count="142">
    <font>
      <sz val="11"/>
      <name val="돋움"/>
      <family val="3"/>
      <charset val="129"/>
    </font>
    <font>
      <sz val="10"/>
      <name val="Arial"/>
      <family val="0"/>
      <charset val="129"/>
    </font>
    <font>
      <sz val="10"/>
      <name val="Arial"/>
      <family val="0"/>
      <charset val="129"/>
    </font>
    <font>
      <sz val="10"/>
      <name val="Arial"/>
      <family val="0"/>
      <charset val="129"/>
    </font>
    <font>
      <sz val="12"/>
      <name val="바탕체"/>
      <family val="1"/>
      <charset val="129"/>
    </font>
    <font>
      <b val="true"/>
      <sz val="10"/>
      <name val="Arial"/>
      <family val="2"/>
    </font>
    <font>
      <sz val="8"/>
      <name val="Arial"/>
      <family val="2"/>
    </font>
    <font>
      <b val="true"/>
      <sz val="12"/>
      <name val="Arial"/>
      <family val="2"/>
    </font>
    <font>
      <b val="true"/>
      <sz val="11"/>
      <name val="Arial"/>
      <family val="2"/>
    </font>
    <font>
      <sz val="10"/>
      <name val="Times New Roman"/>
      <family val="1"/>
    </font>
    <font>
      <sz val="11"/>
      <color rgb="FF000000"/>
      <name val="맑은 고딕"/>
      <family val="3"/>
      <charset val="129"/>
    </font>
    <font>
      <sz val="10"/>
      <color rgb="FF000000"/>
      <name val="돋움체"/>
      <family val="3"/>
      <charset val="129"/>
    </font>
    <font>
      <sz val="11"/>
      <color rgb="FF000000"/>
      <name val="바탕체"/>
      <family val="1"/>
      <charset val="129"/>
    </font>
    <font>
      <sz val="11"/>
      <color rgb="FFFF0000"/>
      <name val="바탕체"/>
      <family val="1"/>
      <charset val="129"/>
    </font>
    <font>
      <sz val="11"/>
      <color rgb="FFFF0000"/>
      <name val="돋움"/>
      <family val="3"/>
      <charset val="129"/>
    </font>
    <font>
      <sz val="11"/>
      <color rgb="FF000000"/>
      <name val="돋움체"/>
      <family val="3"/>
      <charset val="129"/>
    </font>
    <font>
      <sz val="11"/>
      <color rgb="FFFF0000"/>
      <name val="돋움체"/>
      <family val="3"/>
      <charset val="129"/>
    </font>
    <font>
      <b val="true"/>
      <sz val="11"/>
      <name val="맑은 고딕"/>
      <family val="3"/>
      <charset val="129"/>
    </font>
    <font>
      <b val="true"/>
      <sz val="11"/>
      <color rgb="FFFF0000"/>
      <name val="맑은 고딕"/>
      <family val="3"/>
      <charset val="129"/>
    </font>
    <font>
      <sz val="11"/>
      <name val="돋움체"/>
      <family val="3"/>
      <charset val="129"/>
    </font>
    <font>
      <b val="true"/>
      <sz val="18"/>
      <color rgb="FF000000"/>
      <name val="돋움"/>
      <family val="3"/>
      <charset val="129"/>
    </font>
    <font>
      <b val="true"/>
      <sz val="18"/>
      <color rgb="FF000000"/>
      <name val="나눔고딕"/>
      <family val="2"/>
      <charset val="129"/>
    </font>
    <font>
      <b val="true"/>
      <sz val="9"/>
      <color rgb="FF000000"/>
      <name val="돋움"/>
      <family val="3"/>
      <charset val="129"/>
    </font>
    <font>
      <b val="true"/>
      <sz val="9"/>
      <color rgb="FF000000"/>
      <name val="나눔고딕"/>
      <family val="2"/>
      <charset val="129"/>
    </font>
    <font>
      <b val="true"/>
      <sz val="9"/>
      <color rgb="FF000000"/>
      <name val="Tahoma"/>
      <family val="2"/>
    </font>
    <font>
      <b val="true"/>
      <sz val="12"/>
      <color rgb="FF000000"/>
      <name val="돋움"/>
      <family val="3"/>
      <charset val="129"/>
    </font>
    <font>
      <b val="true"/>
      <sz val="22"/>
      <color rgb="FF000000"/>
      <name val="돋움"/>
      <family val="3"/>
      <charset val="129"/>
    </font>
    <font>
      <b val="true"/>
      <sz val="22"/>
      <color rgb="FF000000"/>
      <name val="나눔고딕"/>
      <family val="2"/>
      <charset val="129"/>
    </font>
    <font>
      <b val="true"/>
      <sz val="14"/>
      <color rgb="FF000000"/>
      <name val="돋움"/>
      <family val="3"/>
      <charset val="129"/>
    </font>
    <font>
      <b val="true"/>
      <sz val="14"/>
      <color rgb="FF000000"/>
      <name val="나눔고딕"/>
      <family val="2"/>
      <charset val="129"/>
    </font>
    <font>
      <b val="true"/>
      <sz val="14"/>
      <color rgb="FF000000"/>
      <name val="Tahoma"/>
      <family val="2"/>
    </font>
    <font>
      <sz val="14"/>
      <color rgb="FF000000"/>
      <name val="돋움"/>
      <family val="3"/>
      <charset val="129"/>
    </font>
    <font>
      <sz val="14"/>
      <color rgb="FF000000"/>
      <name val="나눔고딕"/>
      <family val="2"/>
      <charset val="129"/>
    </font>
    <font>
      <sz val="14"/>
      <color rgb="FF000000"/>
      <name val="Tahoma"/>
      <family val="2"/>
    </font>
    <font>
      <b val="true"/>
      <sz val="12"/>
      <color rgb="FF000000"/>
      <name val="나눔고딕"/>
      <family val="2"/>
      <charset val="129"/>
    </font>
    <font>
      <sz val="11"/>
      <name val="바탕체"/>
      <family val="1"/>
      <charset val="129"/>
    </font>
    <font>
      <sz val="9"/>
      <name val="바탕체"/>
      <family val="1"/>
      <charset val="129"/>
    </font>
    <font>
      <b val="true"/>
      <sz val="14"/>
      <color rgb="FFFF0000"/>
      <name val="바탕체"/>
      <family val="1"/>
      <charset val="129"/>
    </font>
    <font>
      <b val="true"/>
      <sz val="12"/>
      <color rgb="FFFF0000"/>
      <name val="바탕체"/>
      <family val="1"/>
      <charset val="129"/>
    </font>
    <font>
      <b val="true"/>
      <sz val="18"/>
      <color rgb="FF0066CC"/>
      <name val="바탕체"/>
      <family val="1"/>
      <charset val="129"/>
    </font>
    <font>
      <b val="true"/>
      <sz val="18"/>
      <name val="바탕체"/>
      <family val="1"/>
      <charset val="129"/>
    </font>
    <font>
      <sz val="10"/>
      <name val="바탕체"/>
      <family val="1"/>
      <charset val="129"/>
    </font>
    <font>
      <sz val="10"/>
      <color rgb="FFFF0000"/>
      <name val="바탕체"/>
      <family val="1"/>
      <charset val="129"/>
    </font>
    <font>
      <b val="true"/>
      <sz val="14"/>
      <name val="바탕체"/>
      <family val="1"/>
      <charset val="129"/>
    </font>
    <font>
      <b val="true"/>
      <sz val="22"/>
      <name val="바탕체"/>
      <family val="1"/>
      <charset val="129"/>
    </font>
    <font>
      <b val="true"/>
      <sz val="12"/>
      <name val="바탕체"/>
      <family val="1"/>
      <charset val="129"/>
    </font>
    <font>
      <sz val="10"/>
      <color rgb="FF000000"/>
      <name val="바탕체"/>
      <family val="1"/>
      <charset val="129"/>
    </font>
    <font>
      <b val="true"/>
      <sz val="12"/>
      <color rgb="FF000000"/>
      <name val="바탕체"/>
      <family val="1"/>
      <charset val="129"/>
    </font>
    <font>
      <sz val="8"/>
      <color rgb="FF000000"/>
      <name val="바탕체"/>
      <family val="1"/>
      <charset val="129"/>
    </font>
    <font>
      <sz val="8"/>
      <name val="바탕체"/>
      <family val="1"/>
      <charset val="129"/>
    </font>
    <font>
      <u val="single"/>
      <sz val="11"/>
      <name val="바탕체"/>
      <family val="1"/>
      <charset val="129"/>
    </font>
    <font>
      <sz val="11"/>
      <color rgb="FF000000"/>
      <name val="바탕"/>
      <family val="1"/>
      <charset val="129"/>
    </font>
    <font>
      <sz val="12"/>
      <color rgb="FF000000"/>
      <name val="바탕체"/>
      <family val="1"/>
      <charset val="129"/>
    </font>
    <font>
      <sz val="10"/>
      <color rgb="FF993300"/>
      <name val="바탕체"/>
      <family val="1"/>
      <charset val="129"/>
    </font>
    <font>
      <sz val="10"/>
      <color rgb="FF0066CC"/>
      <name val="바탕체"/>
      <family val="1"/>
      <charset val="129"/>
    </font>
    <font>
      <sz val="10"/>
      <color rgb="FF000000"/>
      <name val="바탕"/>
      <family val="1"/>
      <charset val="129"/>
    </font>
    <font>
      <sz val="9"/>
      <color rgb="FF000000"/>
      <name val="바탕체"/>
      <family val="1"/>
      <charset val="129"/>
    </font>
    <font>
      <sz val="12"/>
      <color rgb="FFFF0000"/>
      <name val="바탕체"/>
      <family val="1"/>
      <charset val="129"/>
    </font>
    <font>
      <sz val="11"/>
      <color rgb="FF0066CC"/>
      <name val="바탕체"/>
      <family val="1"/>
      <charset val="129"/>
    </font>
    <font>
      <b val="true"/>
      <sz val="20"/>
      <color rgb="FF000000"/>
      <name val="맑은 고딕"/>
      <family val="3"/>
      <charset val="129"/>
    </font>
    <font>
      <sz val="16"/>
      <color rgb="FF000000"/>
      <name val="HY견고딕"/>
      <family val="1"/>
      <charset val="129"/>
    </font>
    <font>
      <sz val="22"/>
      <color rgb="FF000000"/>
      <name val="HY견고딕"/>
      <family val="1"/>
      <charset val="129"/>
    </font>
    <font>
      <sz val="22"/>
      <color rgb="FFFF0000"/>
      <name val="HY견고딕"/>
      <family val="1"/>
      <charset val="129"/>
    </font>
    <font>
      <b val="true"/>
      <sz val="22"/>
      <name val="HY견고딕"/>
      <family val="1"/>
      <charset val="129"/>
    </font>
    <font>
      <sz val="20"/>
      <color rgb="FF000000"/>
      <name val="HY견고딕"/>
      <family val="1"/>
      <charset val="129"/>
    </font>
    <font>
      <b val="true"/>
      <sz val="20"/>
      <color rgb="FF000080"/>
      <name val="HY견명조"/>
      <family val="1"/>
      <charset val="129"/>
    </font>
    <font>
      <sz val="16"/>
      <color rgb="FF000000"/>
      <name val="맑은 고딕"/>
      <family val="3"/>
      <charset val="129"/>
    </font>
    <font>
      <sz val="11"/>
      <color rgb="FF000000"/>
      <name val="HY견명조"/>
      <family val="1"/>
      <charset val="129"/>
    </font>
    <font>
      <sz val="10"/>
      <color rgb="FF000000"/>
      <name val="HY견명조"/>
      <family val="1"/>
      <charset val="129"/>
    </font>
    <font>
      <sz val="11"/>
      <name val="바탕"/>
      <family val="1"/>
      <charset val="129"/>
    </font>
    <font>
      <sz val="9"/>
      <color rgb="FF000000"/>
      <name val="굴림"/>
      <family val="3"/>
      <charset val="129"/>
    </font>
    <font>
      <sz val="10"/>
      <color rgb="FF000000"/>
      <name val="굴림"/>
      <family val="3"/>
      <charset val="129"/>
    </font>
    <font>
      <b val="true"/>
      <sz val="12"/>
      <name val="굴림"/>
      <family val="3"/>
      <charset val="129"/>
    </font>
    <font>
      <sz val="11"/>
      <name val="굴림"/>
      <family val="3"/>
      <charset val="129"/>
    </font>
    <font>
      <sz val="12"/>
      <name val="굴림"/>
      <family val="3"/>
      <charset val="129"/>
    </font>
    <font>
      <sz val="12"/>
      <color rgb="FF000000"/>
      <name val="굴림"/>
      <family val="3"/>
      <charset val="129"/>
    </font>
    <font>
      <sz val="10"/>
      <name val="굴림"/>
      <family val="3"/>
      <charset val="129"/>
    </font>
    <font>
      <sz val="10"/>
      <name val="바탕"/>
      <family val="1"/>
      <charset val="129"/>
    </font>
    <font>
      <b val="true"/>
      <sz val="12"/>
      <name val="맑은 고딕"/>
      <family val="3"/>
      <charset val="129"/>
    </font>
    <font>
      <b val="true"/>
      <sz val="12"/>
      <color rgb="FF000000"/>
      <name val="맑은 고딕"/>
      <family val="3"/>
      <charset val="129"/>
    </font>
    <font>
      <sz val="12"/>
      <name val="바탕"/>
      <family val="1"/>
      <charset val="129"/>
    </font>
    <font>
      <b val="true"/>
      <sz val="20"/>
      <name val="굴림"/>
      <family val="3"/>
      <charset val="129"/>
    </font>
    <font>
      <b val="true"/>
      <sz val="20"/>
      <name val="맑은 고딕"/>
      <family val="3"/>
      <charset val="129"/>
    </font>
    <font>
      <sz val="14"/>
      <name val="바탕체"/>
      <family val="1"/>
      <charset val="129"/>
    </font>
    <font>
      <b val="true"/>
      <sz val="10"/>
      <name val="바탕체"/>
      <family val="1"/>
      <charset val="129"/>
    </font>
    <font>
      <b val="true"/>
      <sz val="11"/>
      <name val="바탕체"/>
      <family val="1"/>
      <charset val="129"/>
    </font>
    <font>
      <b val="true"/>
      <sz val="11"/>
      <color rgb="FF000000"/>
      <name val="바탕체"/>
      <family val="1"/>
      <charset val="129"/>
    </font>
    <font>
      <b val="true"/>
      <sz val="8"/>
      <color rgb="FF000000"/>
      <name val="바탕체"/>
      <family val="1"/>
      <charset val="129"/>
    </font>
    <font>
      <b val="true"/>
      <sz val="16"/>
      <color rgb="FF000000"/>
      <name val="맑은 고딕"/>
      <family val="3"/>
      <charset val="129"/>
    </font>
    <font>
      <sz val="10"/>
      <color rgb="FF000000"/>
      <name val="맑은 고딕"/>
      <family val="3"/>
      <charset val="129"/>
    </font>
    <font>
      <b val="true"/>
      <sz val="14"/>
      <name val="맑은 고딕"/>
      <family val="3"/>
      <charset val="129"/>
    </font>
    <font>
      <b val="true"/>
      <sz val="10"/>
      <color rgb="FF000000"/>
      <name val="맑은 고딕"/>
      <family val="3"/>
      <charset val="129"/>
    </font>
    <font>
      <sz val="11"/>
      <color rgb="FF000000"/>
      <name val="함초롬바탕"/>
      <family val="1"/>
      <charset val="129"/>
    </font>
    <font>
      <sz val="10"/>
      <color rgb="FF000000"/>
      <name val="함초롬바탕"/>
      <family val="1"/>
      <charset val="129"/>
    </font>
    <font>
      <b val="true"/>
      <sz val="13"/>
      <color rgb="FF000000"/>
      <name val="돋움"/>
      <family val="3"/>
      <charset val="129"/>
    </font>
    <font>
      <sz val="10"/>
      <color rgb="FF000000"/>
      <name val="돋움"/>
      <family val="3"/>
      <charset val="129"/>
    </font>
    <font>
      <sz val="10"/>
      <name val="돋움"/>
      <family val="3"/>
      <charset val="129"/>
    </font>
    <font>
      <sz val="14"/>
      <color rgb="FF000000"/>
      <name val="한양신명조"/>
      <family val="3"/>
      <charset val="129"/>
    </font>
    <font>
      <sz val="11"/>
      <color rgb="FF000000"/>
      <name val="돋움"/>
      <family val="3"/>
      <charset val="129"/>
    </font>
    <font>
      <sz val="8"/>
      <color rgb="FF808080"/>
      <name val="돋움"/>
      <family val="3"/>
      <charset val="129"/>
    </font>
    <font>
      <sz val="9"/>
      <color rgb="FF000000"/>
      <name val="돋움"/>
      <family val="3"/>
      <charset val="129"/>
    </font>
    <font>
      <b val="true"/>
      <sz val="13"/>
      <color rgb="FF000000"/>
      <name val="돋움체"/>
      <family val="3"/>
      <charset val="129"/>
    </font>
    <font>
      <sz val="8"/>
      <color rgb="FF000000"/>
      <name val="돋움체"/>
      <family val="3"/>
      <charset val="129"/>
    </font>
    <font>
      <sz val="12.5"/>
      <color rgb="FF000000"/>
      <name val="신명 견명조"/>
      <family val="3"/>
      <charset val="129"/>
    </font>
    <font>
      <sz val="11"/>
      <color rgb="FF000000"/>
      <name val="한양신명조"/>
      <family val="3"/>
      <charset val="129"/>
    </font>
    <font>
      <b val="true"/>
      <sz val="11"/>
      <color rgb="FF000000"/>
      <name val="돋움"/>
      <family val="3"/>
      <charset val="129"/>
    </font>
    <font>
      <sz val="11"/>
      <color rgb="FFFF0000"/>
      <name val="한양신명조"/>
      <family val="3"/>
      <charset val="129"/>
    </font>
    <font>
      <sz val="8"/>
      <color rgb="FF000000"/>
      <name val="돋움"/>
      <family val="3"/>
      <charset val="129"/>
    </font>
    <font>
      <b val="true"/>
      <sz val="16"/>
      <color rgb="FF000000"/>
      <name val="돋움"/>
      <family val="3"/>
      <charset val="129"/>
    </font>
    <font>
      <b val="true"/>
      <sz val="16"/>
      <color rgb="FF000000"/>
      <name val="나눔고딕"/>
      <family val="2"/>
      <charset val="129"/>
    </font>
    <font>
      <sz val="10"/>
      <color rgb="FF000000"/>
      <name val="한양신명조"/>
      <family val="3"/>
      <charset val="129"/>
    </font>
    <font>
      <b val="true"/>
      <sz val="11"/>
      <color rgb="FF000000"/>
      <name val="맑은 고딕"/>
      <family val="3"/>
      <charset val="129"/>
    </font>
    <font>
      <b val="true"/>
      <sz val="11"/>
      <color rgb="FF000000"/>
      <name val="한양신명조"/>
      <family val="3"/>
      <charset val="129"/>
    </font>
    <font>
      <sz val="9"/>
      <color rgb="FF000000"/>
      <name val="돋움체"/>
      <family val="3"/>
      <charset val="129"/>
    </font>
    <font>
      <sz val="11"/>
      <name val="휴먼옛체"/>
      <family val="1"/>
      <charset val="129"/>
    </font>
    <font>
      <b val="true"/>
      <u val="single"/>
      <sz val="16"/>
      <name val="맑은 고딕"/>
      <family val="3"/>
      <charset val="129"/>
    </font>
    <font>
      <b val="true"/>
      <sz val="12"/>
      <name val="굴림체"/>
      <family val="3"/>
      <charset val="129"/>
    </font>
    <font>
      <sz val="11"/>
      <name val="돋움"/>
      <family val="3"/>
      <charset val="129"/>
    </font>
    <font>
      <sz val="10"/>
      <name val="Arial"/>
      <family val="0"/>
      <charset val="129"/>
    </font>
    <font>
      <sz val="10"/>
      <name val="Arial"/>
      <family val="0"/>
      <charset val="129"/>
    </font>
    <font>
      <sz val="10"/>
      <name val="Arial"/>
      <family val="0"/>
      <charset val="129"/>
    </font>
    <font>
      <sz val="12"/>
      <name val="바탕체"/>
      <family val="1"/>
      <charset val="129"/>
    </font>
    <font>
      <b val="true"/>
      <sz val="10"/>
      <name val="Arial"/>
      <family val="2"/>
    </font>
    <font>
      <sz val="8"/>
      <name val="Arial"/>
      <family val="2"/>
    </font>
    <font>
      <b val="true"/>
      <sz val="12"/>
      <name val="Arial"/>
      <family val="2"/>
    </font>
    <font>
      <b val="true"/>
      <sz val="11"/>
      <name val="Arial"/>
      <family val="2"/>
    </font>
    <font>
      <sz val="10"/>
      <name val="Times New Roman"/>
      <family val="1"/>
    </font>
    <font>
      <sz val="11"/>
      <color rgb="FF000000"/>
      <name val="맑은 고딕"/>
      <family val="3"/>
      <charset val="129"/>
    </font>
    <font>
      <sz val="11"/>
      <name val="바탕체"/>
      <family val="1"/>
      <charset val="129"/>
    </font>
    <font>
      <sz val="11"/>
      <color rgb="FF000000"/>
      <name val="바탕체"/>
      <family val="1"/>
      <charset val="129"/>
    </font>
    <font>
      <b val="true"/>
      <sz val="14"/>
      <color rgb="FF000000"/>
      <name val="바탕체"/>
      <family val="1"/>
      <charset val="129"/>
    </font>
    <font>
      <b val="true"/>
      <sz val="11"/>
      <color rgb="FF000000"/>
      <name val="바탕체"/>
      <family val="1"/>
      <charset val="129"/>
    </font>
    <font>
      <sz val="10"/>
      <color rgb="FF000000"/>
      <name val="바탕체"/>
      <family val="1"/>
      <charset val="129"/>
    </font>
    <font>
      <b val="true"/>
      <sz val="10"/>
      <color rgb="FF000000"/>
      <name val="바탕체"/>
      <family val="1"/>
      <charset val="129"/>
    </font>
    <font>
      <sz val="9"/>
      <color rgb="FF000000"/>
      <name val="바탕체"/>
      <family val="1"/>
      <charset val="129"/>
    </font>
    <font>
      <b val="true"/>
      <sz val="18"/>
      <color rgb="FF000000"/>
      <name val="바탕체"/>
      <family val="1"/>
      <charset val="129"/>
    </font>
    <font>
      <b val="true"/>
      <sz val="14"/>
      <name val="바탕체"/>
      <family val="1"/>
      <charset val="129"/>
    </font>
    <font>
      <sz val="10"/>
      <name val="바탕체"/>
      <family val="1"/>
      <charset val="129"/>
    </font>
    <font>
      <b val="true"/>
      <sz val="11"/>
      <name val="바탕체"/>
      <family val="1"/>
      <charset val="129"/>
    </font>
    <font>
      <b val="true"/>
      <sz val="10"/>
      <name val="바탕체"/>
      <family val="1"/>
      <charset val="129"/>
    </font>
    <font>
      <b val="true"/>
      <sz val="11"/>
      <color rgb="FF000000"/>
      <name val="MingLiU"/>
      <family val="3"/>
      <charset val="136"/>
    </font>
    <font>
      <b val="true"/>
      <sz val="10"/>
      <color rgb="FF000000"/>
      <name val="MingLiU"/>
      <family val="3"/>
      <charset val="136"/>
    </font>
  </fonts>
  <fills count="13">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C0C0C0"/>
        <bgColor rgb="FFCCCCFF"/>
      </patternFill>
    </fill>
    <fill>
      <patternFill patternType="solid">
        <fgColor rgb="FF99CC00"/>
        <bgColor rgb="FFFFCC00"/>
      </patternFill>
    </fill>
    <fill>
      <patternFill patternType="solid">
        <fgColor rgb="FF969696"/>
        <bgColor rgb="FF808080"/>
      </patternFill>
    </fill>
    <fill>
      <patternFill patternType="solid">
        <fgColor rgb="FF003366"/>
        <bgColor rgb="FF333399"/>
      </patternFill>
    </fill>
    <fill>
      <patternFill patternType="solid">
        <fgColor rgb="FF000000"/>
        <bgColor rgb="FF003300"/>
      </patternFill>
    </fill>
    <fill>
      <patternFill patternType="none"/>
    </fill>
    <fill>
      <patternFill patternType="gray125"/>
    </fill>
    <fill>
      <patternFill patternType="solid">
        <fgColor rgb="FFFFFFFF"/>
        <bgColor rgb="FFFFFFCC"/>
      </patternFill>
    </fill>
    <fill>
      <patternFill patternType="solid">
        <fgColor rgb="FFC0C0C0"/>
        <bgColor rgb="FFCCCCFF"/>
      </patternFill>
    </fill>
  </fills>
  <borders count="147">
    <border diagonalUp="false" diagonalDown="false">
      <left/>
      <right/>
      <top/>
      <bottom/>
      <diagonal/>
    </border>
    <border diagonalUp="false" diagonalDown="false">
      <left/>
      <right/>
      <top style="medium"/>
      <bottom style="medium"/>
      <diagonal/>
    </border>
    <border diagonalUp="false" diagonalDown="false">
      <left/>
      <right/>
      <top style="thin"/>
      <bottom style="thin"/>
      <diagonal/>
    </border>
    <border diagonalUp="false" diagonalDown="false">
      <left/>
      <right/>
      <top/>
      <bottom style="medium"/>
      <diagonal/>
    </border>
    <border diagonalUp="false" diagonalDown="false">
      <left style="hair"/>
      <right style="thin">
        <color rgb="FFC0C0C0"/>
      </right>
      <top style="hair"/>
      <bottom style="hair"/>
      <diagonal/>
    </border>
    <border diagonalUp="false" diagonalDown="false">
      <left style="thin">
        <color rgb="FFC0C0C0"/>
      </left>
      <right style="thin">
        <color rgb="FFC0C0C0"/>
      </right>
      <top style="hair"/>
      <bottom style="hair"/>
      <diagonal/>
    </border>
    <border diagonalUp="false" diagonalDown="false">
      <left style="hair"/>
      <right style="hair"/>
      <top style="hair"/>
      <bottom style="hair"/>
      <diagonal/>
    </border>
    <border diagonalUp="false" diagonalDown="false">
      <left style="thin">
        <color rgb="FFC0C0C0"/>
      </left>
      <right style="thin">
        <color rgb="FFC0C0C0"/>
      </right>
      <top style="hair"/>
      <bottom/>
      <diagonal/>
    </border>
    <border diagonalUp="false" diagonalDown="false">
      <left style="hair"/>
      <right/>
      <top style="hair"/>
      <bottom style="hair"/>
      <diagonal/>
    </border>
    <border diagonalUp="false" diagonalDown="false">
      <left style="thin"/>
      <right style="thin"/>
      <top style="thin"/>
      <bottom style="hair"/>
      <diagonal/>
    </border>
    <border diagonalUp="false" diagonalDown="false">
      <left/>
      <right style="hair"/>
      <top style="hair"/>
      <bottom style="hair"/>
      <diagonal/>
    </border>
    <border diagonalUp="false" diagonalDown="false">
      <left style="thin"/>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thin"/>
      <top style="hair"/>
      <bottom style="thin"/>
      <diagonal/>
    </border>
    <border diagonalUp="false" diagonalDown="false">
      <left style="hair"/>
      <right style="hair"/>
      <top/>
      <bottom style="hair"/>
      <diagonal/>
    </border>
    <border diagonalUp="false" diagonalDown="false">
      <left/>
      <right style="hair"/>
      <top style="thin"/>
      <bottom style="thin"/>
      <diagonal/>
    </border>
    <border diagonalUp="false" diagonalDown="false">
      <left style="hair"/>
      <right/>
      <top style="thin"/>
      <bottom style="hair"/>
      <diagonal/>
    </border>
    <border diagonalUp="false" diagonalDown="false">
      <left/>
      <right style="hair"/>
      <top style="thin"/>
      <bottom style="hair"/>
      <diagonal/>
    </border>
    <border diagonalUp="false" diagonalDown="false">
      <left style="hair"/>
      <right/>
      <top style="thin"/>
      <bottom/>
      <diagonal/>
    </border>
    <border diagonalUp="false" diagonalDown="false">
      <left style="hair"/>
      <right/>
      <top/>
      <bottom style="hair"/>
      <diagonal/>
    </border>
    <border diagonalUp="false" diagonalDown="false">
      <left style="hair"/>
      <right/>
      <top style="hair"/>
      <bottom style="thin"/>
      <diagonal/>
    </border>
    <border diagonalUp="false" diagonalDown="false">
      <left/>
      <right/>
      <top style="hair"/>
      <bottom style="thin"/>
      <diagonal/>
    </border>
    <border diagonalUp="false" diagonalDown="false">
      <left style="hair"/>
      <right style="hair"/>
      <top style="thin"/>
      <bottom style="hair"/>
      <diagonal/>
    </border>
    <border diagonalUp="false" diagonalDown="false">
      <left style="hair"/>
      <right/>
      <top style="hair"/>
      <bottom/>
      <diagonal/>
    </border>
    <border diagonalUp="false" diagonalDown="false">
      <left/>
      <right/>
      <top style="hair"/>
      <bottom/>
      <diagonal/>
    </border>
    <border diagonalUp="false" diagonalDown="false">
      <left style="hair"/>
      <right/>
      <top/>
      <bottom/>
      <diagonal/>
    </border>
    <border diagonalUp="false" diagonalDown="false">
      <left/>
      <right/>
      <top/>
      <bottom style="hair"/>
      <diagonal/>
    </border>
    <border diagonalUp="false" diagonalDown="false">
      <left/>
      <right/>
      <top style="hair"/>
      <bottom style="hair"/>
      <diagonal/>
    </border>
    <border diagonalUp="false" diagonalDown="false">
      <left/>
      <right style="hair"/>
      <top style="hair"/>
      <bottom style="thin"/>
      <diagonal/>
    </border>
    <border diagonalUp="false" diagonalDown="false">
      <left/>
      <right/>
      <top style="thin"/>
      <bottom style="hair"/>
      <diagonal/>
    </border>
    <border diagonalUp="false" diagonalDown="false">
      <left/>
      <right style="hair"/>
      <top/>
      <bottom style="hair"/>
      <diagonal/>
    </border>
    <border diagonalUp="false" diagonalDown="false">
      <left style="hair"/>
      <right style="hair"/>
      <top style="hair"/>
      <bottom style="thin"/>
      <diagonal/>
    </border>
    <border diagonalUp="false" diagonalDown="false">
      <left/>
      <right/>
      <top/>
      <bottom style="thin"/>
      <diagonal/>
    </border>
    <border diagonalUp="false" diagonalDown="false">
      <left/>
      <right style="hair"/>
      <top style="hair"/>
      <bottom/>
      <diagonal/>
    </border>
    <border diagonalUp="false" diagonalDown="false">
      <left/>
      <right style="hair"/>
      <top/>
      <bottom/>
      <diagonal/>
    </border>
    <border diagonalUp="false" diagonalDown="false">
      <left/>
      <right style="hair"/>
      <top/>
      <bottom style="thin"/>
      <diagonal/>
    </border>
    <border diagonalUp="false" diagonalDown="false">
      <left/>
      <right/>
      <top style="thin"/>
      <bottom/>
      <diagonal/>
    </border>
    <border diagonalUp="false" diagonalDown="false">
      <left/>
      <right style="hair"/>
      <top style="thin"/>
      <bottom/>
      <diagonal/>
    </border>
    <border diagonalUp="false" diagonalDown="false">
      <left style="hair"/>
      <right/>
      <top/>
      <bottom style="thin"/>
      <diagonal/>
    </border>
    <border diagonalUp="false" diagonalDown="false">
      <left/>
      <right style="hair">
        <color rgb="FF808080"/>
      </right>
      <top style="thin">
        <color rgb="FF808080"/>
      </top>
      <bottom style="hair">
        <color rgb="FF808080"/>
      </bottom>
      <diagonal/>
    </border>
    <border diagonalUp="false" diagonalDown="false">
      <left style="hair">
        <color rgb="FF808080"/>
      </left>
      <right style="hair">
        <color rgb="FF808080"/>
      </right>
      <top style="thin">
        <color rgb="FF808080"/>
      </top>
      <bottom style="hair">
        <color rgb="FF808080"/>
      </bottom>
      <diagonal/>
    </border>
    <border diagonalUp="false" diagonalDown="false">
      <left style="hair">
        <color rgb="FF808080"/>
      </left>
      <right/>
      <top style="thin">
        <color rgb="FF808080"/>
      </top>
      <bottom style="hair">
        <color rgb="FF808080"/>
      </bottom>
      <diagonal/>
    </border>
    <border diagonalUp="false" diagonalDown="false">
      <left/>
      <right style="hair">
        <color rgb="FF808080"/>
      </right>
      <top style="hair">
        <color rgb="FF808080"/>
      </top>
      <bottom style="hair">
        <color rgb="FF808080"/>
      </bottom>
      <diagonal/>
    </border>
    <border diagonalUp="false" diagonalDown="false">
      <left style="hair">
        <color rgb="FF808080"/>
      </left>
      <right style="hair">
        <color rgb="FF808080"/>
      </right>
      <top style="hair">
        <color rgb="FF808080"/>
      </top>
      <bottom style="hair">
        <color rgb="FF808080"/>
      </bottom>
      <diagonal/>
    </border>
    <border diagonalUp="false" diagonalDown="false">
      <left style="hair">
        <color rgb="FF808080"/>
      </left>
      <right/>
      <top style="hair">
        <color rgb="FF808080"/>
      </top>
      <bottom style="hair">
        <color rgb="FF808080"/>
      </bottom>
      <diagonal/>
    </border>
    <border diagonalUp="false" diagonalDown="false">
      <left/>
      <right style="hair">
        <color rgb="FF808080"/>
      </right>
      <top style="hair">
        <color rgb="FF808080"/>
      </top>
      <bottom style="double">
        <color rgb="FF808080"/>
      </bottom>
      <diagonal/>
    </border>
    <border diagonalUp="false" diagonalDown="false">
      <left style="hair">
        <color rgb="FF808080"/>
      </left>
      <right style="hair">
        <color rgb="FF808080"/>
      </right>
      <top style="hair">
        <color rgb="FF808080"/>
      </top>
      <bottom style="double">
        <color rgb="FF808080"/>
      </bottom>
      <diagonal/>
    </border>
    <border diagonalUp="false" diagonalDown="false">
      <left style="hair">
        <color rgb="FF808080"/>
      </left>
      <right/>
      <top style="hair">
        <color rgb="FF808080"/>
      </top>
      <bottom style="double">
        <color rgb="FF808080"/>
      </bottom>
      <diagonal/>
    </border>
    <border diagonalUp="false" diagonalDown="false">
      <left/>
      <right style="hair">
        <color rgb="FF808080"/>
      </right>
      <top/>
      <bottom style="hair">
        <color rgb="FF808080"/>
      </bottom>
      <diagonal/>
    </border>
    <border diagonalUp="false" diagonalDown="false">
      <left style="hair">
        <color rgb="FF808080"/>
      </left>
      <right style="hair">
        <color rgb="FF808080"/>
      </right>
      <top/>
      <bottom style="hair">
        <color rgb="FF808080"/>
      </bottom>
      <diagonal/>
    </border>
    <border diagonalUp="false" diagonalDown="false">
      <left style="hair">
        <color rgb="FF808080"/>
      </left>
      <right/>
      <top/>
      <bottom style="hair">
        <color rgb="FF808080"/>
      </bottom>
      <diagonal/>
    </border>
    <border diagonalUp="false" diagonalDown="false">
      <left/>
      <right style="hair">
        <color rgb="FF808080"/>
      </right>
      <top style="hair">
        <color rgb="FF808080"/>
      </top>
      <bottom style="thin">
        <color rgb="FF808080"/>
      </bottom>
      <diagonal/>
    </border>
    <border diagonalUp="false" diagonalDown="false">
      <left style="hair">
        <color rgb="FF808080"/>
      </left>
      <right/>
      <top style="hair">
        <color rgb="FF808080"/>
      </top>
      <bottom style="thin">
        <color rgb="FF808080"/>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hair"/>
      <right style="hair"/>
      <top style="hair"/>
      <bottom/>
      <diagonal/>
    </border>
    <border diagonalUp="false" diagonalDown="false">
      <left style="hair"/>
      <right style="hair"/>
      <top/>
      <bottom/>
      <diagonal/>
    </border>
    <border diagonalUp="false" diagonalDown="false">
      <left/>
      <right/>
      <top style="double"/>
      <bottom style="double"/>
      <diagonal/>
    </border>
    <border diagonalUp="false" diagonalDown="false">
      <left/>
      <right/>
      <top style="double"/>
      <bottom style="hair"/>
      <diagonal/>
    </border>
    <border diagonalUp="false" diagonalDown="false">
      <left style="hair"/>
      <right style="hair"/>
      <top/>
      <bottom style="thin"/>
      <diagonal/>
    </border>
    <border diagonalUp="false" diagonalDown="false">
      <left style="hair"/>
      <right/>
      <top style="thin"/>
      <bottom style="thin"/>
      <diagonal/>
    </border>
    <border diagonalUp="false" diagonalDown="false">
      <left/>
      <right style="thin"/>
      <top style="medium"/>
      <bottom style="double"/>
      <diagonal/>
    </border>
    <border diagonalUp="false" diagonalDown="false">
      <left style="thin"/>
      <right/>
      <top style="medium"/>
      <bottom style="double"/>
      <diagonal/>
    </border>
    <border diagonalUp="false" diagonalDown="false">
      <left/>
      <right style="thin"/>
      <top style="double"/>
      <bottom style="thin"/>
      <diagonal/>
    </border>
    <border diagonalUp="false" diagonalDown="false">
      <left style="thin"/>
      <right style="thin"/>
      <top style="double"/>
      <bottom style="thin"/>
      <diagonal/>
    </border>
    <border diagonalUp="false" diagonalDown="false">
      <left style="thin"/>
      <right/>
      <top style="double"/>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top style="medium"/>
      <bottom style="double"/>
      <diagonal/>
    </border>
    <border diagonalUp="false" diagonalDown="false">
      <left/>
      <right/>
      <top style="double"/>
      <bottom/>
      <diagonal/>
    </border>
    <border diagonalUp="false" diagonalDown="false">
      <left/>
      <right/>
      <top/>
      <bottom style="thick">
        <color rgb="FF969696"/>
      </bottom>
      <diagonal/>
    </border>
    <border diagonalUp="false" diagonalDown="false">
      <left/>
      <right style="thin"/>
      <top style="thin">
        <color rgb="FF808080"/>
      </top>
      <bottom style="thin">
        <color rgb="FF808080"/>
      </bottom>
      <diagonal/>
    </border>
    <border diagonalUp="false" diagonalDown="false">
      <left style="thin"/>
      <right/>
      <top style="thick">
        <color rgb="FF969696"/>
      </top>
      <bottom style="thick">
        <color rgb="FF969696"/>
      </bottom>
      <diagonal/>
    </border>
    <border diagonalUp="false" diagonalDown="false">
      <left/>
      <right/>
      <top style="thick">
        <color rgb="FF969696"/>
      </top>
      <bottom style="thin">
        <color rgb="FF969696"/>
      </bottom>
      <diagonal/>
    </border>
    <border diagonalUp="false" diagonalDown="false">
      <left/>
      <right/>
      <top style="thin">
        <color rgb="FF969696"/>
      </top>
      <bottom/>
      <diagonal/>
    </border>
    <border diagonalUp="false" diagonalDown="false">
      <left/>
      <right style="thin">
        <color rgb="FF808080"/>
      </right>
      <top style="thin"/>
      <bottom style="thin"/>
      <diagonal/>
    </border>
    <border diagonalUp="false" diagonalDown="false">
      <left style="thin">
        <color rgb="FF808080"/>
      </left>
      <right style="thin">
        <color rgb="FF808080"/>
      </right>
      <top style="thin"/>
      <bottom/>
      <diagonal/>
    </border>
    <border diagonalUp="false" diagonalDown="false">
      <left style="thin">
        <color rgb="FF808080"/>
      </left>
      <right/>
      <top style="thin"/>
      <bottom/>
      <diagonal/>
    </border>
    <border diagonalUp="false" diagonalDown="false">
      <left style="thin">
        <color rgb="FF808080"/>
      </left>
      <right style="thin">
        <color rgb="FF808080"/>
      </right>
      <top/>
      <bottom style="thin">
        <color rgb="FF808080"/>
      </bottom>
      <diagonal/>
    </border>
    <border diagonalUp="false" diagonalDown="false">
      <left style="thin">
        <color rgb="FF808080"/>
      </left>
      <right/>
      <top/>
      <bottom style="thin">
        <color rgb="FF808080"/>
      </bottom>
      <diagonal/>
    </border>
    <border diagonalUp="false" diagonalDown="false">
      <left style="thin">
        <color rgb="FF808080"/>
      </left>
      <right style="thin">
        <color rgb="FF808080"/>
      </right>
      <top style="thin">
        <color rgb="FF808080"/>
      </top>
      <bottom/>
      <diagonal/>
    </border>
    <border diagonalUp="false" diagonalDown="false">
      <left style="thin">
        <color rgb="FF808080"/>
      </left>
      <right/>
      <top style="thin">
        <color rgb="FF808080"/>
      </top>
      <bottom/>
      <diagonal/>
    </border>
    <border diagonalUp="false" diagonalDown="false">
      <left style="thin">
        <color rgb="FF808080"/>
      </left>
      <right/>
      <top/>
      <bottom/>
      <diagonal/>
    </border>
    <border diagonalUp="false" diagonalDown="false">
      <left/>
      <right/>
      <top/>
      <bottom style="thin">
        <color rgb="FF808080"/>
      </bottom>
      <diagonal/>
    </border>
    <border diagonalUp="false" diagonalDown="false">
      <left/>
      <right style="thin">
        <color rgb="FF808080"/>
      </right>
      <top/>
      <bottom/>
      <diagonal/>
    </border>
    <border diagonalUp="false" diagonalDown="false">
      <left/>
      <right/>
      <top style="thin">
        <color rgb="FF808080"/>
      </top>
      <bottom/>
      <diagonal/>
    </border>
    <border diagonalUp="false" diagonalDown="false">
      <left style="thin">
        <color rgb="FF808080"/>
      </left>
      <right/>
      <top/>
      <bottom style="thin"/>
      <diagonal/>
    </border>
    <border diagonalUp="false" diagonalDown="false">
      <left style="thin">
        <color rgb="FF808080"/>
      </left>
      <right style="thin">
        <color rgb="FF808080"/>
      </right>
      <top style="thin"/>
      <bottom style="thin">
        <color rgb="FF808080"/>
      </bottom>
      <diagonal/>
    </border>
    <border diagonalUp="false" diagonalDown="false">
      <left style="thin">
        <color rgb="FF808080"/>
      </left>
      <right/>
      <top style="thin"/>
      <bottom style="thin">
        <color rgb="FF80808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diagonal/>
    </border>
    <border diagonalUp="false" diagonalDown="false">
      <left/>
      <right style="thin">
        <color rgb="FF808080"/>
      </right>
      <top/>
      <bottom style="thin">
        <color rgb="FF808080"/>
      </bottom>
      <diagonal/>
    </border>
    <border diagonalUp="false" diagonalDown="false">
      <left/>
      <right/>
      <top style="thin">
        <color rgb="FF808080"/>
      </top>
      <bottom style="thin"/>
      <diagonal/>
    </border>
    <border diagonalUp="false" diagonalDown="false">
      <left/>
      <right style="thin">
        <color rgb="FF808080"/>
      </right>
      <top/>
      <bottom style="thin"/>
      <diagonal/>
    </border>
    <border diagonalUp="false" diagonalDown="false">
      <left/>
      <right/>
      <top style="thick">
        <color rgb="FF808080"/>
      </top>
      <bottom style="thin">
        <color rgb="FF808080"/>
      </bottom>
      <diagonal/>
    </border>
    <border diagonalUp="false" diagonalDown="false">
      <left/>
      <right style="thin">
        <color rgb="FF808080"/>
      </right>
      <top style="thin"/>
      <bottom/>
      <diagonal/>
    </border>
    <border diagonalUp="false" diagonalDown="false">
      <left style="thin">
        <color rgb="FF808080"/>
      </left>
      <right style="thin">
        <color rgb="FF808080"/>
      </right>
      <top/>
      <bottom/>
      <diagonal/>
    </border>
    <border diagonalUp="false" diagonalDown="false">
      <left style="thin">
        <color rgb="FF808080"/>
      </left>
      <right style="thin">
        <color rgb="FF808080"/>
      </right>
      <top/>
      <bottom style="thin"/>
      <diagonal/>
    </border>
    <border diagonalUp="false" diagonalDown="false">
      <left/>
      <right/>
      <top style="thin">
        <color rgb="FF808080"/>
      </top>
      <bottom style="thick">
        <color rgb="FF808080"/>
      </bottom>
      <diagonal/>
    </border>
    <border diagonalUp="false" diagonalDown="false">
      <left style="thin">
        <color rgb="FF808080"/>
      </left>
      <right/>
      <top/>
      <bottom style="thick">
        <color rgb="FF808080"/>
      </bottom>
      <diagonal/>
    </border>
    <border diagonalUp="false" diagonalDown="false">
      <left style="thin"/>
      <right style="hair"/>
      <top style="thin"/>
      <bottom style="hair"/>
      <diagonal/>
    </border>
    <border diagonalUp="false" diagonalDown="false">
      <left style="hair"/>
      <right style="thin"/>
      <top style="thin"/>
      <bottom style="hair"/>
      <diagonal/>
    </border>
    <border diagonalUp="false" diagonalDown="false">
      <left/>
      <right style="thin"/>
      <top style="hair"/>
      <bottom style="hair"/>
      <diagonal/>
    </border>
    <border diagonalUp="false" diagonalDown="false">
      <left/>
      <right style="thin"/>
      <top style="hair"/>
      <bottom/>
      <diagonal/>
    </border>
    <border diagonalUp="false" diagonalDown="false">
      <left/>
      <right style="thin"/>
      <top/>
      <bottom style="hair"/>
      <diagonal/>
    </border>
    <border diagonalUp="false" diagonalDown="false">
      <left/>
      <right/>
      <top/>
      <bottom/>
      <diagonal/>
    </border>
    <border diagonalUp="false" diagonalDown="false">
      <left/>
      <right/>
      <top style="medium"/>
      <bottom style="medium"/>
      <diagonal/>
    </border>
    <border diagonalUp="false" diagonalDown="false">
      <left/>
      <right/>
      <top style="thin"/>
      <bottom style="thin"/>
      <diagonal/>
    </border>
    <border diagonalUp="false" diagonalDown="false">
      <left/>
      <right/>
      <top/>
      <bottom style="medium"/>
      <diagonal/>
    </border>
    <border diagonalUp="false" diagonalDown="false">
      <left/>
      <right style="hair"/>
      <top style="thin"/>
      <bottom style="hair"/>
      <diagonal/>
    </border>
    <border diagonalUp="false" diagonalDown="false">
      <left style="hair"/>
      <right style="hair"/>
      <top style="thin"/>
      <bottom style="hair"/>
      <diagonal/>
    </border>
    <border diagonalUp="false" diagonalDown="false">
      <left style="hair"/>
      <right/>
      <top style="thin"/>
      <bottom style="hair"/>
      <diagonal/>
    </border>
    <border diagonalUp="false" diagonalDown="false">
      <left/>
      <right/>
      <top style="hair"/>
      <bottom style="hair"/>
      <diagonal/>
    </border>
    <border diagonalUp="false" diagonalDown="false">
      <left/>
      <right style="hair"/>
      <top style="hair"/>
      <bottom/>
      <diagonal/>
    </border>
    <border diagonalUp="false" diagonalDown="false">
      <left style="hair"/>
      <right style="hair"/>
      <top style="hair"/>
      <bottom/>
      <diagonal/>
    </border>
    <border diagonalUp="false" diagonalDown="false">
      <left/>
      <right style="hair"/>
      <top/>
      <bottom/>
      <diagonal/>
    </border>
    <border diagonalUp="false" diagonalDown="false">
      <left style="hair"/>
      <right style="hair"/>
      <top/>
      <bottom/>
      <diagonal/>
    </border>
    <border diagonalUp="false" diagonalDown="false">
      <left/>
      <right style="hair"/>
      <top/>
      <bottom style="hair"/>
      <diagonal/>
    </border>
    <border diagonalUp="false" diagonalDown="false">
      <left style="hair"/>
      <right style="hair"/>
      <top/>
      <bottom style="hair"/>
      <diagonal/>
    </border>
    <border diagonalUp="false" diagonalDown="false">
      <left style="hair"/>
      <right/>
      <top style="hair"/>
      <bottom style="hair"/>
      <diagonal/>
    </border>
    <border diagonalUp="false" diagonalDown="false">
      <left/>
      <right style="hair"/>
      <top style="hair"/>
      <bottom style="hair"/>
      <diagonal/>
    </border>
    <border diagonalUp="false" diagonalDown="false">
      <left/>
      <right/>
      <top style="hair"/>
      <bottom style="thin"/>
      <diagonal/>
    </border>
    <border diagonalUp="false" diagonalDown="false">
      <left/>
      <right/>
      <top/>
      <bottom style="thin"/>
      <diagonal/>
    </border>
    <border diagonalUp="false" diagonalDown="false">
      <left style="hair"/>
      <right/>
      <top style="hair"/>
      <bottom/>
      <diagonal/>
    </border>
    <border diagonalUp="false" diagonalDown="false">
      <left/>
      <right/>
      <top style="hair"/>
      <bottom/>
      <diagonal/>
    </border>
    <border diagonalUp="false" diagonalDown="false">
      <left/>
      <right style="hair"/>
      <top/>
      <bottom style="thin"/>
      <diagonal/>
    </border>
    <border diagonalUp="false" diagonalDown="false">
      <left style="hair"/>
      <right style="hair"/>
      <top/>
      <bottom style="thin"/>
      <diagonal/>
    </border>
    <border diagonalUp="false" diagonalDown="false">
      <left style="hair"/>
      <right/>
      <top style="hair"/>
      <bottom style="thin"/>
      <diagonal/>
    </border>
    <border diagonalUp="false" diagonalDown="false">
      <left style="hair"/>
      <right style="hair"/>
      <top style="hair"/>
      <bottom style="hair"/>
      <diagonal/>
    </border>
    <border diagonalUp="false" diagonalDown="false">
      <left style="hair"/>
      <right/>
      <top/>
      <bottom/>
      <diagonal/>
    </border>
    <border diagonalUp="false" diagonalDown="false">
      <left/>
      <right style="hair"/>
      <top style="hair"/>
      <bottom style="thin"/>
      <diagonal/>
    </border>
    <border diagonalUp="false" diagonalDown="false">
      <left style="hair"/>
      <right/>
      <top/>
      <bottom style="hair"/>
      <diagonal/>
    </border>
    <border diagonalUp="false" diagonalDown="false">
      <left/>
      <right/>
      <top/>
      <bottom style="hair"/>
      <diagonal/>
    </border>
    <border diagonalUp="false" diagonalDown="false">
      <left style="hair"/>
      <right/>
      <top/>
      <bottom style="thin"/>
      <diagonal/>
    </border>
    <border diagonalUp="false" diagonalDown="false">
      <left/>
      <right style="hair"/>
      <top style="thin"/>
      <bottom/>
      <diagonal/>
    </border>
    <border diagonalUp="false" diagonalDown="false">
      <left style="hair"/>
      <right style="hair"/>
      <top style="thin"/>
      <bottom/>
      <diagonal/>
    </border>
    <border diagonalUp="false" diagonalDown="false">
      <left style="hair"/>
      <right/>
      <top style="thin"/>
      <bottom/>
      <diagonal/>
    </border>
    <border diagonalUp="false" diagonalDown="false">
      <left style="thin"/>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thin"/>
      <top style="hair"/>
      <bottom style="thin"/>
      <diagonal/>
    </border>
    <border diagonalUp="false" diagonalDown="false">
      <left style="thin"/>
      <right style="hair"/>
      <top style="hair"/>
      <bottom style="thin"/>
      <diagonal/>
    </border>
    <border diagonalUp="false" diagonalDown="false">
      <left style="hair"/>
      <right style="hair"/>
      <top style="hair"/>
      <bottom style="thin"/>
      <diagonal/>
    </border>
  </borders>
  <cellStyleXfs count="11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false" applyProtection="false"/>
    <xf numFmtId="164" fontId="0"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false" applyProtection="false"/>
    <xf numFmtId="166" fontId="0" fillId="0" borderId="0" applyFont="true" applyBorder="false" applyAlignment="false" applyProtection="false"/>
    <xf numFmtId="167" fontId="0" fillId="0" borderId="0" applyFont="true" applyBorder="false" applyAlignment="false" applyProtection="false"/>
    <xf numFmtId="168" fontId="0" fillId="0" borderId="0" applyFont="true" applyBorder="false" applyAlignment="false" applyProtection="false"/>
    <xf numFmtId="164" fontId="6" fillId="2" borderId="0" applyFont="true" applyBorder="false" applyAlignment="false" applyProtection="false"/>
    <xf numFmtId="164" fontId="7" fillId="0" borderId="0" applyFont="true" applyBorder="true" applyAlignment="true" applyProtection="true">
      <alignment horizontal="left" vertical="bottom" textRotation="0" wrapText="false" indent="0" shrinkToFit="false"/>
      <protection locked="true" hidden="false"/>
    </xf>
    <xf numFmtId="164" fontId="7" fillId="0" borderId="1" applyFont="true" applyBorder="true" applyAlignment="false" applyProtection="false"/>
    <xf numFmtId="164" fontId="7" fillId="0" borderId="2" applyFont="true" applyBorder="true" applyAlignment="true" applyProtection="true">
      <alignment horizontal="left" vertical="center" textRotation="0" wrapText="false" indent="0" shrinkToFit="false"/>
      <protection locked="true" hidden="false"/>
    </xf>
    <xf numFmtId="164" fontId="6" fillId="2" borderId="0" applyFont="true" applyBorder="false" applyAlignment="false" applyProtection="false"/>
    <xf numFmtId="164" fontId="8" fillId="0" borderId="3"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false" applyProtection="false"/>
    <xf numFmtId="165" fontId="0" fillId="0" borderId="0" applyFont="true" applyBorder="false" applyAlignment="false" applyProtection="false"/>
    <xf numFmtId="165" fontId="0" fillId="0" borderId="0" applyFont="true" applyBorder="false" applyAlignment="false" applyProtection="false"/>
    <xf numFmtId="166" fontId="0"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center"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0" fontId="118" fillId="9" borderId="109" applyFont="true" applyBorder="false" applyAlignment="false" applyProtection="false"/>
    <xf numFmtId="0" fontId="118" fillId="9" borderId="109" applyFont="true" applyBorder="false" applyAlignment="false" applyProtection="false"/>
    <xf numFmtId="0" fontId="119" fillId="9" borderId="109" applyFont="true" applyBorder="false" applyAlignment="false" applyProtection="false"/>
    <xf numFmtId="0" fontId="119"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0" fontId="117" fillId="9" borderId="109" applyFont="true" applyBorder="false" applyAlignment="false" applyProtection="false"/>
    <xf numFmtId="43" fontId="118" fillId="9" borderId="109" applyFont="true" applyBorder="false" applyAlignment="false" applyProtection="false"/>
    <xf numFmtId="41" fontId="118" fillId="9" borderId="109" applyFont="true" applyBorder="false" applyAlignment="false" applyProtection="false"/>
    <xf numFmtId="44" fontId="118" fillId="9" borderId="109" applyFont="true" applyBorder="false" applyAlignment="false" applyProtection="false"/>
    <xf numFmtId="42" fontId="118" fillId="9" borderId="109" applyFont="true" applyBorder="false" applyAlignment="false" applyProtection="false"/>
    <xf numFmtId="9" fontId="118" fillId="9" borderId="109" applyFont="true" applyBorder="false" applyAlignment="false" applyProtection="false"/>
    <xf numFmtId="192" fontId="121"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false" applyAlignment="false" applyProtection="false"/>
    <xf numFmtId="192" fontId="117" fillId="9" borderId="109" applyFont="true" applyBorder="false" applyAlignment="false" applyProtection="false"/>
    <xf numFmtId="192" fontId="122" fillId="9" borderId="109" applyFont="true" applyBorder="true" applyAlignment="true" applyProtection="true">
      <alignment horizontal="general" vertical="bottom" textRotation="0" wrapText="false" indent="0" shrinkToFit="false"/>
      <protection locked="true" hidden="false"/>
    </xf>
    <xf numFmtId="193" fontId="117" fillId="9" borderId="109" applyFont="true" applyBorder="false" applyAlignment="false" applyProtection="false"/>
    <xf numFmtId="194" fontId="117" fillId="9" borderId="109" applyFont="true" applyBorder="false" applyAlignment="false" applyProtection="false"/>
    <xf numFmtId="195" fontId="117" fillId="9" borderId="109" applyFont="true" applyBorder="false" applyAlignment="false" applyProtection="false"/>
    <xf numFmtId="196" fontId="117" fillId="9" borderId="109" applyFont="true" applyBorder="false" applyAlignment="false" applyProtection="false"/>
    <xf numFmtId="192" fontId="123" fillId="11" borderId="109" applyFont="true" applyBorder="false" applyAlignment="false" applyProtection="false"/>
    <xf numFmtId="192" fontId="124" fillId="9" borderId="109" applyFont="true" applyBorder="true" applyAlignment="true" applyProtection="true">
      <alignment horizontal="left" vertical="bottom" textRotation="0" wrapText="false" indent="0" shrinkToFit="false"/>
      <protection locked="true" hidden="false"/>
    </xf>
    <xf numFmtId="192" fontId="124" fillId="9" borderId="110" applyFont="true" applyBorder="true" applyAlignment="false" applyProtection="false"/>
    <xf numFmtId="192" fontId="124" fillId="9" borderId="111" applyFont="true" applyBorder="true" applyAlignment="true" applyProtection="true">
      <alignment horizontal="left" vertical="center" textRotation="0" wrapText="false" indent="0" shrinkToFit="false"/>
      <protection locked="true" hidden="false"/>
    </xf>
    <xf numFmtId="192" fontId="123" fillId="11" borderId="109" applyFont="true" applyBorder="false" applyAlignment="false" applyProtection="false"/>
    <xf numFmtId="192" fontId="125" fillId="9" borderId="112" applyFont="true" applyBorder="true" applyAlignment="true" applyProtection="true">
      <alignment horizontal="general" vertical="bottom" textRotation="0" wrapText="false" indent="0" shrinkToFit="false"/>
      <protection locked="true" hidden="false"/>
    </xf>
    <xf numFmtId="192" fontId="121" fillId="9" borderId="109" applyFont="true" applyBorder="true" applyAlignment="true" applyProtection="true">
      <alignment horizontal="general" vertical="bottom" textRotation="0" wrapText="false" indent="0" shrinkToFit="false"/>
      <protection locked="true" hidden="false"/>
    </xf>
    <xf numFmtId="192" fontId="126" fillId="9" borderId="109" applyFont="true" applyBorder="true" applyAlignment="true" applyProtection="true">
      <alignment horizontal="general" vertical="bottom" textRotation="0" wrapText="false" indent="0" shrinkToFit="false"/>
      <protection locked="true" hidden="false"/>
    </xf>
    <xf numFmtId="197" fontId="117" fillId="9" borderId="109" applyFont="true" applyBorder="false" applyAlignment="false" applyProtection="false"/>
    <xf numFmtId="192" fontId="125" fillId="9" borderId="109" applyFont="true" applyBorder="true" applyAlignment="true" applyProtection="true">
      <alignment horizontal="general" vertical="bottom" textRotation="0" wrapText="false" indent="0" shrinkToFit="false"/>
      <protection locked="true" hidden="false"/>
    </xf>
    <xf numFmtId="193" fontId="117" fillId="9" borderId="109" applyFont="true" applyBorder="false" applyAlignment="false" applyProtection="false"/>
    <xf numFmtId="193" fontId="117" fillId="9" borderId="109" applyFont="true" applyBorder="false" applyAlignment="false" applyProtection="false"/>
    <xf numFmtId="193" fontId="117" fillId="9" borderId="109" applyFont="true" applyBorder="false" applyAlignment="false" applyProtection="false"/>
    <xf numFmtId="194" fontId="117" fillId="9" borderId="109" applyFont="true" applyBorder="false" applyAlignment="false" applyProtection="false"/>
    <xf numFmtId="192" fontId="117"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true" applyAlignment="true" applyProtection="true">
      <alignment horizontal="general" vertical="center"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true" applyAlignment="true" applyProtection="true">
      <alignment horizontal="general" vertical="center" textRotation="0" wrapText="false" indent="0" shrinkToFit="false"/>
      <protection locked="true" hidden="false"/>
    </xf>
    <xf numFmtId="192" fontId="127" fillId="9" borderId="109" applyFont="true" applyBorder="true" applyAlignment="true" applyProtection="true">
      <alignment horizontal="general" vertical="center" textRotation="0" wrapText="false" indent="0" shrinkToFit="false"/>
      <protection locked="true" hidden="false"/>
    </xf>
    <xf numFmtId="192" fontId="117" fillId="9" borderId="109" applyFont="true" applyBorder="true" applyAlignment="true" applyProtection="true">
      <alignment horizontal="general" vertical="center"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true" applyAlignment="true" applyProtection="true">
      <alignment horizontal="general" vertical="center" textRotation="0" wrapText="false" indent="0" shrinkToFit="false"/>
      <protection locked="true" hidden="false"/>
    </xf>
    <xf numFmtId="192" fontId="127" fillId="9" borderId="109" applyFont="true" applyBorder="true" applyAlignment="true" applyProtection="true">
      <alignment horizontal="general" vertical="center"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192" fontId="117" fillId="9" borderId="109" applyFont="true" applyBorder="true" applyAlignment="true" applyProtection="true">
      <alignment horizontal="general" vertical="bottom" textRotation="0" wrapText="false" indent="0" shrinkToFit="false"/>
      <protection locked="true" hidden="false"/>
    </xf>
    <xf numFmtId="192" fontId="127" fillId="9" borderId="109" applyFont="true" applyBorder="true" applyAlignment="true" applyProtection="true">
      <alignment horizontal="general" vertical="center" textRotation="0" wrapText="false" indent="0" shrinkToFit="false"/>
      <protection locked="true" hidden="false"/>
    </xf>
  </cellStyleXfs>
  <cellXfs count="873">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center" vertical="center" textRotation="0" wrapText="true" indent="0" shrinkToFit="false"/>
      <protection locked="true" hidden="false"/>
    </xf>
    <xf numFmtId="164" fontId="12" fillId="0" borderId="5" xfId="0" applyFont="true" applyBorder="true" applyAlignment="true" applyProtection="false">
      <alignment horizontal="center" vertical="center" textRotation="0" wrapText="true" indent="0" shrinkToFit="false"/>
      <protection locked="true" hidden="false"/>
    </xf>
    <xf numFmtId="164" fontId="13" fillId="3" borderId="6" xfId="50" applyFont="true" applyBorder="true" applyAlignment="true" applyProtection="false">
      <alignment horizontal="center" vertical="center" textRotation="0" wrapText="true" indent="0" shrinkToFit="false"/>
      <protection locked="true" hidden="false"/>
    </xf>
    <xf numFmtId="170" fontId="14" fillId="3" borderId="0" xfId="0" applyFont="true" applyBorder="false" applyAlignment="true" applyProtection="false">
      <alignment horizontal="center" vertical="center" textRotation="0" wrapText="false" indent="0" shrinkToFit="false"/>
      <protection locked="true" hidden="false"/>
    </xf>
    <xf numFmtId="164" fontId="15" fillId="0" borderId="5" xfId="0" applyFont="true" applyBorder="true" applyAlignment="true" applyProtection="false">
      <alignment horizontal="center"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15" fillId="4" borderId="6" xfId="0" applyFont="true" applyBorder="true" applyAlignment="true" applyProtection="false">
      <alignment horizontal="center" vertical="center" textRotation="0" wrapText="true" indent="0" shrinkToFit="false"/>
      <protection locked="true" hidden="false"/>
    </xf>
    <xf numFmtId="164" fontId="16" fillId="3" borderId="8" xfId="0" applyFont="true" applyBorder="true" applyAlignment="true" applyProtection="false">
      <alignment horizontal="center" vertical="center" textRotation="0" wrapText="true" indent="0" shrinkToFit="false"/>
      <protection locked="true" hidden="false"/>
    </xf>
    <xf numFmtId="164" fontId="15" fillId="5" borderId="9" xfId="0" applyFont="true" applyBorder="true" applyAlignment="true" applyProtection="false">
      <alignment horizontal="center" vertical="center" textRotation="0" wrapText="true" indent="0" shrinkToFit="false"/>
      <protection locked="true" hidden="false"/>
    </xf>
    <xf numFmtId="164" fontId="0" fillId="4" borderId="10" xfId="0" applyFont="true" applyBorder="true" applyAlignment="true" applyProtection="false">
      <alignment horizontal="center" vertical="center" textRotation="0" wrapText="false" indent="0" shrinkToFit="false"/>
      <protection locked="true" hidden="false"/>
    </xf>
    <xf numFmtId="171" fontId="17"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71" fontId="0" fillId="3" borderId="0" xfId="0" applyFont="false" applyBorder="fals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72" fontId="16" fillId="3" borderId="8" xfId="0" applyFont="true" applyBorder="true" applyAlignment="true" applyProtection="false">
      <alignment horizontal="center" vertical="center" textRotation="0" wrapText="true" indent="0" shrinkToFit="false"/>
      <protection locked="true" hidden="false"/>
    </xf>
    <xf numFmtId="164" fontId="15" fillId="4" borderId="11" xfId="0" applyFont="true" applyBorder="true" applyAlignment="true" applyProtection="false">
      <alignment horizontal="center" vertical="center" textRotation="0" wrapText="true" indent="0" shrinkToFit="false"/>
      <protection locked="true" hidden="false"/>
    </xf>
    <xf numFmtId="173" fontId="15" fillId="5" borderId="1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74" fontId="19" fillId="3" borderId="8" xfId="0" applyFont="true" applyBorder="true" applyAlignment="true" applyProtection="false">
      <alignment horizontal="center" vertical="center" textRotation="0" wrapText="true" indent="0" shrinkToFit="false"/>
      <protection locked="true" hidden="false"/>
    </xf>
    <xf numFmtId="164" fontId="15" fillId="5" borderId="12"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71" fontId="18" fillId="0" borderId="0" xfId="0" applyFont="true" applyBorder="false" applyAlignment="true" applyProtection="false">
      <alignment horizontal="center" vertical="center" textRotation="0" wrapText="false" indent="0" shrinkToFit="false"/>
      <protection locked="true" hidden="false"/>
    </xf>
    <xf numFmtId="164" fontId="0" fillId="4" borderId="6" xfId="0" applyFont="true" applyBorder="true" applyAlignment="true" applyProtection="false">
      <alignment horizontal="center" vertical="center" textRotation="0" wrapText="false" indent="0" shrinkToFit="false"/>
      <protection locked="true" hidden="false"/>
    </xf>
    <xf numFmtId="175" fontId="14" fillId="3" borderId="8" xfId="0" applyFont="true" applyBorder="true" applyAlignment="true" applyProtection="false">
      <alignment horizontal="center" vertical="center" textRotation="0" wrapText="false" indent="0" shrinkToFit="false"/>
      <protection locked="true" hidden="false"/>
    </xf>
    <xf numFmtId="164" fontId="0" fillId="4" borderId="11" xfId="0" applyFont="true" applyBorder="true" applyAlignment="true" applyProtection="false">
      <alignment horizontal="center" vertical="center" textRotation="0" wrapText="false" indent="0" shrinkToFit="false"/>
      <protection locked="true" hidden="false"/>
    </xf>
    <xf numFmtId="164" fontId="0" fillId="5" borderId="12" xfId="0" applyFont="true" applyBorder="true" applyAlignment="true" applyProtection="false">
      <alignment horizontal="center" vertical="center" textRotation="0" wrapText="false" indent="0" shrinkToFit="false"/>
      <protection locked="true" hidden="false"/>
    </xf>
    <xf numFmtId="164" fontId="14" fillId="3" borderId="8" xfId="0" applyFont="true" applyBorder="true" applyAlignment="true" applyProtection="false">
      <alignment horizontal="left" vertical="center" textRotation="0" wrapText="false" indent="0" shrinkToFit="false"/>
      <protection locked="true" hidden="false"/>
    </xf>
    <xf numFmtId="164" fontId="0" fillId="4" borderId="13" xfId="0" applyFont="true" applyBorder="true" applyAlignment="true" applyProtection="false">
      <alignment horizontal="center" vertical="center" textRotation="0" wrapText="false" indent="0" shrinkToFit="false"/>
      <protection locked="true" hidden="false"/>
    </xf>
    <xf numFmtId="164" fontId="14" fillId="5" borderId="14"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6" fillId="3" borderId="6" xfId="0" applyFont="true" applyBorder="true" applyAlignment="true" applyProtection="false">
      <alignment horizontal="general" vertical="center" textRotation="0" wrapText="true" indent="0" shrinkToFit="false"/>
      <protection locked="true" hidden="false"/>
    </xf>
    <xf numFmtId="164" fontId="19" fillId="4" borderId="15" xfId="0" applyFont="true" applyBorder="true" applyAlignment="true" applyProtection="false">
      <alignment horizontal="center" vertical="center" textRotation="0" wrapText="true" indent="0" shrinkToFit="false"/>
      <protection locked="true" hidden="false"/>
    </xf>
    <xf numFmtId="164" fontId="16" fillId="3" borderId="15" xfId="0" applyFont="true" applyBorder="true" applyAlignment="true" applyProtection="false">
      <alignment horizontal="center" vertical="center" textRotation="0" wrapText="true" indent="0" shrinkToFit="false"/>
      <protection locked="true" hidden="false"/>
    </xf>
    <xf numFmtId="164" fontId="0" fillId="0" borderId="6" xfId="0" applyFont="false" applyBorder="true" applyAlignment="true" applyProtection="false">
      <alignment horizontal="center" vertical="center" textRotation="0" wrapText="false" indent="0" shrinkToFit="false"/>
      <protection locked="true" hidden="false"/>
    </xf>
    <xf numFmtId="164" fontId="19" fillId="4" borderId="6" xfId="0" applyFont="true" applyBorder="true" applyAlignment="true" applyProtection="false">
      <alignment horizontal="center" vertical="center" textRotation="0" wrapText="true" indent="0" shrinkToFit="false"/>
      <protection locked="true" hidden="false"/>
    </xf>
    <xf numFmtId="164" fontId="16" fillId="3" borderId="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6" fillId="3" borderId="6" xfId="0" applyFont="true" applyBorder="true" applyAlignment="true" applyProtection="false">
      <alignment horizontal="left" vertical="center" textRotation="0" wrapText="true" indent="0" shrinkToFit="false"/>
      <protection locked="true" hidden="false"/>
    </xf>
    <xf numFmtId="173" fontId="16" fillId="3" borderId="6" xfId="0" applyFont="true" applyBorder="true" applyAlignment="true" applyProtection="false">
      <alignment horizontal="justify" vertical="center" textRotation="0" wrapText="true" indent="0" shrinkToFit="false"/>
      <protection locked="true" hidden="false"/>
    </xf>
    <xf numFmtId="176" fontId="14" fillId="3" borderId="6" xfId="0" applyFont="true" applyBorder="true" applyAlignment="true" applyProtection="false">
      <alignment horizontal="left" vertical="center" textRotation="0" wrapText="false" indent="0" shrinkToFit="false"/>
      <protection locked="true" hidden="false"/>
    </xf>
    <xf numFmtId="164" fontId="0" fillId="4" borderId="6" xfId="0" applyFont="true" applyBorder="true" applyAlignment="true" applyProtection="false">
      <alignment horizontal="center" vertical="center" textRotation="0" wrapText="true" indent="0" shrinkToFit="false"/>
      <protection locked="true" hidden="false"/>
    </xf>
    <xf numFmtId="164" fontId="14" fillId="3" borderId="6" xfId="0" applyFont="true" applyBorder="true" applyAlignment="true" applyProtection="false">
      <alignment horizontal="left" vertical="center" textRotation="0" wrapText="false" indent="0" shrinkToFit="false"/>
      <protection locked="true" hidden="false"/>
    </xf>
    <xf numFmtId="164" fontId="16" fillId="3" borderId="6" xfId="0" applyFont="true" applyBorder="true" applyAlignment="true" applyProtection="false">
      <alignment horizontal="justify" vertical="center" textRotation="0" wrapText="true" indent="0" shrinkToFit="false"/>
      <protection locked="true" hidden="false"/>
    </xf>
    <xf numFmtId="172" fontId="14" fillId="3" borderId="6" xfId="0" applyFont="true" applyBorder="true" applyAlignment="true" applyProtection="false">
      <alignment horizontal="left" vertical="center" textRotation="0" wrapText="false" indent="0" shrinkToFit="false"/>
      <protection locked="true" hidden="false"/>
    </xf>
    <xf numFmtId="175" fontId="14" fillId="3" borderId="6" xfId="0" applyFont="true" applyBorder="true" applyAlignment="true" applyProtection="false">
      <alignment horizontal="left" vertical="center" textRotation="0" wrapText="false" indent="0" shrinkToFit="false"/>
      <protection locked="true" hidden="false"/>
    </xf>
    <xf numFmtId="164" fontId="14" fillId="0" borderId="6" xfId="0" applyFont="true" applyBorder="true" applyAlignment="true" applyProtection="false">
      <alignment horizontal="left"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left" vertical="center" textRotation="0" wrapText="false" indent="0" shrinkToFit="false"/>
      <protection locked="true" hidden="false"/>
    </xf>
    <xf numFmtId="164" fontId="35" fillId="0" borderId="0" xfId="50" applyFont="true" applyBorder="false" applyAlignment="true" applyProtection="false">
      <alignment horizontal="general" vertical="center" textRotation="0" wrapText="false" indent="0" shrinkToFit="false"/>
      <protection locked="true" hidden="false"/>
    </xf>
    <xf numFmtId="164" fontId="36" fillId="0" borderId="0" xfId="50" applyFont="true" applyBorder="false" applyAlignment="true" applyProtection="false">
      <alignment horizontal="general" vertical="center" textRotation="0" wrapText="false" indent="0" shrinkToFit="false"/>
      <protection locked="true" hidden="false"/>
    </xf>
    <xf numFmtId="164" fontId="36" fillId="0" borderId="0" xfId="50" applyFont="true" applyBorder="false" applyAlignment="true" applyProtection="false">
      <alignment horizontal="right" vertical="center" textRotation="0" wrapText="false" indent="0" shrinkToFit="false"/>
      <protection locked="true" hidden="false"/>
    </xf>
    <xf numFmtId="164" fontId="37" fillId="0" borderId="0" xfId="50" applyFont="true" applyBorder="true" applyAlignment="true" applyProtection="false">
      <alignment horizontal="left" vertical="center" textRotation="0" wrapText="true" indent="0" shrinkToFit="false"/>
      <protection locked="true" hidden="false"/>
    </xf>
    <xf numFmtId="164" fontId="36" fillId="0" borderId="0" xfId="50" applyFont="true" applyBorder="true" applyAlignment="true" applyProtection="false">
      <alignment horizontal="general" vertical="center" textRotation="0" wrapText="true" indent="0" shrinkToFit="false"/>
      <protection locked="true" hidden="false"/>
    </xf>
    <xf numFmtId="164" fontId="4" fillId="0" borderId="0" xfId="50" applyFont="true" applyBorder="false" applyAlignment="true" applyProtection="false">
      <alignment horizontal="general" vertical="center" textRotation="0" wrapText="false" indent="0" shrinkToFit="false"/>
      <protection locked="true" hidden="false"/>
    </xf>
    <xf numFmtId="164" fontId="4" fillId="0" borderId="16" xfId="50" applyFont="true" applyBorder="true" applyAlignment="true" applyProtection="false">
      <alignment horizontal="center" vertical="center" textRotation="0" wrapText="true" indent="0" shrinkToFit="false"/>
      <protection locked="true" hidden="false"/>
    </xf>
    <xf numFmtId="164" fontId="4" fillId="0" borderId="17" xfId="50" applyFont="true" applyBorder="true" applyAlignment="true" applyProtection="false">
      <alignment horizontal="center" vertical="center" textRotation="0" wrapText="true" indent="0" shrinkToFit="false"/>
      <protection locked="true" hidden="false"/>
    </xf>
    <xf numFmtId="164" fontId="4" fillId="0" borderId="18" xfId="50" applyFont="true" applyBorder="true" applyAlignment="true" applyProtection="false">
      <alignment horizontal="center" vertical="center" textRotation="0" wrapText="false" indent="0" shrinkToFit="false"/>
      <protection locked="true" hidden="false"/>
    </xf>
    <xf numFmtId="164" fontId="4" fillId="0" borderId="19" xfId="50" applyFont="true" applyBorder="true" applyAlignment="true" applyProtection="false">
      <alignment horizontal="center" vertical="center" textRotation="0" wrapText="true" indent="0" shrinkToFit="false"/>
      <protection locked="true" hidden="false"/>
    </xf>
    <xf numFmtId="164" fontId="35" fillId="0" borderId="20" xfId="50" applyFont="true" applyBorder="true" applyAlignment="true" applyProtection="false">
      <alignment horizontal="center" vertical="center" textRotation="0" wrapText="true" indent="0" shrinkToFit="false"/>
      <protection locked="true" hidden="false"/>
    </xf>
    <xf numFmtId="164" fontId="4" fillId="0" borderId="21" xfId="50" applyFont="true" applyBorder="true" applyAlignment="true" applyProtection="false">
      <alignment horizontal="center" vertical="center" textRotation="0" wrapText="false" indent="0" shrinkToFit="false"/>
      <protection locked="true" hidden="false"/>
    </xf>
    <xf numFmtId="164" fontId="4" fillId="0" borderId="22" xfId="50" applyFont="true" applyBorder="true" applyAlignment="true" applyProtection="false">
      <alignment horizontal="center" vertical="center" textRotation="0" wrapText="false" indent="0" shrinkToFit="false"/>
      <protection locked="true" hidden="false"/>
    </xf>
    <xf numFmtId="164" fontId="4" fillId="0" borderId="0" xfId="50" applyFont="true" applyBorder="true" applyAlignment="true" applyProtection="false">
      <alignment horizontal="center" vertical="center" textRotation="0" wrapText="true" indent="0" shrinkToFit="false"/>
      <protection locked="true" hidden="false"/>
    </xf>
    <xf numFmtId="164" fontId="35" fillId="0" borderId="18" xfId="50" applyFont="true" applyBorder="true" applyAlignment="true" applyProtection="false">
      <alignment horizontal="center" vertical="center" textRotation="0" wrapText="true" indent="0" shrinkToFit="false"/>
      <protection locked="true" hidden="false"/>
    </xf>
    <xf numFmtId="164" fontId="35" fillId="0" borderId="23" xfId="50" applyFont="true" applyBorder="true" applyAlignment="true" applyProtection="false">
      <alignment horizontal="center" vertical="center" textRotation="0" wrapText="false" indent="0" shrinkToFit="false"/>
      <protection locked="true" hidden="false"/>
    </xf>
    <xf numFmtId="164" fontId="35" fillId="0" borderId="17" xfId="50" applyFont="true" applyBorder="true" applyAlignment="true" applyProtection="false">
      <alignment horizontal="center" vertical="center" textRotation="0" wrapText="false" indent="0" shrinkToFit="false"/>
      <protection locked="true" hidden="false"/>
    </xf>
    <xf numFmtId="164" fontId="35" fillId="0" borderId="10" xfId="50" applyFont="true" applyBorder="true" applyAlignment="true" applyProtection="false">
      <alignment horizontal="center" vertical="center" textRotation="0" wrapText="true" indent="0" shrinkToFit="false"/>
      <protection locked="true" hidden="false"/>
    </xf>
    <xf numFmtId="164" fontId="35" fillId="0" borderId="24" xfId="50" applyFont="true" applyBorder="true" applyAlignment="true" applyProtection="false">
      <alignment horizontal="left" vertical="center" textRotation="0" wrapText="false" indent="0" shrinkToFit="false"/>
      <protection locked="true" hidden="false"/>
    </xf>
    <xf numFmtId="164" fontId="35" fillId="0" borderId="25" xfId="50" applyFont="true" applyBorder="true" applyAlignment="true" applyProtection="false">
      <alignment horizontal="center" vertical="center" textRotation="0" wrapText="false" indent="0" shrinkToFit="false"/>
      <protection locked="true" hidden="false"/>
    </xf>
    <xf numFmtId="164" fontId="35" fillId="0" borderId="25" xfId="50" applyFont="true" applyBorder="true" applyAlignment="true" applyProtection="false">
      <alignment horizontal="general" vertical="center" textRotation="0" wrapText="false" indent="0" shrinkToFit="false"/>
      <protection locked="true" hidden="false"/>
    </xf>
    <xf numFmtId="164" fontId="35" fillId="0" borderId="26" xfId="50" applyFont="true" applyBorder="true" applyAlignment="true" applyProtection="false">
      <alignment horizontal="left" vertical="center" textRotation="0" wrapText="false" indent="0" shrinkToFit="false"/>
      <protection locked="true" hidden="false"/>
    </xf>
    <xf numFmtId="164" fontId="35" fillId="0" borderId="20" xfId="50" applyFont="true" applyBorder="true" applyAlignment="true" applyProtection="false">
      <alignment horizontal="left" vertical="center" textRotation="0" wrapText="true" indent="0" shrinkToFit="false"/>
      <protection locked="true" hidden="false"/>
    </xf>
    <xf numFmtId="164" fontId="35" fillId="0" borderId="27" xfId="50" applyFont="true" applyBorder="true" applyAlignment="true" applyProtection="false">
      <alignment horizontal="center" vertical="center" textRotation="0" wrapText="true" indent="0" shrinkToFit="false"/>
      <protection locked="true" hidden="false"/>
    </xf>
    <xf numFmtId="164" fontId="35" fillId="0" borderId="6" xfId="50" applyFont="true" applyBorder="true" applyAlignment="true" applyProtection="false">
      <alignment horizontal="center" vertical="center" textRotation="0" wrapText="true" indent="0" shrinkToFit="false"/>
      <protection locked="true" hidden="false"/>
    </xf>
    <xf numFmtId="164" fontId="41" fillId="0" borderId="8" xfId="50" applyFont="true" applyBorder="true" applyAlignment="true" applyProtection="false">
      <alignment horizontal="center" vertical="center" textRotation="0" wrapText="true" indent="0" shrinkToFit="false"/>
      <protection locked="true" hidden="false"/>
    </xf>
    <xf numFmtId="164" fontId="35" fillId="0" borderId="8" xfId="50" applyFont="true" applyBorder="true" applyAlignment="true" applyProtection="false">
      <alignment horizontal="center" vertical="center" textRotation="0" wrapText="true" indent="0" shrinkToFit="false"/>
      <protection locked="true" hidden="false"/>
    </xf>
    <xf numFmtId="164" fontId="35" fillId="0" borderId="8" xfId="50" applyFont="true" applyBorder="true" applyAlignment="true" applyProtection="false">
      <alignment horizontal="general" vertical="center" textRotation="0" wrapText="true" indent="0" shrinkToFit="false"/>
      <protection locked="true" hidden="false"/>
    </xf>
    <xf numFmtId="164" fontId="35" fillId="0" borderId="28" xfId="50" applyFont="true" applyBorder="true" applyAlignment="true" applyProtection="false">
      <alignment horizontal="center" vertical="center" textRotation="0" wrapText="true" indent="0" shrinkToFit="false"/>
      <protection locked="true" hidden="false"/>
    </xf>
    <xf numFmtId="164" fontId="35" fillId="0" borderId="8" xfId="50" applyFont="true" applyBorder="true" applyAlignment="true" applyProtection="false">
      <alignment horizontal="left" vertical="center" textRotation="0" wrapText="true" indent="0" shrinkToFit="false"/>
      <protection locked="true" hidden="false"/>
    </xf>
    <xf numFmtId="164" fontId="35" fillId="0" borderId="10" xfId="50" applyFont="true" applyBorder="true" applyAlignment="true" applyProtection="false">
      <alignment horizontal="center" vertical="center" textRotation="0" wrapText="false" indent="0" shrinkToFit="false"/>
      <protection locked="true" hidden="false"/>
    </xf>
    <xf numFmtId="164" fontId="35" fillId="0" borderId="6" xfId="50" applyFont="true" applyBorder="true" applyAlignment="true" applyProtection="false">
      <alignment horizontal="center" vertical="center" textRotation="0" wrapText="false" indent="0" shrinkToFit="false"/>
      <protection locked="true" hidden="false"/>
    </xf>
    <xf numFmtId="164" fontId="36" fillId="0" borderId="8" xfId="50" applyFont="true" applyBorder="true" applyAlignment="true" applyProtection="false">
      <alignment horizontal="center" vertical="center" textRotation="0" wrapText="true" indent="0" shrinkToFit="false"/>
      <protection locked="true" hidden="false"/>
    </xf>
    <xf numFmtId="164" fontId="35" fillId="0" borderId="5" xfId="0" applyFont="true" applyBorder="true" applyAlignment="true" applyProtection="false">
      <alignment horizontal="center" vertical="center" textRotation="0" wrapText="true" indent="0" shrinkToFit="false"/>
      <protection locked="true" hidden="false"/>
    </xf>
    <xf numFmtId="164" fontId="35" fillId="0" borderId="25" xfId="50" applyFont="true" applyBorder="true" applyAlignment="true" applyProtection="false">
      <alignment horizontal="left" vertical="center" textRotation="0" wrapText="true" indent="0" shrinkToFit="false"/>
      <protection locked="true" hidden="false"/>
    </xf>
    <xf numFmtId="164" fontId="35" fillId="0" borderId="0" xfId="50" applyFont="true" applyBorder="false" applyAlignment="true" applyProtection="false">
      <alignment horizontal="left" vertical="center" textRotation="0" wrapText="true" indent="0" shrinkToFit="false"/>
      <protection locked="true" hidden="false"/>
    </xf>
    <xf numFmtId="175" fontId="35" fillId="0" borderId="0" xfId="50" applyFont="true" applyBorder="true" applyAlignment="true" applyProtection="false">
      <alignment horizontal="center" vertical="center" textRotation="0" wrapText="true" indent="0" shrinkToFit="false"/>
      <protection locked="true" hidden="false"/>
    </xf>
    <xf numFmtId="164" fontId="35" fillId="0" borderId="0" xfId="50" applyFont="true" applyBorder="true" applyAlignment="true" applyProtection="false">
      <alignment horizontal="right" vertical="center" textRotation="0" wrapText="true" indent="0" shrinkToFit="false"/>
      <protection locked="true" hidden="false"/>
    </xf>
    <xf numFmtId="164" fontId="35" fillId="0" borderId="0" xfId="50" applyFont="true" applyBorder="false" applyAlignment="true" applyProtection="false">
      <alignment horizontal="center" vertical="center" textRotation="0" wrapText="true" indent="0" shrinkToFit="false"/>
      <protection locked="true" hidden="false"/>
    </xf>
    <xf numFmtId="164" fontId="4" fillId="0" borderId="27" xfId="50" applyFont="true" applyBorder="true" applyAlignment="true" applyProtection="false">
      <alignment horizontal="right" vertical="center" textRotation="0" wrapText="true" indent="0" shrinkToFit="false"/>
      <protection locked="true" hidden="false"/>
    </xf>
    <xf numFmtId="164" fontId="4" fillId="0" borderId="27" xfId="50" applyFont="true" applyBorder="true" applyAlignment="true" applyProtection="false">
      <alignment horizontal="left" vertical="center" textRotation="0" wrapText="true" indent="0" shrinkToFit="false"/>
      <protection locked="true" hidden="false"/>
    </xf>
    <xf numFmtId="164" fontId="35" fillId="0" borderId="27" xfId="50" applyFont="true" applyBorder="true" applyAlignment="true" applyProtection="false">
      <alignment horizontal="general" vertical="center" textRotation="0" wrapText="true" indent="0" shrinkToFit="false"/>
      <protection locked="true" hidden="false"/>
    </xf>
    <xf numFmtId="164" fontId="41" fillId="0" borderId="10" xfId="50" applyFont="true" applyBorder="true" applyAlignment="true" applyProtection="false">
      <alignment horizontal="center" vertical="center" textRotation="0" wrapText="true" indent="0" shrinkToFit="false"/>
      <protection locked="true" hidden="false"/>
    </xf>
    <xf numFmtId="164" fontId="42" fillId="0" borderId="10" xfId="50" applyFont="true" applyBorder="true" applyAlignment="true" applyProtection="false">
      <alignment horizontal="center" vertical="center" textRotation="0" wrapText="true" indent="0" shrinkToFit="false"/>
      <protection locked="true" hidden="false"/>
    </xf>
    <xf numFmtId="164" fontId="41" fillId="0" borderId="8" xfId="50" applyFont="true" applyBorder="true" applyAlignment="true" applyProtection="false">
      <alignment horizontal="left" vertical="center" textRotation="0" wrapText="true" indent="0" shrinkToFit="false"/>
      <protection locked="true" hidden="false"/>
    </xf>
    <xf numFmtId="164" fontId="35" fillId="4" borderId="28" xfId="50" applyFont="true" applyBorder="true" applyAlignment="true" applyProtection="false">
      <alignment horizontal="center" vertical="center" textRotation="0" wrapText="true" indent="0" shrinkToFit="false"/>
      <protection locked="true" hidden="false"/>
    </xf>
    <xf numFmtId="164" fontId="41" fillId="0" borderId="29" xfId="50" applyFont="true" applyBorder="true" applyAlignment="true" applyProtection="false">
      <alignment horizontal="center" vertical="center" textRotation="0" wrapText="true" indent="0" shrinkToFit="false"/>
      <protection locked="true" hidden="false"/>
    </xf>
    <xf numFmtId="164" fontId="41" fillId="0" borderId="21" xfId="50" applyFont="true" applyBorder="true" applyAlignment="true" applyProtection="false">
      <alignment horizontal="left" vertical="center" textRotation="0" wrapText="tru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6" fillId="0" borderId="0" xfId="0" applyFont="true" applyBorder="true" applyAlignment="true" applyProtection="false">
      <alignment horizontal="right" vertical="center" textRotation="0" wrapText="true" indent="0" shrinkToFit="false"/>
      <protection locked="true" hidden="false"/>
    </xf>
    <xf numFmtId="164" fontId="36" fillId="0" borderId="0" xfId="0" applyFont="true" applyBorder="false" applyAlignment="true" applyProtection="false">
      <alignment horizontal="right" vertical="center" textRotation="0" wrapText="true" indent="0" shrinkToFit="false"/>
      <protection locked="true" hidden="false"/>
    </xf>
    <xf numFmtId="164" fontId="43" fillId="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64" fontId="44" fillId="0" borderId="0" xfId="0" applyFont="true" applyBorder="false" applyAlignment="true" applyProtection="false">
      <alignment horizontal="center" vertical="center" textRotation="0" wrapText="false" indent="0" shrinkToFit="false"/>
      <protection locked="true" hidden="false"/>
    </xf>
    <xf numFmtId="164" fontId="45" fillId="0" borderId="30" xfId="0" applyFont="true" applyBorder="true" applyAlignment="true" applyProtection="false">
      <alignment horizontal="left" vertical="center" textRotation="0" wrapText="false" indent="0" shrinkToFit="false"/>
      <protection locked="true" hidden="false"/>
    </xf>
    <xf numFmtId="164" fontId="35" fillId="0" borderId="10" xfId="0" applyFont="true" applyBorder="true" applyAlignment="true" applyProtection="false">
      <alignment horizontal="center" vertical="center" textRotation="0" wrapText="true" indent="0" shrinkToFit="false"/>
      <protection locked="true" hidden="false"/>
    </xf>
    <xf numFmtId="164" fontId="42" fillId="0" borderId="24" xfId="0" applyFont="true" applyBorder="true" applyAlignment="true" applyProtection="false">
      <alignment horizontal="left" vertical="center" textRotation="0" wrapText="true" indent="0" shrinkToFit="false"/>
      <protection locked="true" hidden="false"/>
    </xf>
    <xf numFmtId="164" fontId="41" fillId="0" borderId="20" xfId="0" applyFont="true" applyBorder="true" applyAlignment="true" applyProtection="false">
      <alignment horizontal="center" vertical="center" textRotation="0" wrapText="true" indent="0" shrinkToFit="false"/>
      <protection locked="true" hidden="false"/>
    </xf>
    <xf numFmtId="177" fontId="41" fillId="0" borderId="27" xfId="0" applyFont="true" applyBorder="true" applyAlignment="true" applyProtection="false">
      <alignment horizontal="center" vertical="center" textRotation="0" wrapText="true" indent="0" shrinkToFit="false"/>
      <protection locked="true" hidden="false"/>
    </xf>
    <xf numFmtId="177" fontId="41" fillId="0" borderId="27" xfId="0" applyFont="true" applyBorder="true" applyAlignment="true" applyProtection="false">
      <alignment horizontal="left" vertical="center" textRotation="0" wrapText="true" indent="0" shrinkToFit="false"/>
      <protection locked="true" hidden="false"/>
    </xf>
    <xf numFmtId="178" fontId="41" fillId="0" borderId="8" xfId="0" applyFont="true" applyBorder="true" applyAlignment="true" applyProtection="false">
      <alignment horizontal="right" vertical="center" textRotation="0" wrapText="false" indent="0" shrinkToFit="false"/>
      <protection locked="true" hidden="false"/>
    </xf>
    <xf numFmtId="178" fontId="41" fillId="0" borderId="28" xfId="0" applyFont="true" applyBorder="true" applyAlignment="true" applyProtection="false">
      <alignment horizontal="center" vertical="center" textRotation="0" wrapText="false" indent="0" shrinkToFit="false"/>
      <protection locked="true" hidden="false"/>
    </xf>
    <xf numFmtId="164" fontId="12" fillId="0" borderId="10" xfId="0" applyFont="true" applyBorder="true" applyAlignment="true" applyProtection="false">
      <alignment horizontal="center" vertical="center" textRotation="0" wrapText="true" indent="0" shrinkToFit="false"/>
      <protection locked="true" hidden="false"/>
    </xf>
    <xf numFmtId="164" fontId="42" fillId="0" borderId="8"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46" fillId="0" borderId="31" xfId="0" applyFont="true" applyBorder="true" applyAlignment="true" applyProtection="false">
      <alignment horizontal="center" vertical="center" textRotation="0" wrapText="true" indent="0" shrinkToFit="false"/>
      <protection locked="true" hidden="false"/>
    </xf>
    <xf numFmtId="177" fontId="46" fillId="0" borderId="31" xfId="0" applyFont="true" applyBorder="true" applyAlignment="true" applyProtection="false">
      <alignment horizontal="center" vertical="center" textRotation="0" wrapText="true" indent="0" shrinkToFit="false"/>
      <protection locked="true" hidden="false"/>
    </xf>
    <xf numFmtId="177" fontId="46" fillId="0" borderId="6" xfId="0" applyFont="true" applyBorder="true" applyAlignment="true" applyProtection="false">
      <alignment horizontal="center" vertical="center" textRotation="0" wrapText="true" indent="0" shrinkToFit="false"/>
      <protection locked="true" hidden="false"/>
    </xf>
    <xf numFmtId="164" fontId="46" fillId="0" borderId="8" xfId="0" applyFont="true" applyBorder="true" applyAlignment="true" applyProtection="false">
      <alignment horizontal="center" vertical="center" textRotation="0" wrapText="true" indent="0" shrinkToFit="false"/>
      <protection locked="true" hidden="false"/>
    </xf>
    <xf numFmtId="175" fontId="46" fillId="0" borderId="28"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false">
      <alignment horizontal="center" vertical="center" textRotation="0" wrapText="false" indent="0" shrinkToFit="false"/>
      <protection locked="true" hidden="false"/>
    </xf>
    <xf numFmtId="164" fontId="46" fillId="0" borderId="8" xfId="0" applyFont="true" applyBorder="true" applyAlignment="true" applyProtection="false">
      <alignment horizontal="left" vertical="center" textRotation="0" wrapText="false" indent="0" shrinkToFit="false"/>
      <protection locked="true" hidden="false"/>
    </xf>
    <xf numFmtId="164" fontId="42" fillId="0" borderId="8" xfId="0" applyFont="true" applyBorder="true" applyAlignment="true" applyProtection="false">
      <alignment horizontal="left" vertical="center" textRotation="0" wrapText="false" indent="0" shrinkToFit="false"/>
      <protection locked="true" hidden="false"/>
    </xf>
    <xf numFmtId="164" fontId="12" fillId="0" borderId="29" xfId="0" applyFont="true" applyBorder="true" applyAlignment="true" applyProtection="false">
      <alignment horizontal="center" vertical="center" textRotation="0" wrapText="true" indent="0" shrinkToFit="false"/>
      <protection locked="true" hidden="false"/>
    </xf>
    <xf numFmtId="164" fontId="42" fillId="0" borderId="32" xfId="0" applyFont="true" applyBorder="true" applyAlignment="true" applyProtection="false">
      <alignment horizontal="left" vertical="center" textRotation="0" wrapText="true" indent="0" shrinkToFit="false"/>
      <protection locked="true" hidden="false"/>
    </xf>
    <xf numFmtId="164" fontId="42" fillId="0" borderId="21" xfId="0" applyFont="true" applyBorder="true" applyAlignment="true" applyProtection="false">
      <alignment horizontal="left" vertical="center" textRotation="0" wrapText="true" indent="0" shrinkToFit="false"/>
      <protection locked="true" hidden="false"/>
    </xf>
    <xf numFmtId="164" fontId="47" fillId="0" borderId="2" xfId="0" applyFont="true" applyBorder="true" applyAlignment="true" applyProtection="false">
      <alignment horizontal="left" vertical="center" textRotation="0" wrapText="false" indent="0" shrinkToFit="false"/>
      <protection locked="true" hidden="false"/>
    </xf>
    <xf numFmtId="164" fontId="46" fillId="0" borderId="18" xfId="0" applyFont="true" applyBorder="true" applyAlignment="true" applyProtection="false">
      <alignment horizontal="center" vertical="center" textRotation="0" wrapText="false" indent="0" shrinkToFit="false"/>
      <protection locked="true" hidden="false"/>
    </xf>
    <xf numFmtId="179" fontId="46" fillId="0" borderId="23" xfId="0" applyFont="true" applyBorder="true" applyAlignment="true" applyProtection="false">
      <alignment horizontal="center" vertical="center" textRotation="0" wrapText="false" indent="0" shrinkToFit="false"/>
      <protection locked="true" hidden="false"/>
    </xf>
    <xf numFmtId="164" fontId="46" fillId="0" borderId="23" xfId="0" applyFont="true" applyBorder="true" applyAlignment="true" applyProtection="false">
      <alignment horizontal="center" vertical="center" textRotation="0" wrapText="false" indent="0" shrinkToFit="false"/>
      <protection locked="true" hidden="false"/>
    </xf>
    <xf numFmtId="175" fontId="46" fillId="0" borderId="17" xfId="0" applyFont="true" applyBorder="true" applyAlignment="true" applyProtection="false">
      <alignment horizontal="center" vertical="center" textRotation="0" wrapText="false" indent="0" shrinkToFit="false"/>
      <protection locked="true" hidden="false"/>
    </xf>
    <xf numFmtId="164" fontId="46" fillId="0" borderId="10" xfId="0" applyFont="true" applyBorder="true" applyAlignment="true" applyProtection="false">
      <alignment horizontal="center" vertical="center" textRotation="0" wrapText="false" indent="0" shrinkToFit="false"/>
      <protection locked="true" hidden="false"/>
    </xf>
    <xf numFmtId="176" fontId="46" fillId="0" borderId="8" xfId="0" applyFont="true" applyBorder="true" applyAlignment="true" applyProtection="false">
      <alignment horizontal="right" vertical="center" textRotation="0" wrapText="false" indent="0" shrinkToFit="false"/>
      <protection locked="true" hidden="false"/>
    </xf>
    <xf numFmtId="176" fontId="46" fillId="0" borderId="10" xfId="0" applyFont="true" applyBorder="true" applyAlignment="true" applyProtection="false">
      <alignment horizontal="left" vertical="center" textRotation="0" wrapText="false" indent="0" shrinkToFit="false"/>
      <protection locked="true" hidden="false"/>
    </xf>
    <xf numFmtId="164" fontId="46" fillId="0" borderId="6" xfId="0" applyFont="true" applyBorder="true" applyAlignment="true" applyProtection="false">
      <alignment horizontal="center" vertical="center" textRotation="0" wrapText="false" indent="0" shrinkToFit="false"/>
      <protection locked="true" hidden="false"/>
    </xf>
    <xf numFmtId="176" fontId="46" fillId="0" borderId="28" xfId="0" applyFont="true" applyBorder="true" applyAlignment="true" applyProtection="false">
      <alignment horizontal="right" vertical="center" textRotation="0" wrapText="false" indent="0" shrinkToFit="false"/>
      <protection locked="true" hidden="false"/>
    </xf>
    <xf numFmtId="164" fontId="46" fillId="0" borderId="10" xfId="0" applyFont="true" applyBorder="true" applyAlignment="true" applyProtection="false">
      <alignment horizontal="general" vertical="center" textRotation="0" wrapText="false" indent="0" shrinkToFit="false"/>
      <protection locked="true" hidden="false"/>
    </xf>
    <xf numFmtId="176" fontId="46" fillId="0" borderId="6" xfId="0" applyFont="true" applyBorder="true" applyAlignment="true" applyProtection="false">
      <alignment horizontal="center" vertical="center" textRotation="0" wrapText="false" indent="0" shrinkToFit="false"/>
      <protection locked="true" hidden="false"/>
    </xf>
    <xf numFmtId="164" fontId="46" fillId="0" borderId="8" xfId="0" applyFont="true" applyBorder="true" applyAlignment="true" applyProtection="false">
      <alignment horizontal="right" vertical="center" textRotation="0" wrapText="false" indent="0" shrinkToFit="false"/>
      <protection locked="true" hidden="false"/>
    </xf>
    <xf numFmtId="176" fontId="46" fillId="0" borderId="28" xfId="0" applyFont="true" applyBorder="true" applyAlignment="true" applyProtection="false">
      <alignment horizontal="left" vertical="center" textRotation="0" wrapText="false" indent="0" shrinkToFit="false"/>
      <protection locked="true" hidden="false"/>
    </xf>
    <xf numFmtId="180" fontId="46" fillId="0" borderId="28" xfId="0" applyFont="true" applyBorder="true" applyAlignment="true" applyProtection="false">
      <alignment horizontal="center" vertical="center" textRotation="0" wrapText="false" indent="0" shrinkToFit="false"/>
      <protection locked="true" hidden="false"/>
    </xf>
    <xf numFmtId="164" fontId="46" fillId="0" borderId="28" xfId="0" applyFont="true" applyBorder="true" applyAlignment="true" applyProtection="false">
      <alignment horizontal="right" vertical="center" textRotation="0" wrapText="false" indent="0" shrinkToFit="false"/>
      <protection locked="true" hidden="false"/>
    </xf>
    <xf numFmtId="181" fontId="46" fillId="0" borderId="10" xfId="0" applyFont="true" applyBorder="true" applyAlignment="true" applyProtection="false">
      <alignment horizontal="center" vertical="center" textRotation="0" wrapText="false" indent="0" shrinkToFit="false"/>
      <protection locked="true" hidden="false"/>
    </xf>
    <xf numFmtId="164" fontId="46" fillId="0" borderId="6" xfId="0" applyFont="true" applyBorder="true" applyAlignment="true" applyProtection="false">
      <alignment horizontal="center" vertical="center" textRotation="0" wrapText="true" indent="0" shrinkToFit="false"/>
      <protection locked="true" hidden="false"/>
    </xf>
    <xf numFmtId="164" fontId="46" fillId="0" borderId="28" xfId="0" applyFont="true" applyBorder="true" applyAlignment="true" applyProtection="false">
      <alignment horizontal="general" vertical="center" textRotation="0" wrapText="true" indent="0" shrinkToFit="false"/>
      <protection locked="true" hidden="false"/>
    </xf>
    <xf numFmtId="182" fontId="46" fillId="0" borderId="28" xfId="0" applyFont="true" applyBorder="true" applyAlignment="true" applyProtection="false">
      <alignment horizontal="general" vertical="center" textRotation="0" wrapText="false" indent="0" shrinkToFit="false"/>
      <protection locked="true" hidden="false"/>
    </xf>
    <xf numFmtId="164" fontId="42" fillId="0" borderId="6" xfId="0" applyFont="true" applyBorder="true" applyAlignment="true" applyProtection="false">
      <alignment horizontal="center" vertical="center" textRotation="0" wrapText="false" indent="0" shrinkToFit="false"/>
      <protection locked="true" hidden="false"/>
    </xf>
    <xf numFmtId="164" fontId="42" fillId="0" borderId="28" xfId="0" applyFont="true" applyBorder="true" applyAlignment="true" applyProtection="false">
      <alignment horizontal="general" vertical="center" textRotation="0" wrapText="false" indent="0" shrinkToFit="false"/>
      <protection locked="true" hidden="false"/>
    </xf>
    <xf numFmtId="164" fontId="46" fillId="0" borderId="29" xfId="0" applyFont="true" applyBorder="true" applyAlignment="true" applyProtection="false">
      <alignment horizontal="center" vertical="center" textRotation="0" wrapText="false" indent="0" shrinkToFit="false"/>
      <protection locked="true" hidden="false"/>
    </xf>
    <xf numFmtId="164" fontId="42" fillId="0" borderId="21" xfId="0" applyFont="true" applyBorder="true" applyAlignment="true" applyProtection="false">
      <alignment horizontal="left" vertical="center" textRotation="0" wrapText="false" indent="0" shrinkToFit="false"/>
      <protection locked="true" hidden="false"/>
    </xf>
    <xf numFmtId="164" fontId="42" fillId="0" borderId="18" xfId="0" applyFont="true" applyBorder="true" applyAlignment="true" applyProtection="false">
      <alignment horizontal="center" vertical="center" textRotation="0" wrapText="false" indent="0" shrinkToFit="false"/>
      <protection locked="true" hidden="false"/>
    </xf>
    <xf numFmtId="179" fontId="46" fillId="0" borderId="17" xfId="0" applyFont="true" applyBorder="true" applyAlignment="true" applyProtection="false">
      <alignment horizontal="center" vertical="center" textRotation="0" wrapText="false" indent="0" shrinkToFit="false"/>
      <protection locked="true" hidden="false"/>
    </xf>
    <xf numFmtId="164" fontId="42" fillId="0" borderId="10" xfId="0" applyFont="true" applyBorder="true" applyAlignment="true" applyProtection="false">
      <alignment horizontal="center" vertical="center" textRotation="0" wrapText="false" indent="0" shrinkToFit="false"/>
      <protection locked="true" hidden="false"/>
    </xf>
    <xf numFmtId="164" fontId="41" fillId="0" borderId="8" xfId="0" applyFont="true" applyBorder="true" applyAlignment="true" applyProtection="false">
      <alignment horizontal="left" vertical="center" textRotation="0" wrapText="false" indent="0" shrinkToFit="false"/>
      <protection locked="true" hidden="false"/>
    </xf>
    <xf numFmtId="164" fontId="41" fillId="0" borderId="8" xfId="0" applyFont="true" applyBorder="true" applyAlignment="true" applyProtection="false">
      <alignment horizontal="center" vertical="center" textRotation="0" wrapText="false" indent="0" shrinkToFit="false"/>
      <protection locked="true" hidden="false"/>
    </xf>
    <xf numFmtId="164" fontId="41" fillId="0" borderId="6" xfId="0" applyFont="true" applyBorder="true" applyAlignment="true" applyProtection="false">
      <alignment horizontal="center" vertical="center" textRotation="0" wrapText="false" indent="0" shrinkToFit="false"/>
      <protection locked="true" hidden="false"/>
    </xf>
    <xf numFmtId="164" fontId="41" fillId="0" borderId="28" xfId="0" applyFont="true" applyBorder="true" applyAlignment="true" applyProtection="false">
      <alignment horizontal="general" vertical="center" textRotation="0" wrapText="false" indent="0" shrinkToFit="false"/>
      <protection locked="true" hidden="false"/>
    </xf>
    <xf numFmtId="164" fontId="42" fillId="0" borderId="29" xfId="0" applyFont="true" applyBorder="true" applyAlignment="true" applyProtection="false">
      <alignment horizontal="center" vertical="center" textRotation="0" wrapText="false" indent="0" shrinkToFit="false"/>
      <protection locked="true" hidden="false"/>
    </xf>
    <xf numFmtId="164" fontId="41" fillId="0" borderId="21" xfId="0" applyFont="true" applyBorder="true" applyAlignment="true" applyProtection="false">
      <alignment horizontal="left" vertical="center" textRotation="0" wrapText="false" indent="0" shrinkToFit="false"/>
      <protection locked="true" hidden="false"/>
    </xf>
    <xf numFmtId="179" fontId="41" fillId="0" borderId="23" xfId="0" applyFont="true" applyBorder="true" applyAlignment="true" applyProtection="false">
      <alignment horizontal="center" vertical="center" textRotation="0" wrapText="false" indent="0" shrinkToFit="false"/>
      <protection locked="true" hidden="false"/>
    </xf>
    <xf numFmtId="164" fontId="41" fillId="0" borderId="23" xfId="0" applyFont="true" applyBorder="true" applyAlignment="true" applyProtection="false">
      <alignment horizontal="center" vertical="center" textRotation="0" wrapText="false" indent="0" shrinkToFit="false"/>
      <protection locked="true" hidden="false"/>
    </xf>
    <xf numFmtId="179" fontId="41" fillId="0" borderId="17" xfId="0" applyFont="true" applyBorder="true" applyAlignment="true" applyProtection="false">
      <alignment horizontal="center" vertical="center" textRotation="0" wrapText="false" indent="0" shrinkToFit="false"/>
      <protection locked="true" hidden="false"/>
    </xf>
    <xf numFmtId="176" fontId="41" fillId="0" borderId="8" xfId="0" applyFont="true" applyBorder="true" applyAlignment="true" applyProtection="false">
      <alignment horizontal="right" vertical="center" textRotation="0" wrapText="false" indent="0" shrinkToFit="false"/>
      <protection locked="true" hidden="false"/>
    </xf>
    <xf numFmtId="176" fontId="41" fillId="0" borderId="10" xfId="0" applyFont="true" applyBorder="true" applyAlignment="true" applyProtection="false">
      <alignment horizontal="left" vertical="center" textRotation="0" wrapText="false" indent="0" shrinkToFit="false"/>
      <protection locked="true" hidden="false"/>
    </xf>
    <xf numFmtId="176" fontId="41" fillId="0" borderId="28" xfId="0" applyFont="true" applyBorder="true" applyAlignment="true" applyProtection="false">
      <alignment horizontal="right" vertical="center" textRotation="0" wrapText="false" indent="0" shrinkToFit="false"/>
      <protection locked="true" hidden="false"/>
    </xf>
    <xf numFmtId="164" fontId="41" fillId="0" borderId="10" xfId="0" applyFont="true" applyBorder="true" applyAlignment="true" applyProtection="false">
      <alignment horizontal="general" vertical="center" textRotation="0" wrapText="false" indent="0" shrinkToFit="false"/>
      <protection locked="true" hidden="false"/>
    </xf>
    <xf numFmtId="176" fontId="41" fillId="0" borderId="6" xfId="0" applyFont="true" applyBorder="true" applyAlignment="true" applyProtection="false">
      <alignment horizontal="center" vertical="center" textRotation="0" wrapText="false" indent="0" shrinkToFit="false"/>
      <protection locked="true" hidden="false"/>
    </xf>
    <xf numFmtId="164" fontId="41" fillId="0" borderId="8" xfId="0" applyFont="true" applyBorder="true" applyAlignment="true" applyProtection="false">
      <alignment horizontal="right" vertical="center" textRotation="0" wrapText="false" indent="0" shrinkToFit="false"/>
      <protection locked="true" hidden="false"/>
    </xf>
    <xf numFmtId="176" fontId="41" fillId="0" borderId="28" xfId="0" applyFont="true" applyBorder="true" applyAlignment="true" applyProtection="false">
      <alignment horizontal="left" vertical="center" textRotation="0" wrapText="false" indent="0" shrinkToFit="false"/>
      <protection locked="true" hidden="false"/>
    </xf>
    <xf numFmtId="180" fontId="41" fillId="0" borderId="28" xfId="0" applyFont="true" applyBorder="true" applyAlignment="true" applyProtection="false">
      <alignment horizontal="center" vertical="center" textRotation="0" wrapText="false" indent="0" shrinkToFit="false"/>
      <protection locked="true" hidden="false"/>
    </xf>
    <xf numFmtId="164" fontId="41" fillId="0" borderId="28" xfId="0" applyFont="true" applyBorder="true" applyAlignment="true" applyProtection="false">
      <alignment horizontal="right" vertical="center" textRotation="0" wrapText="false" indent="0" shrinkToFit="false"/>
      <protection locked="true" hidden="false"/>
    </xf>
    <xf numFmtId="181" fontId="41" fillId="0" borderId="10" xfId="0" applyFont="true" applyBorder="true" applyAlignment="true" applyProtection="false">
      <alignment horizontal="center" vertical="center" textRotation="0" wrapText="false" indent="0" shrinkToFit="false"/>
      <protection locked="true" hidden="false"/>
    </xf>
    <xf numFmtId="164" fontId="41" fillId="0" borderId="6" xfId="0" applyFont="true" applyBorder="true" applyAlignment="true" applyProtection="false">
      <alignment horizontal="center" vertical="center" textRotation="0" wrapText="true" indent="0" shrinkToFit="false"/>
      <protection locked="true" hidden="false"/>
    </xf>
    <xf numFmtId="164" fontId="41" fillId="0" borderId="28" xfId="0" applyFont="true" applyBorder="true" applyAlignment="true" applyProtection="false">
      <alignment horizontal="general" vertical="center" textRotation="0" wrapText="true" indent="0" shrinkToFit="false"/>
      <protection locked="true" hidden="false"/>
    </xf>
    <xf numFmtId="164" fontId="41" fillId="0" borderId="10" xfId="0" applyFont="true" applyBorder="true" applyAlignment="true" applyProtection="false">
      <alignment horizontal="center" vertical="center" textRotation="0" wrapText="false" indent="0" shrinkToFit="false"/>
      <protection locked="true" hidden="false"/>
    </xf>
    <xf numFmtId="182" fontId="41" fillId="0" borderId="28" xfId="0" applyFont="true" applyBorder="true" applyAlignment="true" applyProtection="false">
      <alignment horizontal="general" vertical="center"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48" fillId="0" borderId="0" xfId="52" applyFont="true" applyBorder="false" applyAlignment="false" applyProtection="false">
      <alignment horizontal="general" vertical="center" textRotation="0" wrapText="false" indent="0" shrinkToFit="false"/>
      <protection locked="true" hidden="false"/>
    </xf>
    <xf numFmtId="164" fontId="49" fillId="0" borderId="0" xfId="52" applyFont="true" applyBorder="true" applyAlignment="true" applyProtection="false">
      <alignment horizontal="right" vertical="center" textRotation="0" wrapText="true" indent="0" shrinkToFit="false"/>
      <protection locked="true" hidden="false"/>
    </xf>
    <xf numFmtId="164" fontId="43" fillId="0" borderId="0" xfId="52" applyFont="true" applyBorder="true" applyAlignment="true" applyProtection="false">
      <alignment horizontal="center" vertical="center" textRotation="0" wrapText="false" indent="0" shrinkToFit="false"/>
      <protection locked="true" hidden="false"/>
    </xf>
    <xf numFmtId="164" fontId="36" fillId="0" borderId="0" xfId="52" applyFont="true" applyBorder="true" applyAlignment="true" applyProtection="false">
      <alignment horizontal="left" vertical="center" textRotation="0" wrapText="false" indent="0" shrinkToFit="false"/>
      <protection locked="true" hidden="false"/>
    </xf>
    <xf numFmtId="164" fontId="47" fillId="0" borderId="33" xfId="52" applyFont="true" applyBorder="true" applyAlignment="true" applyProtection="false">
      <alignment horizontal="left" vertical="center" textRotation="0" wrapText="false" indent="0" shrinkToFit="false"/>
      <protection locked="true" hidden="false"/>
    </xf>
    <xf numFmtId="164" fontId="46" fillId="0" borderId="18" xfId="52" applyFont="true" applyBorder="true" applyAlignment="true" applyProtection="false">
      <alignment horizontal="center" vertical="center" textRotation="0" wrapText="false" indent="0" shrinkToFit="false"/>
      <protection locked="true" hidden="false"/>
    </xf>
    <xf numFmtId="164" fontId="46" fillId="0" borderId="23" xfId="52" applyFont="true" applyBorder="true" applyAlignment="true" applyProtection="false">
      <alignment horizontal="center" vertical="center" textRotation="0" wrapText="false" indent="0" shrinkToFit="false"/>
      <protection locked="true" hidden="false"/>
    </xf>
    <xf numFmtId="164" fontId="46" fillId="0" borderId="30" xfId="52" applyFont="true" applyBorder="true" applyAlignment="true" applyProtection="false">
      <alignment horizontal="center" vertical="center" textRotation="0" wrapText="false" indent="0" shrinkToFit="false"/>
      <protection locked="true" hidden="false"/>
    </xf>
    <xf numFmtId="164" fontId="41" fillId="0" borderId="10" xfId="52" applyFont="true" applyBorder="true" applyAlignment="true" applyProtection="false">
      <alignment horizontal="center" vertical="center" textRotation="0" wrapText="true" indent="0" shrinkToFit="false"/>
      <protection locked="true" hidden="false"/>
    </xf>
    <xf numFmtId="164" fontId="41" fillId="0" borderId="26" xfId="52" applyFont="true" applyBorder="true" applyAlignment="true" applyProtection="false">
      <alignment horizontal="center" vertical="center" textRotation="0" wrapText="false" indent="0" shrinkToFit="false"/>
      <protection locked="true" hidden="false"/>
    </xf>
    <xf numFmtId="164" fontId="41" fillId="0" borderId="34" xfId="52" applyFont="true" applyBorder="true" applyAlignment="true" applyProtection="false">
      <alignment horizontal="left" vertical="center" textRotation="0" wrapText="false" indent="0" shrinkToFit="false"/>
      <protection locked="true" hidden="false"/>
    </xf>
    <xf numFmtId="164" fontId="46" fillId="0" borderId="0" xfId="52" applyFont="true" applyBorder="true" applyAlignment="true" applyProtection="false">
      <alignment horizontal="center" vertical="center" textRotation="0" wrapText="false" indent="0" shrinkToFit="false"/>
      <protection locked="true" hidden="false"/>
    </xf>
    <xf numFmtId="164" fontId="41" fillId="0" borderId="6" xfId="52" applyFont="true" applyBorder="true" applyAlignment="true" applyProtection="false">
      <alignment horizontal="center" vertical="center" textRotation="0" wrapText="true" indent="0" shrinkToFit="false"/>
      <protection locked="true" hidden="false"/>
    </xf>
    <xf numFmtId="164" fontId="41" fillId="0" borderId="0" xfId="52" applyFont="true" applyBorder="true" applyAlignment="true" applyProtection="false">
      <alignment horizontal="center" vertical="center" textRotation="0" wrapText="false" indent="0" shrinkToFit="false"/>
      <protection locked="true" hidden="false"/>
    </xf>
    <xf numFmtId="164" fontId="41" fillId="0" borderId="26" xfId="52" applyFont="true" applyBorder="true" applyAlignment="false" applyProtection="false">
      <alignment horizontal="general" vertical="center" textRotation="0" wrapText="false" indent="0" shrinkToFit="false"/>
      <protection locked="true" hidden="false"/>
    </xf>
    <xf numFmtId="164" fontId="41" fillId="0" borderId="0" xfId="52" applyFont="true" applyBorder="true" applyAlignment="true" applyProtection="false">
      <alignment horizontal="general" vertical="center" textRotation="0" wrapText="false" indent="0" shrinkToFit="false"/>
      <protection locked="true" hidden="false"/>
    </xf>
    <xf numFmtId="164" fontId="41" fillId="0" borderId="35" xfId="52" applyFont="true" applyBorder="true" applyAlignment="true" applyProtection="false">
      <alignment horizontal="left" vertical="center" textRotation="0" wrapText="false" indent="0" shrinkToFit="false"/>
      <protection locked="true" hidden="false"/>
    </xf>
    <xf numFmtId="164" fontId="46" fillId="0" borderId="0" xfId="52" applyFont="true" applyBorder="true" applyAlignment="false" applyProtection="false">
      <alignment horizontal="general" vertical="center" textRotation="0" wrapText="false" indent="0" shrinkToFit="false"/>
      <protection locked="true" hidden="false"/>
    </xf>
    <xf numFmtId="164" fontId="41" fillId="0" borderId="0" xfId="52" applyFont="true" applyBorder="true" applyAlignment="false" applyProtection="false">
      <alignment horizontal="general" vertical="center" textRotation="0" wrapText="false" indent="0" shrinkToFit="false"/>
      <protection locked="true" hidden="false"/>
    </xf>
    <xf numFmtId="164" fontId="41" fillId="0" borderId="20" xfId="52" applyFont="true" applyBorder="true" applyAlignment="false" applyProtection="false">
      <alignment horizontal="general" vertical="center" textRotation="0" wrapText="false" indent="0" shrinkToFit="false"/>
      <protection locked="true" hidden="false"/>
    </xf>
    <xf numFmtId="164" fontId="41" fillId="0" borderId="27" xfId="52" applyFont="true" applyBorder="true" applyAlignment="true" applyProtection="false">
      <alignment horizontal="center" vertical="center" textRotation="0" wrapText="false" indent="0" shrinkToFit="false"/>
      <protection locked="true" hidden="false"/>
    </xf>
    <xf numFmtId="164" fontId="41" fillId="0" borderId="31" xfId="52" applyFont="true" applyBorder="true" applyAlignment="true" applyProtection="false">
      <alignment horizontal="left" vertical="center" textRotation="0" wrapText="false" indent="0" shrinkToFit="false"/>
      <protection locked="true" hidden="false"/>
    </xf>
    <xf numFmtId="164" fontId="46" fillId="0" borderId="27" xfId="52" applyFont="true" applyBorder="true" applyAlignment="true" applyProtection="false">
      <alignment horizontal="center" vertical="center" textRotation="0" wrapText="false" indent="0" shrinkToFit="false"/>
      <protection locked="true" hidden="false"/>
    </xf>
    <xf numFmtId="164" fontId="41" fillId="0" borderId="27" xfId="52" applyFont="true" applyBorder="true" applyAlignment="false" applyProtection="false">
      <alignment horizontal="general" vertical="center" textRotation="0" wrapText="false" indent="0" shrinkToFit="false"/>
      <protection locked="true" hidden="false"/>
    </xf>
    <xf numFmtId="164" fontId="46" fillId="0" borderId="27" xfId="52" applyFont="true" applyBorder="true" applyAlignment="false" applyProtection="false">
      <alignment horizontal="general" vertical="center" textRotation="0" wrapText="false" indent="0" shrinkToFit="false"/>
      <protection locked="true" hidden="false"/>
    </xf>
    <xf numFmtId="164" fontId="41" fillId="0" borderId="10" xfId="52" applyFont="true" applyBorder="true" applyAlignment="true" applyProtection="false">
      <alignment horizontal="left" vertical="center" textRotation="0" wrapText="false" indent="0" shrinkToFit="false"/>
      <protection locked="true" hidden="false"/>
    </xf>
    <xf numFmtId="164" fontId="41" fillId="0" borderId="28" xfId="52" applyFont="true" applyBorder="true" applyAlignment="true" applyProtection="false">
      <alignment horizontal="center" vertical="center" textRotation="0" wrapText="false" indent="0" shrinkToFit="false"/>
      <protection locked="true" hidden="false"/>
    </xf>
    <xf numFmtId="164" fontId="46" fillId="0" borderId="28" xfId="52" applyFont="true" applyBorder="true" applyAlignment="true" applyProtection="false">
      <alignment horizontal="center" vertical="center" textRotation="0" wrapText="false" indent="0" shrinkToFit="false"/>
      <protection locked="true" hidden="false"/>
    </xf>
    <xf numFmtId="164" fontId="41" fillId="0" borderId="8" xfId="52" applyFont="true" applyBorder="true" applyAlignment="true" applyProtection="false">
      <alignment horizontal="center" vertical="center" textRotation="0" wrapText="false" indent="0" shrinkToFit="false"/>
      <protection locked="true" hidden="false"/>
    </xf>
    <xf numFmtId="164" fontId="36" fillId="0" borderId="6" xfId="52" applyFont="true" applyBorder="true" applyAlignment="true" applyProtection="false">
      <alignment horizontal="center" vertical="center" textRotation="0" wrapText="true" indent="0" shrinkToFit="false"/>
      <protection locked="true" hidden="false"/>
    </xf>
    <xf numFmtId="164" fontId="41" fillId="0" borderId="36" xfId="52" applyFont="true" applyBorder="true" applyAlignment="true" applyProtection="false">
      <alignment horizontal="center" vertical="center" textRotation="0" wrapText="true" indent="0" shrinkToFit="false"/>
      <protection locked="true" hidden="false"/>
    </xf>
    <xf numFmtId="164" fontId="41" fillId="0" borderId="6" xfId="52" applyFont="true" applyBorder="true" applyAlignment="true" applyProtection="false">
      <alignment horizontal="center" vertical="center" textRotation="0" wrapText="false" indent="0" shrinkToFit="false"/>
      <protection locked="true" hidden="false"/>
    </xf>
    <xf numFmtId="164" fontId="41" fillId="0" borderId="32" xfId="52" applyFont="true" applyBorder="true" applyAlignment="true" applyProtection="false">
      <alignment horizontal="center" vertical="center" textRotation="0" wrapText="false" indent="0" shrinkToFit="false"/>
      <protection locked="true" hidden="false"/>
    </xf>
    <xf numFmtId="164" fontId="41" fillId="0" borderId="21" xfId="52" applyFont="true" applyBorder="true" applyAlignment="true" applyProtection="false">
      <alignment horizontal="center" vertical="center" textRotation="0" wrapText="false" indent="0" shrinkToFit="false"/>
      <protection locked="true" hidden="false"/>
    </xf>
    <xf numFmtId="164" fontId="41" fillId="0" borderId="29" xfId="52" applyFont="true" applyBorder="true" applyAlignment="true" applyProtection="false">
      <alignment horizontal="left" vertical="center" textRotation="0" wrapText="false" indent="0" shrinkToFit="false"/>
      <protection locked="true" hidden="false"/>
    </xf>
    <xf numFmtId="164" fontId="46" fillId="0" borderId="22" xfId="52" applyFont="true" applyBorder="true" applyAlignment="true" applyProtection="false">
      <alignment horizontal="center" vertical="center" textRotation="0" wrapText="false" indent="0" shrinkToFit="false"/>
      <protection locked="true" hidden="false"/>
    </xf>
    <xf numFmtId="164" fontId="41" fillId="0" borderId="37" xfId="52" applyFont="true" applyBorder="true" applyAlignment="true" applyProtection="false">
      <alignment horizontal="center" vertical="center" textRotation="0" wrapText="false" indent="0" shrinkToFit="false"/>
      <protection locked="true" hidden="false"/>
    </xf>
    <xf numFmtId="164" fontId="41" fillId="0" borderId="37" xfId="52" applyFont="true" applyBorder="true" applyAlignment="false" applyProtection="false">
      <alignment horizontal="general" vertical="center" textRotation="0" wrapText="false" indent="0" shrinkToFit="false"/>
      <protection locked="true" hidden="false"/>
    </xf>
    <xf numFmtId="164" fontId="46" fillId="0" borderId="37" xfId="52" applyFont="true" applyBorder="true" applyAlignment="false" applyProtection="false">
      <alignment horizontal="general" vertical="center" textRotation="0" wrapText="false" indent="0" shrinkToFit="false"/>
      <protection locked="true" hidden="false"/>
    </xf>
    <xf numFmtId="164" fontId="46" fillId="0" borderId="37" xfId="52" applyFont="true" applyBorder="true" applyAlignment="true" applyProtection="false">
      <alignment horizontal="center" vertical="center" textRotation="0" wrapText="false" indent="0" shrinkToFit="false"/>
      <protection locked="true" hidden="false"/>
    </xf>
    <xf numFmtId="164" fontId="45" fillId="0" borderId="33" xfId="52" applyFont="true" applyBorder="true" applyAlignment="false" applyProtection="false">
      <alignment horizontal="general" vertical="center" textRotation="0" wrapText="false" indent="0" shrinkToFit="false"/>
      <protection locked="true" hidden="false"/>
    </xf>
    <xf numFmtId="164" fontId="46" fillId="0" borderId="17" xfId="52" applyFont="true" applyBorder="true" applyAlignment="true" applyProtection="false">
      <alignment horizontal="center" vertical="center" textRotation="0" wrapText="false" indent="0" shrinkToFit="false"/>
      <protection locked="true" hidden="false"/>
    </xf>
    <xf numFmtId="164" fontId="41" fillId="0" borderId="24" xfId="52" applyFont="true" applyBorder="true" applyAlignment="true" applyProtection="false">
      <alignment horizontal="center" vertical="center" textRotation="0" wrapText="false" indent="0" shrinkToFit="false"/>
      <protection locked="true" hidden="false"/>
    </xf>
    <xf numFmtId="164" fontId="41" fillId="0" borderId="25" xfId="52" applyFont="true" applyBorder="true" applyAlignment="false" applyProtection="false">
      <alignment horizontal="general" vertical="center" textRotation="0" wrapText="false" indent="0" shrinkToFit="false"/>
      <protection locked="true" hidden="false"/>
    </xf>
    <xf numFmtId="164" fontId="41" fillId="0" borderId="25" xfId="52" applyFont="true" applyBorder="true" applyAlignment="true" applyProtection="false">
      <alignment horizontal="left" vertical="center" textRotation="0" wrapText="true" indent="0" shrinkToFit="false"/>
      <protection locked="true" hidden="false"/>
    </xf>
    <xf numFmtId="164" fontId="41" fillId="0" borderId="25" xfId="52" applyFont="true" applyBorder="true" applyAlignment="true" applyProtection="false">
      <alignment horizontal="general" vertical="center" textRotation="0" wrapText="true" indent="0" shrinkToFit="false"/>
      <protection locked="true" hidden="false"/>
    </xf>
    <xf numFmtId="164" fontId="46" fillId="0" borderId="34" xfId="52" applyFont="true" applyBorder="true" applyAlignment="false" applyProtection="false">
      <alignment horizontal="general" vertical="center" textRotation="0" wrapText="false" indent="0" shrinkToFit="false"/>
      <protection locked="true" hidden="false"/>
    </xf>
    <xf numFmtId="164" fontId="46" fillId="0" borderId="34" xfId="52" applyFont="true" applyBorder="true" applyAlignment="true" applyProtection="false">
      <alignment horizontal="center" vertical="center" textRotation="0" wrapText="false" indent="0" shrinkToFit="false"/>
      <protection locked="true" hidden="false"/>
    </xf>
    <xf numFmtId="164" fontId="41" fillId="0" borderId="6" xfId="52" applyFont="true" applyBorder="true" applyAlignment="true" applyProtection="false">
      <alignment horizontal="center" vertical="center" textRotation="0" wrapText="false" indent="0" shrinkToFit="true"/>
      <protection locked="true" hidden="false"/>
    </xf>
    <xf numFmtId="164" fontId="46" fillId="0" borderId="25" xfId="52" applyFont="true" applyBorder="true" applyAlignment="true" applyProtection="false">
      <alignment horizontal="center" vertical="center" textRotation="0" wrapText="false" indent="0" shrinkToFit="false"/>
      <protection locked="true" hidden="false"/>
    </xf>
    <xf numFmtId="164" fontId="41" fillId="0" borderId="20" xfId="52" applyFont="true" applyBorder="true" applyAlignment="true" applyProtection="false">
      <alignment horizontal="center" vertical="center" textRotation="0" wrapText="false" indent="0" shrinkToFit="false"/>
      <protection locked="true" hidden="false"/>
    </xf>
    <xf numFmtId="164" fontId="41" fillId="0" borderId="27" xfId="52" applyFont="true" applyBorder="true" applyAlignment="true" applyProtection="false">
      <alignment horizontal="left" vertical="center" textRotation="0" wrapText="true" indent="0" shrinkToFit="false"/>
      <protection locked="true" hidden="false"/>
    </xf>
    <xf numFmtId="164" fontId="41" fillId="0" borderId="27" xfId="52" applyFont="true" applyBorder="true" applyAlignment="true" applyProtection="false">
      <alignment horizontal="general" vertical="center" textRotation="0" wrapText="true" indent="0" shrinkToFit="false"/>
      <protection locked="true" hidden="false"/>
    </xf>
    <xf numFmtId="164" fontId="46" fillId="0" borderId="31" xfId="52" applyFont="true" applyBorder="true" applyAlignment="false" applyProtection="false">
      <alignment horizontal="general" vertical="center" textRotation="0" wrapText="false" indent="0" shrinkToFit="false"/>
      <protection locked="true" hidden="false"/>
    </xf>
    <xf numFmtId="164" fontId="46" fillId="0" borderId="31" xfId="52" applyFont="true" applyBorder="true" applyAlignment="true" applyProtection="false">
      <alignment horizontal="center" vertical="center" textRotation="0" wrapText="false" indent="0" shrinkToFit="false"/>
      <protection locked="true" hidden="false"/>
    </xf>
    <xf numFmtId="164" fontId="46" fillId="0" borderId="35" xfId="52" applyFont="true" applyBorder="true" applyAlignment="false" applyProtection="false">
      <alignment horizontal="general" vertical="center" textRotation="0" wrapText="false" indent="0" shrinkToFit="false"/>
      <protection locked="true" hidden="false"/>
    </xf>
    <xf numFmtId="164" fontId="41" fillId="0" borderId="31" xfId="52" applyFont="true" applyBorder="true" applyAlignment="true" applyProtection="false">
      <alignment horizontal="center" vertical="center" textRotation="0" wrapText="true" indent="0" shrinkToFit="false"/>
      <protection locked="true" hidden="false"/>
    </xf>
    <xf numFmtId="164" fontId="46" fillId="0" borderId="35" xfId="52" applyFont="true" applyBorder="true" applyAlignment="true" applyProtection="false">
      <alignment horizontal="center" vertical="center" textRotation="0" wrapText="false" indent="0" shrinkToFit="false"/>
      <protection locked="true" hidden="false"/>
    </xf>
    <xf numFmtId="164" fontId="46" fillId="0" borderId="26" xfId="52" applyFont="true" applyBorder="true" applyAlignment="true" applyProtection="false">
      <alignment horizontal="center" vertical="center" textRotation="0" wrapText="false" indent="0" shrinkToFit="false"/>
      <protection locked="true" hidden="false"/>
    </xf>
    <xf numFmtId="164" fontId="46" fillId="0" borderId="20" xfId="52" applyFont="true" applyBorder="true" applyAlignment="true" applyProtection="false">
      <alignment horizontal="center" vertical="center" textRotation="0" wrapText="false" indent="0" shrinkToFit="false"/>
      <protection locked="true" hidden="false"/>
    </xf>
    <xf numFmtId="164" fontId="35" fillId="0" borderId="22" xfId="0" applyFont="true" applyBorder="true" applyAlignment="true" applyProtection="false">
      <alignment horizontal="center" vertical="bottom" textRotation="0" wrapText="false" indent="0" shrinkToFit="false"/>
      <protection locked="true" hidden="false"/>
    </xf>
    <xf numFmtId="164" fontId="50" fillId="0" borderId="22" xfId="0" applyFont="true" applyBorder="true" applyAlignment="true" applyProtection="false">
      <alignment horizontal="left"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true" applyAlignment="true" applyProtection="false">
      <alignment horizontal="left" vertical="center" textRotation="0" wrapText="true" indent="0" shrinkToFit="false"/>
      <protection locked="true" hidden="false"/>
    </xf>
    <xf numFmtId="164" fontId="51" fillId="0" borderId="0" xfId="0" applyFont="true" applyBorder="false" applyAlignment="true" applyProtection="false">
      <alignment horizontal="left" vertical="center" textRotation="0" wrapText="true" indent="0" shrinkToFit="false"/>
      <protection locked="true" hidden="false"/>
    </xf>
    <xf numFmtId="164" fontId="47" fillId="0" borderId="0" xfId="0" applyFont="true" applyBorder="true" applyAlignment="true" applyProtection="false">
      <alignment horizontal="left" vertical="center" textRotation="0" wrapText="true" indent="0" shrinkToFit="false"/>
      <protection locked="true" hidden="false"/>
    </xf>
    <xf numFmtId="164" fontId="46" fillId="0" borderId="17" xfId="0" applyFont="true" applyBorder="true" applyAlignment="true" applyProtection="false">
      <alignment horizontal="center" vertical="center" textRotation="0" wrapText="false" indent="0" shrinkToFit="false"/>
      <protection locked="true" hidden="false"/>
    </xf>
    <xf numFmtId="164" fontId="41" fillId="0" borderId="30" xfId="52" applyFont="true" applyBorder="true" applyAlignment="true" applyProtection="false">
      <alignment horizontal="center" vertical="center" textRotation="0" wrapText="false" indent="0" shrinkToFit="false"/>
      <protection locked="true" hidden="false"/>
    </xf>
    <xf numFmtId="164" fontId="46" fillId="0" borderId="18" xfId="0" applyFont="true" applyBorder="true" applyAlignment="true" applyProtection="false">
      <alignment horizontal="left" vertical="center" textRotation="0" wrapText="false" indent="0" shrinkToFit="false"/>
      <protection locked="true" hidden="false"/>
    </xf>
    <xf numFmtId="164" fontId="46" fillId="0" borderId="17" xfId="0" applyFont="true" applyBorder="true" applyAlignment="true" applyProtection="false">
      <alignment horizontal="left" vertical="center" textRotation="0" wrapText="false" indent="0" shrinkToFit="false"/>
      <protection locked="true" hidden="false"/>
    </xf>
    <xf numFmtId="164" fontId="46" fillId="0" borderId="18" xfId="0" applyFont="true" applyBorder="true" applyAlignment="true" applyProtection="false">
      <alignment horizontal="center" vertical="center" textRotation="0" wrapText="true" indent="0" shrinkToFit="false"/>
      <protection locked="true" hidden="false"/>
    </xf>
    <xf numFmtId="164" fontId="46" fillId="0" borderId="19" xfId="0" applyFont="true" applyBorder="true" applyAlignment="true" applyProtection="false">
      <alignment horizontal="center" vertical="center" textRotation="0" wrapText="true" indent="0" shrinkToFit="false"/>
      <protection locked="true" hidden="false"/>
    </xf>
    <xf numFmtId="164" fontId="46" fillId="0" borderId="38" xfId="0" applyFont="true" applyBorder="true" applyAlignment="true" applyProtection="false">
      <alignment horizontal="general" vertical="center" textRotation="0" wrapText="true" indent="0" shrinkToFit="false"/>
      <protection locked="true" hidden="false"/>
    </xf>
    <xf numFmtId="164" fontId="46" fillId="0" borderId="19" xfId="0" applyFont="true" applyBorder="true" applyAlignment="true" applyProtection="false">
      <alignment horizontal="general" vertical="center" textRotation="0" wrapText="true" indent="0" shrinkToFit="false"/>
      <protection locked="true" hidden="false"/>
    </xf>
    <xf numFmtId="164" fontId="46" fillId="0" borderId="17" xfId="0" applyFont="true" applyBorder="true" applyAlignment="true" applyProtection="false">
      <alignment horizontal="center" vertical="center" textRotation="0" wrapText="true" indent="0" shrinkToFit="false"/>
      <protection locked="true" hidden="false"/>
    </xf>
    <xf numFmtId="183" fontId="46" fillId="0" borderId="10" xfId="0" applyFont="true" applyBorder="true" applyAlignment="true" applyProtection="false">
      <alignment horizontal="left" vertical="center" textRotation="0" wrapText="false" indent="0" shrinkToFit="false"/>
      <protection locked="true" hidden="false"/>
    </xf>
    <xf numFmtId="183" fontId="46" fillId="0" borderId="10" xfId="0" applyFont="true" applyBorder="true" applyAlignment="true" applyProtection="false">
      <alignment horizontal="center" vertical="center" textRotation="0" wrapText="false" indent="0" shrinkToFit="false"/>
      <protection locked="true" hidden="false"/>
    </xf>
    <xf numFmtId="164" fontId="46" fillId="0" borderId="15" xfId="0" applyFont="true" applyBorder="true" applyAlignment="true" applyProtection="false">
      <alignment horizontal="left" vertical="center" textRotation="0" wrapText="false" indent="0" shrinkToFit="false"/>
      <protection locked="true" hidden="false"/>
    </xf>
    <xf numFmtId="164" fontId="46" fillId="0" borderId="15" xfId="0" applyFont="true" applyBorder="true" applyAlignment="true" applyProtection="false">
      <alignment horizontal="center" vertical="center" textRotation="0" wrapText="false" indent="0" shrinkToFit="false"/>
      <protection locked="true" hidden="false"/>
    </xf>
    <xf numFmtId="164" fontId="46" fillId="0" borderId="34" xfId="0" applyFont="true" applyBorder="true" applyAlignment="true" applyProtection="false">
      <alignment horizontal="right" vertical="center" textRotation="0" wrapText="true" indent="0" shrinkToFit="false"/>
      <protection locked="true" hidden="false"/>
    </xf>
    <xf numFmtId="164" fontId="46" fillId="0" borderId="8" xfId="0" applyFont="true" applyBorder="true" applyAlignment="true" applyProtection="true">
      <alignment horizontal="center" vertical="center" textRotation="0" wrapText="false" indent="0" shrinkToFit="false"/>
      <protection locked="false" hidden="false"/>
    </xf>
    <xf numFmtId="164" fontId="46" fillId="0" borderId="31" xfId="0" applyFont="true" applyBorder="true" applyAlignment="true" applyProtection="false">
      <alignment horizontal="left" vertical="center" textRotation="0" wrapText="true" indent="0" shrinkToFit="false"/>
      <protection locked="true" hidden="false"/>
    </xf>
    <xf numFmtId="180" fontId="46" fillId="0" borderId="10" xfId="0" applyFont="true" applyBorder="true" applyAlignment="true" applyProtection="false">
      <alignment horizontal="right" vertical="center" textRotation="0" wrapText="false" indent="0" shrinkToFit="false"/>
      <protection locked="true" hidden="false"/>
    </xf>
    <xf numFmtId="164" fontId="46" fillId="0" borderId="8" xfId="0" applyFont="true" applyBorder="true" applyAlignment="true" applyProtection="false">
      <alignment horizontal="center" vertical="center" textRotation="0" wrapText="false" indent="0" shrinkToFit="false"/>
      <protection locked="true" hidden="false"/>
    </xf>
    <xf numFmtId="180" fontId="46" fillId="0" borderId="29" xfId="0" applyFont="true" applyBorder="true" applyAlignment="true" applyProtection="false">
      <alignment horizontal="right" vertical="center" textRotation="0" wrapText="false" indent="0" shrinkToFit="false"/>
      <protection locked="true" hidden="false"/>
    </xf>
    <xf numFmtId="164" fontId="46" fillId="0" borderId="32" xfId="0" applyFont="true" applyBorder="true" applyAlignment="true" applyProtection="false">
      <alignment horizontal="center" vertical="center" textRotation="0" wrapText="false" indent="0" shrinkToFit="false"/>
      <protection locked="true" hidden="false"/>
    </xf>
    <xf numFmtId="164" fontId="46" fillId="0" borderId="32" xfId="0" applyFont="true" applyBorder="true" applyAlignment="true" applyProtection="false">
      <alignment horizontal="center" vertical="center" textRotation="0" wrapText="true" indent="0" shrinkToFit="false"/>
      <protection locked="true" hidden="false"/>
    </xf>
    <xf numFmtId="164" fontId="46" fillId="0" borderId="21" xfId="0" applyFont="true" applyBorder="true" applyAlignment="true" applyProtection="false">
      <alignment horizontal="center" vertical="center" textRotation="0" wrapText="false" indent="0" shrinkToFit="false"/>
      <protection locked="true" hidden="false"/>
    </xf>
    <xf numFmtId="164" fontId="52" fillId="0" borderId="0" xfId="0" applyFont="true" applyBorder="true" applyAlignment="true" applyProtection="false">
      <alignment horizontal="left" vertical="center" textRotation="0" wrapText="true" indent="0" shrinkToFit="false"/>
      <protection locked="true" hidden="false"/>
    </xf>
    <xf numFmtId="176" fontId="46" fillId="0" borderId="18" xfId="0" applyFont="true" applyBorder="true" applyAlignment="true" applyProtection="false">
      <alignment horizontal="center" vertical="center" textRotation="0" wrapText="false" indent="0" shrinkToFit="false"/>
      <protection locked="true" hidden="false"/>
    </xf>
    <xf numFmtId="164" fontId="53" fillId="0" borderId="23" xfId="0" applyFont="true" applyBorder="true" applyAlignment="true" applyProtection="false">
      <alignment horizontal="center" vertical="center" textRotation="0" wrapText="false" indent="0" shrinkToFit="false"/>
      <protection locked="true" hidden="false"/>
    </xf>
    <xf numFmtId="164" fontId="53" fillId="0" borderId="19" xfId="0" applyFont="true" applyBorder="true" applyAlignment="true" applyProtection="false">
      <alignment horizontal="left" vertical="center" textRotation="0" wrapText="false" indent="0" shrinkToFit="false"/>
      <protection locked="true" hidden="false"/>
    </xf>
    <xf numFmtId="164" fontId="53" fillId="0" borderId="26" xfId="0" applyFont="true" applyBorder="true" applyAlignment="true" applyProtection="false">
      <alignment horizontal="left" vertical="center" textRotation="0" wrapText="false" indent="0" shrinkToFit="false"/>
      <protection locked="true" hidden="false"/>
    </xf>
    <xf numFmtId="164" fontId="53" fillId="0" borderId="20" xfId="0" applyFont="true" applyBorder="true" applyAlignment="true" applyProtection="false">
      <alignment horizontal="left" vertical="center" textRotation="0" wrapText="false" indent="0" shrinkToFit="false"/>
      <protection locked="true" hidden="false"/>
    </xf>
    <xf numFmtId="164" fontId="53" fillId="0" borderId="6" xfId="0" applyFont="true" applyBorder="true" applyAlignment="true" applyProtection="false">
      <alignment horizontal="center" vertical="center" textRotation="0" wrapText="false" indent="0" shrinkToFit="false"/>
      <protection locked="true" hidden="false"/>
    </xf>
    <xf numFmtId="164" fontId="53" fillId="0" borderId="8" xfId="0" applyFont="true" applyBorder="true" applyAlignment="true" applyProtection="false">
      <alignment horizontal="left" vertical="center" textRotation="0" wrapText="false" indent="0" shrinkToFit="false"/>
      <protection locked="true" hidden="false"/>
    </xf>
    <xf numFmtId="164" fontId="46" fillId="0" borderId="10" xfId="0" applyFont="true" applyBorder="true" applyAlignment="true" applyProtection="false">
      <alignment horizontal="center" vertical="center" textRotation="0" wrapText="true" indent="0" shrinkToFit="false"/>
      <protection locked="true" hidden="false"/>
    </xf>
    <xf numFmtId="164" fontId="46" fillId="0" borderId="24" xfId="0" applyFont="true" applyBorder="true" applyAlignment="true" applyProtection="false">
      <alignment horizontal="left" vertical="center" textRotation="0" wrapText="false" indent="0" shrinkToFit="false"/>
      <protection locked="true" hidden="false"/>
    </xf>
    <xf numFmtId="164" fontId="46" fillId="0" borderId="26" xfId="0" applyFont="true" applyBorder="true" applyAlignment="true" applyProtection="false">
      <alignment horizontal="left" vertical="center" textRotation="0" wrapText="false" indent="0" shrinkToFit="false"/>
      <protection locked="true" hidden="false"/>
    </xf>
    <xf numFmtId="164" fontId="46" fillId="0" borderId="20" xfId="0" applyFont="true" applyBorder="true" applyAlignment="true" applyProtection="false">
      <alignment horizontal="left" vertical="center" textRotation="0" wrapText="false" indent="0" shrinkToFit="false"/>
      <protection locked="true" hidden="false"/>
    </xf>
    <xf numFmtId="164" fontId="54" fillId="0" borderId="22" xfId="0" applyFont="true" applyBorder="true" applyAlignment="true" applyProtection="false">
      <alignment horizontal="left" vertical="center" textRotation="0" wrapText="true" indent="0" shrinkToFit="false"/>
      <protection locked="true" hidden="false"/>
    </xf>
    <xf numFmtId="164" fontId="41" fillId="0" borderId="17" xfId="52" applyFont="true" applyBorder="true" applyAlignment="true" applyProtection="false">
      <alignment horizontal="center" vertical="center" textRotation="0" wrapText="false" indent="0" shrinkToFit="false"/>
      <protection locked="true" hidden="false"/>
    </xf>
    <xf numFmtId="164" fontId="46" fillId="0" borderId="18" xfId="0" applyFont="true" applyBorder="true" applyAlignment="true" applyProtection="false">
      <alignment horizontal="general" vertical="center" textRotation="0" wrapText="true" indent="0" shrinkToFit="false"/>
      <protection locked="true" hidden="false"/>
    </xf>
    <xf numFmtId="164" fontId="41" fillId="0" borderId="19" xfId="52" applyFont="true" applyBorder="true" applyAlignment="true" applyProtection="false">
      <alignment horizontal="center" vertical="center" textRotation="0" wrapText="false" indent="0" shrinkToFit="false"/>
      <protection locked="true" hidden="false"/>
    </xf>
    <xf numFmtId="164" fontId="55" fillId="0" borderId="38" xfId="0" applyFont="true" applyBorder="true" applyAlignment="true" applyProtection="false">
      <alignment horizontal="left" vertical="center" textRotation="0" wrapText="false" indent="0" shrinkToFit="false"/>
      <protection locked="true" hidden="false"/>
    </xf>
    <xf numFmtId="164" fontId="55" fillId="0" borderId="30" xfId="0" applyFont="true" applyBorder="true" applyAlignment="true" applyProtection="false">
      <alignment horizontal="left" vertical="center" textRotation="0" wrapText="false" indent="0" shrinkToFit="false"/>
      <protection locked="true" hidden="false"/>
    </xf>
    <xf numFmtId="183" fontId="46" fillId="0" borderId="10" xfId="0" applyFont="true" applyBorder="true" applyAlignment="true" applyProtection="false">
      <alignment horizontal="general" vertical="center" textRotation="0" wrapText="false" indent="0" shrinkToFit="false"/>
      <protection locked="true" hidden="false"/>
    </xf>
    <xf numFmtId="164" fontId="46" fillId="0" borderId="31" xfId="0" applyFont="true" applyBorder="true" applyAlignment="true" applyProtection="false">
      <alignment horizontal="center" vertical="center" textRotation="0" wrapText="false" indent="0" shrinkToFit="false"/>
      <protection locked="true" hidden="false"/>
    </xf>
    <xf numFmtId="164" fontId="55" fillId="0" borderId="15" xfId="0" applyFont="true" applyBorder="true" applyAlignment="true" applyProtection="false">
      <alignment horizontal="center" vertical="center" textRotation="0" wrapText="false" indent="0" shrinkToFit="false"/>
      <protection locked="true" hidden="false"/>
    </xf>
    <xf numFmtId="164" fontId="55" fillId="0" borderId="10" xfId="0" applyFont="true" applyBorder="true" applyAlignment="true" applyProtection="false">
      <alignment horizontal="general" vertical="center" textRotation="0" wrapText="false" indent="0" shrinkToFit="false"/>
      <protection locked="true" hidden="false"/>
    </xf>
    <xf numFmtId="164" fontId="55" fillId="0" borderId="28" xfId="0" applyFont="true" applyBorder="true" applyAlignment="true" applyProtection="false">
      <alignment horizontal="center" vertical="center" textRotation="0" wrapText="false" indent="0" shrinkToFit="false"/>
      <protection locked="true" hidden="false"/>
    </xf>
    <xf numFmtId="164" fontId="51" fillId="0" borderId="6" xfId="0" applyFont="true" applyBorder="true" applyAlignment="true" applyProtection="false">
      <alignment horizontal="center" vertical="center" textRotation="0" wrapText="false" indent="0" shrinkToFit="false"/>
      <protection locked="true" hidden="false"/>
    </xf>
    <xf numFmtId="164" fontId="51" fillId="0" borderId="28" xfId="0" applyFont="true" applyBorder="true" applyAlignment="true" applyProtection="false">
      <alignment horizontal="center" vertical="center" textRotation="0" wrapText="false" indent="0" shrinkToFit="false"/>
      <protection locked="true" hidden="false"/>
    </xf>
    <xf numFmtId="164" fontId="46" fillId="0" borderId="29" xfId="0" applyFont="true" applyBorder="true" applyAlignment="true" applyProtection="false">
      <alignment horizontal="general" vertical="center" textRotation="0" wrapText="false" indent="0" shrinkToFit="false"/>
      <protection locked="true" hidden="false"/>
    </xf>
    <xf numFmtId="164" fontId="51" fillId="0" borderId="32" xfId="0" applyFont="true" applyBorder="true" applyAlignment="true" applyProtection="false">
      <alignment horizontal="center" vertical="center" textRotation="0" wrapText="false" indent="0" shrinkToFit="false"/>
      <protection locked="true" hidden="false"/>
    </xf>
    <xf numFmtId="164" fontId="51" fillId="0" borderId="22" xfId="0" applyFont="true" applyBorder="true" applyAlignment="true" applyProtection="false">
      <alignment horizontal="center" vertical="center" textRotation="0" wrapText="false" indent="0" shrinkToFit="false"/>
      <protection locked="true" hidden="false"/>
    </xf>
    <xf numFmtId="164" fontId="46" fillId="0" borderId="19" xfId="0" applyFont="true" applyBorder="true" applyAlignment="true" applyProtection="false">
      <alignment horizontal="left" vertical="center" textRotation="0" wrapText="false" indent="0" shrinkToFit="false"/>
      <protection locked="true" hidden="false"/>
    </xf>
    <xf numFmtId="164" fontId="41" fillId="0" borderId="24" xfId="0" applyFont="true" applyBorder="true" applyAlignment="true" applyProtection="false">
      <alignment horizontal="left" vertical="center" textRotation="0" wrapText="false" indent="0" shrinkToFit="false"/>
      <protection locked="true" hidden="false"/>
    </xf>
    <xf numFmtId="164" fontId="41" fillId="0" borderId="26" xfId="0" applyFont="true" applyBorder="true" applyAlignment="true" applyProtection="false">
      <alignment horizontal="left" vertical="center" textRotation="0" wrapText="false" indent="0" shrinkToFit="false"/>
      <protection locked="true" hidden="false"/>
    </xf>
    <xf numFmtId="164" fontId="41" fillId="0" borderId="39" xfId="0" applyFont="true" applyBorder="true" applyAlignment="true" applyProtection="false">
      <alignment horizontal="left" vertical="center" textRotation="0" wrapText="false" indent="0" shrinkToFit="false"/>
      <protection locked="true" hidden="false"/>
    </xf>
    <xf numFmtId="164" fontId="52" fillId="0" borderId="2" xfId="0" applyFont="true" applyBorder="true" applyAlignment="true" applyProtection="false">
      <alignment horizontal="left" vertical="center" textRotation="0" wrapText="true" indent="0" shrinkToFit="false"/>
      <protection locked="true" hidden="false"/>
    </xf>
    <xf numFmtId="164" fontId="51" fillId="0" borderId="30" xfId="0" applyFont="true" applyBorder="true" applyAlignment="true" applyProtection="false">
      <alignment horizontal="center" vertical="center" textRotation="0" wrapText="false" indent="0" shrinkToFit="false"/>
      <protection locked="true" hidden="false"/>
    </xf>
    <xf numFmtId="164" fontId="46" fillId="0" borderId="36" xfId="0" applyFont="true" applyBorder="true" applyAlignment="true" applyProtection="false">
      <alignment horizontal="center" vertical="center" textRotation="0" wrapText="true" indent="0" shrinkToFit="false"/>
      <protection locked="true" hidden="false"/>
    </xf>
    <xf numFmtId="164" fontId="46" fillId="0" borderId="39" xfId="0" applyFont="true" applyBorder="true" applyAlignment="true" applyProtection="false">
      <alignment horizontal="left" vertical="center" textRotation="0" wrapText="false" indent="0" shrinkToFit="false"/>
      <protection locked="true" hidden="false"/>
    </xf>
    <xf numFmtId="164" fontId="51" fillId="0" borderId="37" xfId="0" applyFont="true" applyBorder="true" applyAlignment="true" applyProtection="false">
      <alignment horizontal="center" vertical="center" textRotation="0" wrapText="false" indent="0" shrinkToFit="false"/>
      <protection locked="true" hidden="false"/>
    </xf>
    <xf numFmtId="164" fontId="55" fillId="0" borderId="38" xfId="0" applyFont="true" applyBorder="true" applyAlignment="true" applyProtection="false">
      <alignment horizontal="general" vertical="center" textRotation="0" wrapText="true" indent="0" shrinkToFit="false"/>
      <protection locked="true" hidden="false"/>
    </xf>
    <xf numFmtId="164" fontId="51" fillId="0" borderId="0" xfId="0" applyFont="true" applyBorder="true" applyAlignment="true" applyProtection="false">
      <alignment horizontal="center" vertical="center" textRotation="0" wrapText="false" indent="0" shrinkToFit="false"/>
      <protection locked="true" hidden="false"/>
    </xf>
    <xf numFmtId="164" fontId="55" fillId="0" borderId="35" xfId="0" applyFont="true" applyBorder="true" applyAlignment="true" applyProtection="false">
      <alignment horizontal="general" vertical="center" textRotation="0" wrapText="true" indent="0" shrinkToFit="false"/>
      <protection locked="true" hidden="false"/>
    </xf>
    <xf numFmtId="164" fontId="55" fillId="0" borderId="35" xfId="0" applyFont="true" applyBorder="true" applyAlignment="true" applyProtection="false">
      <alignment horizontal="left" vertical="center" textRotation="0" wrapText="true" indent="0" shrinkToFit="false"/>
      <protection locked="true" hidden="false"/>
    </xf>
    <xf numFmtId="164" fontId="51" fillId="0" borderId="33" xfId="0" applyFont="true" applyBorder="true" applyAlignment="true" applyProtection="false">
      <alignment horizontal="general" vertical="center" textRotation="0" wrapText="false" indent="0" shrinkToFit="false"/>
      <protection locked="true" hidden="false"/>
    </xf>
    <xf numFmtId="164" fontId="55" fillId="0" borderId="36" xfId="0" applyFont="true" applyBorder="true" applyAlignment="true" applyProtection="false">
      <alignment horizontal="general" vertical="center" textRotation="0" wrapText="true" indent="0" shrinkToFit="false"/>
      <protection locked="true" hidden="false"/>
    </xf>
    <xf numFmtId="164" fontId="56" fillId="0" borderId="0" xfId="0" applyFont="true" applyBorder="true" applyAlignment="true" applyProtection="false">
      <alignment horizontal="right" vertical="center" textRotation="0" wrapText="true" indent="0" shrinkToFit="false"/>
      <protection locked="true" hidden="false"/>
    </xf>
    <xf numFmtId="164" fontId="52" fillId="0" borderId="33" xfId="0" applyFont="true" applyBorder="true" applyAlignment="true" applyProtection="false">
      <alignment horizontal="left" vertical="center" textRotation="0" wrapText="true" indent="0" shrinkToFit="false"/>
      <protection locked="true" hidden="false"/>
    </xf>
    <xf numFmtId="164" fontId="46" fillId="0" borderId="34" xfId="0" applyFont="true" applyBorder="true" applyAlignment="true" applyProtection="false">
      <alignment horizontal="center" vertical="center" textRotation="0" wrapText="true" indent="0" shrinkToFit="false"/>
      <protection locked="true" hidden="false"/>
    </xf>
    <xf numFmtId="164" fontId="51" fillId="0" borderId="28" xfId="0" applyFont="true" applyBorder="true" applyAlignment="true" applyProtection="false">
      <alignment horizontal="general" vertical="center" textRotation="0" wrapText="false" indent="0" shrinkToFit="false"/>
      <protection locked="true" hidden="false"/>
    </xf>
    <xf numFmtId="164" fontId="46" fillId="0" borderId="35" xfId="0" applyFont="true" applyBorder="true" applyAlignment="true" applyProtection="false">
      <alignment horizontal="center" vertical="center" textRotation="0" wrapText="true" indent="0" shrinkToFit="false"/>
      <protection locked="true" hidden="false"/>
    </xf>
    <xf numFmtId="164" fontId="51" fillId="0" borderId="30" xfId="0" applyFont="true" applyBorder="true" applyAlignment="true" applyProtection="false">
      <alignment horizontal="general" vertical="center" textRotation="0" wrapText="false" indent="0" shrinkToFit="false"/>
      <protection locked="true" hidden="false"/>
    </xf>
    <xf numFmtId="164" fontId="46" fillId="0" borderId="29" xfId="0" applyFont="true" applyBorder="true" applyAlignment="true" applyProtection="false">
      <alignment horizontal="center" vertical="center" textRotation="0" wrapText="true" indent="0" shrinkToFit="false"/>
      <protection locked="true" hidden="false"/>
    </xf>
    <xf numFmtId="164" fontId="46" fillId="0" borderId="39" xfId="0" applyFont="true" applyBorder="true" applyAlignment="true" applyProtection="false">
      <alignment horizontal="left" vertical="center" textRotation="0" wrapText="tru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13" fillId="0" borderId="30" xfId="0" applyFont="true" applyBorder="true" applyAlignment="true" applyProtection="false">
      <alignment horizontal="center" vertical="center" textRotation="0" wrapText="false" indent="0" shrinkToFit="false"/>
      <protection locked="true" hidden="false"/>
    </xf>
    <xf numFmtId="164" fontId="13" fillId="0" borderId="18" xfId="0" applyFont="true" applyBorder="true" applyAlignment="true" applyProtection="false">
      <alignment horizontal="center" vertical="center" textRotation="0" wrapText="true" indent="0" shrinkToFit="false"/>
      <protection locked="true" hidden="false"/>
    </xf>
    <xf numFmtId="164" fontId="46" fillId="0" borderId="23" xfId="0" applyFont="true" applyBorder="true" applyAlignment="true" applyProtection="false">
      <alignment horizontal="center" vertical="center" textRotation="0" wrapText="true" indent="0" shrinkToFit="false"/>
      <protection locked="true" hidden="false"/>
    </xf>
    <xf numFmtId="164" fontId="46" fillId="0" borderId="37" xfId="0" applyFont="true" applyBorder="true" applyAlignment="true" applyProtection="false">
      <alignment horizontal="left" vertical="center" textRotation="0" wrapText="true" indent="0" shrinkToFit="false"/>
      <protection locked="true" hidden="false"/>
    </xf>
    <xf numFmtId="164" fontId="46" fillId="0" borderId="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true" applyAlignment="true" applyProtection="false">
      <alignment horizontal="left" vertical="center" textRotation="0" wrapText="true" indent="0" shrinkToFit="false"/>
      <protection locked="true" hidden="false"/>
    </xf>
    <xf numFmtId="164" fontId="12" fillId="0" borderId="27" xfId="0" applyFont="true" applyBorder="true" applyAlignment="true" applyProtection="false">
      <alignment horizontal="center" vertical="center" textRotation="0" wrapText="false" indent="0" shrinkToFit="false"/>
      <protection locked="true" hidden="false"/>
    </xf>
    <xf numFmtId="164" fontId="46" fillId="0" borderId="24" xfId="0" applyFont="true" applyBorder="true" applyAlignment="true" applyProtection="false">
      <alignment horizontal="left" vertical="center" textRotation="0" wrapText="true" indent="0" shrinkToFit="false"/>
      <protection locked="true" hidden="false"/>
    </xf>
    <xf numFmtId="164" fontId="46" fillId="0" borderId="26" xfId="0" applyFont="true" applyBorder="true" applyAlignment="true" applyProtection="false">
      <alignment horizontal="left" vertical="center" textRotation="0" wrapText="true" indent="0" shrinkToFit="false"/>
      <protection locked="true" hidden="false"/>
    </xf>
    <xf numFmtId="164" fontId="46" fillId="0" borderId="20" xfId="0" applyFont="true" applyBorder="true" applyAlignment="true" applyProtection="false">
      <alignment horizontal="left" vertical="center" textRotation="0" wrapText="true" indent="0" shrinkToFit="false"/>
      <protection locked="true" hidden="false"/>
    </xf>
    <xf numFmtId="164" fontId="12" fillId="0" borderId="28" xfId="0" applyFont="true" applyBorder="true" applyAlignment="true" applyProtection="false">
      <alignment horizontal="center" vertical="center" textRotation="0" wrapText="false" indent="0" shrinkToFit="false"/>
      <protection locked="true" hidden="false"/>
    </xf>
    <xf numFmtId="164" fontId="46" fillId="0" borderId="24" xfId="0" applyFont="true" applyBorder="true" applyAlignment="true" applyProtection="false">
      <alignment horizontal="general" vertical="center" textRotation="0" wrapText="true" indent="0" shrinkToFit="false"/>
      <protection locked="true" hidden="false"/>
    </xf>
    <xf numFmtId="164" fontId="46" fillId="0" borderId="21" xfId="0" applyFont="true" applyBorder="true" applyAlignment="true" applyProtection="false">
      <alignment horizontal="left" vertical="center" textRotation="0" wrapText="false" indent="0" shrinkToFit="false"/>
      <protection locked="true" hidden="false"/>
    </xf>
    <xf numFmtId="164" fontId="52" fillId="6" borderId="40" xfId="0" applyFont="true" applyBorder="true" applyAlignment="true" applyProtection="false">
      <alignment horizontal="center" vertical="center" textRotation="0" wrapText="true" indent="0" shrinkToFit="false"/>
      <protection locked="true" hidden="false"/>
    </xf>
    <xf numFmtId="164" fontId="52" fillId="6" borderId="41" xfId="0" applyFont="true" applyBorder="true" applyAlignment="true" applyProtection="false">
      <alignment horizontal="center" vertical="center" textRotation="0" wrapText="true" indent="0" shrinkToFit="false"/>
      <protection locked="true" hidden="false"/>
    </xf>
    <xf numFmtId="164" fontId="52" fillId="6" borderId="42" xfId="0" applyFont="true" applyBorder="true" applyAlignment="true" applyProtection="false">
      <alignment horizontal="center" vertical="center" textRotation="0" wrapText="true" indent="0" shrinkToFit="false"/>
      <protection locked="true" hidden="false"/>
    </xf>
    <xf numFmtId="164" fontId="52" fillId="0" borderId="43" xfId="0" applyFont="true" applyBorder="true" applyAlignment="true" applyProtection="false">
      <alignment horizontal="center" vertical="center" textRotation="0" wrapText="true" indent="0" shrinkToFit="false"/>
      <protection locked="true" hidden="false"/>
    </xf>
    <xf numFmtId="164" fontId="4" fillId="0" borderId="44" xfId="0" applyFont="true" applyBorder="true" applyAlignment="true" applyProtection="false">
      <alignment horizontal="center" vertical="center" textRotation="0" wrapText="true" indent="0" shrinkToFit="false"/>
      <protection locked="true" hidden="false"/>
    </xf>
    <xf numFmtId="164" fontId="57" fillId="0" borderId="45" xfId="0" applyFont="true" applyBorder="true" applyAlignment="true" applyProtection="false">
      <alignment horizontal="center" vertical="center" textRotation="0" wrapText="true" indent="0" shrinkToFit="false"/>
      <protection locked="true" hidden="false"/>
    </xf>
    <xf numFmtId="164" fontId="4" fillId="0" borderId="46" xfId="0" applyFont="true" applyBorder="true" applyAlignment="true" applyProtection="false">
      <alignment horizontal="center" vertical="center" textRotation="0" wrapText="false" indent="0" shrinkToFit="false"/>
      <protection locked="true" hidden="false"/>
    </xf>
    <xf numFmtId="164" fontId="4" fillId="0" borderId="47" xfId="0" applyFont="true" applyBorder="true" applyAlignment="true" applyProtection="false">
      <alignment horizontal="center" vertical="center" textRotation="0" wrapText="true" indent="0" shrinkToFit="false"/>
      <protection locked="true" hidden="false"/>
    </xf>
    <xf numFmtId="164" fontId="57" fillId="0" borderId="48" xfId="0" applyFont="true" applyBorder="true" applyAlignment="true" applyProtection="false">
      <alignment horizontal="center" vertical="center" textRotation="0" wrapText="true" indent="0" shrinkToFit="false"/>
      <protection locked="true" hidden="false"/>
    </xf>
    <xf numFmtId="164" fontId="4" fillId="0" borderId="49" xfId="0" applyFont="true" applyBorder="true" applyAlignment="true" applyProtection="false">
      <alignment horizontal="center" vertical="center" textRotation="0" wrapText="true" indent="0" shrinkToFit="false"/>
      <protection locked="true" hidden="false"/>
    </xf>
    <xf numFmtId="164" fontId="4" fillId="0" borderId="50" xfId="0" applyFont="true" applyBorder="true" applyAlignment="true" applyProtection="false">
      <alignment horizontal="center" vertical="center" textRotation="0" wrapText="true" indent="0" shrinkToFit="false"/>
      <protection locked="true" hidden="false"/>
    </xf>
    <xf numFmtId="164" fontId="57" fillId="0" borderId="51" xfId="0" applyFont="true" applyBorder="true" applyAlignment="true" applyProtection="false">
      <alignment horizontal="center" vertical="center" textRotation="0" wrapText="true" indent="0" shrinkToFit="false"/>
      <protection locked="true" hidden="false"/>
    </xf>
    <xf numFmtId="164" fontId="4" fillId="0" borderId="52" xfId="0" applyFont="true" applyBorder="true" applyAlignment="true" applyProtection="false">
      <alignment horizontal="center" vertical="center" textRotation="0" wrapText="true" indent="0" shrinkToFit="false"/>
      <protection locked="true" hidden="false"/>
    </xf>
    <xf numFmtId="164" fontId="58" fillId="0" borderId="53" xfId="0" applyFont="true" applyBorder="true" applyAlignment="true" applyProtection="false">
      <alignment horizontal="left" vertical="center" textRotation="0" wrapText="tru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84" fontId="60" fillId="0" borderId="0" xfId="0" applyFont="true" applyBorder="true" applyAlignment="true" applyProtection="false">
      <alignment horizontal="left" vertical="bottom" textRotation="0" wrapText="false" indent="1"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true" applyAlignment="true" applyProtection="false">
      <alignment horizontal="center" vertical="bottom" textRotation="0" wrapText="false" indent="0" shrinkToFit="false"/>
      <protection locked="true" hidden="false"/>
    </xf>
    <xf numFmtId="185" fontId="63" fillId="0" borderId="0" xfId="0" applyFont="true" applyBorder="true" applyAlignment="true" applyProtection="false">
      <alignment horizontal="center" vertical="center" textRotation="0" wrapText="false" indent="0" shrinkToFit="false"/>
      <protection locked="true" hidden="false"/>
    </xf>
    <xf numFmtId="185" fontId="0" fillId="0" borderId="0" xfId="0" applyFont="false" applyBorder="false" applyAlignment="true" applyProtection="false">
      <alignment horizontal="center" vertical="center" textRotation="0" wrapText="false" indent="0" shrinkToFit="false"/>
      <protection locked="true" hidden="false"/>
    </xf>
    <xf numFmtId="186" fontId="64" fillId="0" borderId="0" xfId="0" applyFont="true" applyBorder="true" applyAlignment="true" applyProtection="false">
      <alignment horizontal="center" vertical="center" textRotation="0" wrapText="false" indent="0" shrinkToFit="false"/>
      <protection locked="true" hidden="false"/>
    </xf>
    <xf numFmtId="164" fontId="64" fillId="0" borderId="0" xfId="0" applyFont="true" applyBorder="false" applyAlignment="true" applyProtection="false">
      <alignment horizontal="center" vertical="center" textRotation="0" wrapText="false" indent="0" shrinkToFit="false"/>
      <protection locked="true" hidden="false"/>
    </xf>
    <xf numFmtId="164" fontId="65" fillId="0" borderId="0" xfId="0" applyFont="true" applyBorder="true" applyAlignment="true" applyProtection="false">
      <alignment horizontal="distributed" vertical="center" textRotation="0" wrapText="false" indent="0" shrinkToFit="false"/>
      <protection locked="true" hidden="false"/>
    </xf>
    <xf numFmtId="164" fontId="66" fillId="0" borderId="0" xfId="0" applyFont="true" applyBorder="false" applyAlignment="true" applyProtection="false">
      <alignment horizontal="general" vertical="center" textRotation="0" wrapText="false" indent="0" shrinkToFit="false"/>
      <protection locked="true" hidden="false"/>
    </xf>
    <xf numFmtId="164" fontId="67" fillId="0" borderId="0" xfId="0" applyFont="true" applyBorder="true" applyAlignment="true" applyProtection="false">
      <alignment horizontal="distributed" vertical="center" textRotation="0" wrapText="false" indent="0" shrinkToFit="false"/>
      <protection locked="true" hidden="false"/>
    </xf>
    <xf numFmtId="164" fontId="68" fillId="6" borderId="0" xfId="0" applyFont="true" applyBorder="true" applyAlignment="true" applyProtection="false">
      <alignment horizontal="distributed" vertical="center" textRotation="0" wrapText="true" indent="0" shrinkToFit="false"/>
      <protection locked="true" hidden="false"/>
    </xf>
    <xf numFmtId="164" fontId="69" fillId="0" borderId="0" xfId="45" applyFont="true" applyBorder="false" applyAlignment="false" applyProtection="false">
      <alignment horizontal="general"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59" fillId="0" borderId="0" xfId="45" applyFont="true" applyBorder="true" applyAlignment="true" applyProtection="false">
      <alignment horizontal="center" vertical="center" textRotation="0" wrapText="false" indent="0" shrinkToFit="false"/>
      <protection locked="true" hidden="false"/>
    </xf>
    <xf numFmtId="164" fontId="70" fillId="0" borderId="0" xfId="45" applyFont="true" applyBorder="true" applyAlignment="true" applyProtection="false">
      <alignment horizontal="center" vertical="center" textRotation="0" wrapText="false" indent="0" shrinkToFit="true"/>
      <protection locked="true" hidden="false"/>
    </xf>
    <xf numFmtId="164" fontId="71" fillId="8" borderId="0" xfId="45" applyFont="true" applyBorder="true" applyAlignment="true" applyProtection="false">
      <alignment horizontal="center" vertical="center" textRotation="0" wrapText="false" indent="0" shrinkToFit="true"/>
      <protection locked="true" hidden="false"/>
    </xf>
    <xf numFmtId="164" fontId="72" fillId="0" borderId="0" xfId="45" applyFont="true" applyBorder="false" applyAlignment="true" applyProtection="false">
      <alignment horizontal="center" vertical="bottom" textRotation="0" wrapText="false" indent="0" shrinkToFit="false"/>
      <protection locked="true" hidden="false"/>
    </xf>
    <xf numFmtId="164" fontId="73" fillId="0" borderId="0" xfId="45" applyFont="true" applyBorder="false" applyAlignment="false" applyProtection="false">
      <alignment horizontal="general" vertical="bottom" textRotation="0" wrapText="false" indent="0" shrinkToFit="false"/>
      <protection locked="true" hidden="false"/>
    </xf>
    <xf numFmtId="164" fontId="74" fillId="0" borderId="0" xfId="45" applyFont="true" applyBorder="false" applyAlignment="true" applyProtection="false">
      <alignment horizontal="justify" vertical="center" textRotation="0" wrapText="true" indent="0" shrinkToFit="false"/>
      <protection locked="true" hidden="false"/>
    </xf>
    <xf numFmtId="164" fontId="74" fillId="0" borderId="0" xfId="45" applyFont="true" applyBorder="false" applyAlignment="true" applyProtection="false">
      <alignment horizontal="center" vertical="center" textRotation="0" wrapText="true" indent="0" shrinkToFit="false"/>
      <protection locked="true" hidden="false"/>
    </xf>
    <xf numFmtId="174" fontId="75" fillId="0" borderId="0" xfId="45" applyFont="true" applyBorder="false" applyAlignment="true" applyProtection="false">
      <alignment horizontal="left" vertical="center" textRotation="0" wrapText="true" indent="0" shrinkToFit="false"/>
      <protection locked="true" hidden="false"/>
    </xf>
    <xf numFmtId="164" fontId="76" fillId="0" borderId="54" xfId="45" applyFont="true" applyBorder="true" applyAlignment="true" applyProtection="false">
      <alignment horizontal="center" vertical="center" textRotation="0" wrapText="true" indent="0" shrinkToFit="false"/>
      <protection locked="true" hidden="false"/>
    </xf>
    <xf numFmtId="164" fontId="69" fillId="0" borderId="0" xfId="0" applyFont="true" applyBorder="false" applyAlignment="true" applyProtection="false">
      <alignment horizontal="general" vertical="center" textRotation="0" wrapText="false" indent="0" shrinkToFit="false"/>
      <protection locked="true" hidden="false"/>
    </xf>
    <xf numFmtId="186" fontId="75" fillId="0" borderId="55" xfId="45" applyFont="true" applyBorder="true" applyAlignment="true" applyProtection="false">
      <alignment horizontal="left" vertical="center" textRotation="0" wrapText="true" indent="0" shrinkToFit="false"/>
      <protection locked="true" hidden="false"/>
    </xf>
    <xf numFmtId="164" fontId="75" fillId="0" borderId="55" xfId="45" applyFont="true" applyBorder="true" applyAlignment="true" applyProtection="false">
      <alignment horizontal="left" vertical="center" textRotation="0" wrapText="true" indent="0" shrinkToFit="false"/>
      <protection locked="true" hidden="false"/>
    </xf>
    <xf numFmtId="164" fontId="77" fillId="0" borderId="0" xfId="0" applyFont="true" applyBorder="false" applyAlignment="false" applyProtection="false">
      <alignment horizontal="general" vertical="bottom" textRotation="0" wrapText="false" indent="0" shrinkToFit="false"/>
      <protection locked="true" hidden="false"/>
    </xf>
    <xf numFmtId="164" fontId="78" fillId="0" borderId="0" xfId="45" applyFont="true" applyBorder="false" applyAlignment="true" applyProtection="false">
      <alignment horizontal="right" vertical="bottom" textRotation="0" wrapText="true" indent="0" shrinkToFit="false"/>
      <protection locked="true" hidden="false"/>
    </xf>
    <xf numFmtId="187" fontId="78" fillId="0" borderId="0" xfId="45" applyFont="true" applyBorder="false" applyAlignment="true" applyProtection="false">
      <alignment horizontal="general" vertical="bottom" textRotation="0" wrapText="true" indent="0" shrinkToFit="false"/>
      <protection locked="true" hidden="false"/>
    </xf>
    <xf numFmtId="164" fontId="79" fillId="0" borderId="0" xfId="45" applyFont="true" applyBorder="true" applyAlignment="true" applyProtection="false">
      <alignment horizontal="left" vertical="bottom" textRotation="0" wrapText="true" indent="0" shrinkToFit="false"/>
      <protection locked="true" hidden="false"/>
    </xf>
    <xf numFmtId="164" fontId="72" fillId="8" borderId="0" xfId="45" applyFont="true" applyBorder="true" applyAlignment="true" applyProtection="false">
      <alignment horizontal="center" vertical="center" textRotation="0" wrapText="true" indent="0" shrinkToFit="false"/>
      <protection locked="true" hidden="false"/>
    </xf>
    <xf numFmtId="164" fontId="73" fillId="0" borderId="0" xfId="45" applyFont="true" applyBorder="true" applyAlignment="true" applyProtection="false">
      <alignment horizontal="center" vertical="center" textRotation="0" wrapText="false" indent="0" shrinkToFit="false"/>
      <protection locked="true" hidden="false"/>
    </xf>
    <xf numFmtId="164" fontId="74" fillId="0" borderId="0" xfId="45" applyFont="true" applyBorder="true" applyAlignment="true" applyProtection="false">
      <alignment horizontal="justify" vertical="center" textRotation="0" wrapText="false" indent="0" shrinkToFit="false"/>
      <protection locked="true" hidden="false"/>
    </xf>
    <xf numFmtId="164" fontId="72" fillId="0" borderId="0" xfId="45" applyFont="true" applyBorder="true" applyAlignment="true" applyProtection="false">
      <alignment horizontal="justify" vertical="center" textRotation="0" wrapText="false" indent="0" shrinkToFit="false"/>
      <protection locked="true" hidden="false"/>
    </xf>
    <xf numFmtId="164" fontId="74" fillId="0" borderId="0" xfId="42" applyFont="true" applyBorder="true" applyAlignment="true" applyProtection="false">
      <alignment horizontal="justify" vertical="center" textRotation="0" wrapText="false" indent="0" shrinkToFit="false"/>
      <protection locked="true" hidden="false"/>
    </xf>
    <xf numFmtId="164" fontId="74" fillId="0" borderId="0" xfId="42" applyFont="true" applyBorder="true" applyAlignment="true" applyProtection="false">
      <alignment horizontal="left" vertical="center" textRotation="0" wrapText="false" indent="0" shrinkToFit="false"/>
      <protection locked="true" hidden="false"/>
    </xf>
    <xf numFmtId="164" fontId="80" fillId="0" borderId="0" xfId="0" applyFont="true" applyBorder="false" applyAlignment="false" applyProtection="false">
      <alignment horizontal="general" vertical="bottom" textRotation="0" wrapText="false" indent="0" shrinkToFit="false"/>
      <protection locked="true" hidden="false"/>
    </xf>
    <xf numFmtId="164" fontId="81" fillId="0" borderId="0" xfId="45" applyFont="true" applyBorder="true" applyAlignment="true" applyProtection="false">
      <alignment horizontal="center" vertical="center" textRotation="0" wrapText="false" indent="0" shrinkToFit="false"/>
      <protection locked="true" hidden="false"/>
    </xf>
    <xf numFmtId="164" fontId="82" fillId="0" borderId="0" xfId="45" applyFont="true" applyBorder="true" applyAlignment="true" applyProtection="false">
      <alignment horizontal="center" vertical="center" textRotation="0" wrapText="false" indent="0" shrinkToFit="false"/>
      <protection locked="true" hidden="false"/>
    </xf>
    <xf numFmtId="164" fontId="12" fillId="0" borderId="0" xfId="49" applyFont="true" applyBorder="false" applyAlignment="true" applyProtection="false">
      <alignment horizontal="general" vertical="center" textRotation="0" wrapText="false" indent="0" shrinkToFit="false"/>
      <protection locked="true" hidden="false"/>
    </xf>
    <xf numFmtId="164" fontId="12" fillId="0" borderId="0" xfId="49" applyFont="true" applyBorder="false" applyAlignment="true" applyProtection="false">
      <alignment horizontal="center" vertical="center" textRotation="0" wrapText="false" indent="0" shrinkToFit="false"/>
      <protection locked="true" hidden="false"/>
    </xf>
    <xf numFmtId="164" fontId="36" fillId="0" borderId="0" xfId="49" applyFont="true" applyBorder="true" applyAlignment="true" applyProtection="false">
      <alignment horizontal="left" vertical="center" textRotation="0" wrapText="true" indent="0" shrinkToFit="false"/>
      <protection locked="true" hidden="false"/>
    </xf>
    <xf numFmtId="164" fontId="43" fillId="0" borderId="0" xfId="49" applyFont="true" applyBorder="true" applyAlignment="true" applyProtection="false">
      <alignment horizontal="center" vertical="center" textRotation="0" wrapText="true" indent="0" shrinkToFit="false"/>
      <protection locked="true" hidden="false"/>
    </xf>
    <xf numFmtId="164" fontId="38" fillId="0" borderId="0" xfId="49" applyFont="true" applyBorder="true" applyAlignment="true" applyProtection="false">
      <alignment horizontal="left" vertical="center" textRotation="0" wrapText="true" indent="0" shrinkToFit="false"/>
      <protection locked="true" hidden="false"/>
    </xf>
    <xf numFmtId="164" fontId="37" fillId="0" borderId="0" xfId="49" applyFont="true" applyBorder="false" applyAlignment="true" applyProtection="false">
      <alignment horizontal="left" vertical="center" textRotation="0" wrapText="true" indent="0" shrinkToFit="false"/>
      <protection locked="true" hidden="false"/>
    </xf>
    <xf numFmtId="164" fontId="83" fillId="0" borderId="0" xfId="49" applyFont="true" applyBorder="false" applyAlignment="true" applyProtection="false">
      <alignment horizontal="left" vertical="center" textRotation="0" wrapText="true" indent="0" shrinkToFit="false"/>
      <protection locked="true" hidden="false"/>
    </xf>
    <xf numFmtId="164" fontId="36" fillId="0" borderId="0" xfId="49" applyFont="true" applyBorder="false" applyAlignment="true" applyProtection="false">
      <alignment horizontal="left" vertical="center" textRotation="0" wrapText="true" indent="0" shrinkToFit="false"/>
      <protection locked="true" hidden="false"/>
    </xf>
    <xf numFmtId="164" fontId="38" fillId="0" borderId="0" xfId="49" applyFont="true" applyBorder="true" applyAlignment="true" applyProtection="false">
      <alignment horizontal="center" vertical="center" textRotation="0" wrapText="true" indent="0" shrinkToFit="false"/>
      <protection locked="true" hidden="false"/>
    </xf>
    <xf numFmtId="164" fontId="37" fillId="0" borderId="0" xfId="49" applyFont="true" applyBorder="false" applyAlignment="true" applyProtection="false">
      <alignment horizontal="general" vertical="center" textRotation="0" wrapText="true" indent="0" shrinkToFit="false"/>
      <protection locked="true" hidden="false"/>
    </xf>
    <xf numFmtId="164" fontId="45" fillId="0" borderId="30" xfId="49" applyFont="true" applyBorder="true" applyAlignment="true" applyProtection="false">
      <alignment horizontal="left" vertical="center" textRotation="0" wrapText="false" indent="0" shrinkToFit="false"/>
      <protection locked="true" hidden="false"/>
    </xf>
    <xf numFmtId="164" fontId="41" fillId="0" borderId="10" xfId="49" applyFont="true" applyBorder="true" applyAlignment="true" applyProtection="false">
      <alignment horizontal="center" vertical="center" textRotation="0" wrapText="false" indent="0" shrinkToFit="false"/>
      <protection locked="true" hidden="false"/>
    </xf>
    <xf numFmtId="164" fontId="41" fillId="0" borderId="6" xfId="49" applyFont="true" applyBorder="true" applyAlignment="true" applyProtection="false">
      <alignment horizontal="center" vertical="center" textRotation="0" wrapText="false" indent="0" shrinkToFit="false"/>
      <protection locked="true" hidden="false"/>
    </xf>
    <xf numFmtId="164" fontId="41" fillId="0" borderId="8" xfId="49" applyFont="true" applyBorder="true" applyAlignment="true" applyProtection="false">
      <alignment horizontal="center" vertical="center" textRotation="0" wrapText="false" indent="0" shrinkToFit="false"/>
      <protection locked="true" hidden="false"/>
    </xf>
    <xf numFmtId="164" fontId="41" fillId="0" borderId="29" xfId="49" applyFont="true" applyBorder="true" applyAlignment="true" applyProtection="false">
      <alignment horizontal="center" vertical="center" textRotation="0" wrapText="true" indent="0" shrinkToFit="false"/>
      <protection locked="true" hidden="false"/>
    </xf>
    <xf numFmtId="164" fontId="41" fillId="0" borderId="21" xfId="49" applyFont="true" applyBorder="true" applyAlignment="true" applyProtection="false">
      <alignment horizontal="center" vertical="center" textRotation="0" wrapText="true" indent="0" shrinkToFit="false"/>
      <protection locked="true" hidden="false"/>
    </xf>
    <xf numFmtId="164" fontId="45" fillId="0" borderId="33" xfId="0" applyFont="true" applyBorder="true" applyAlignment="true" applyProtection="false">
      <alignment horizontal="left" vertical="center" textRotation="0" wrapText="false" indent="0" shrinkToFit="false"/>
      <protection locked="true" hidden="false"/>
    </xf>
    <xf numFmtId="164" fontId="84" fillId="0" borderId="18" xfId="49" applyFont="true" applyBorder="true" applyAlignment="true" applyProtection="false">
      <alignment horizontal="center" vertical="center" textRotation="0" wrapText="false" indent="0" shrinkToFit="false"/>
      <protection locked="true" hidden="false"/>
    </xf>
    <xf numFmtId="164" fontId="84" fillId="0" borderId="23" xfId="49" applyFont="true" applyBorder="true" applyAlignment="true" applyProtection="false">
      <alignment horizontal="center" vertical="center" textRotation="0" wrapText="false" indent="0" shrinkToFit="false"/>
      <protection locked="true" hidden="false"/>
    </xf>
    <xf numFmtId="164" fontId="84" fillId="0" borderId="17" xfId="49" applyFont="true" applyBorder="true" applyAlignment="true" applyProtection="false">
      <alignment horizontal="center" vertical="center" textRotation="0" wrapText="false" indent="0" shrinkToFit="false"/>
      <protection locked="true" hidden="false"/>
    </xf>
    <xf numFmtId="164" fontId="41" fillId="0" borderId="10" xfId="49" applyFont="true" applyBorder="true" applyAlignment="true" applyProtection="false">
      <alignment horizontal="center" vertical="center" textRotation="0" wrapText="true" indent="0" shrinkToFit="false"/>
      <protection locked="true" hidden="false"/>
    </xf>
    <xf numFmtId="164" fontId="41" fillId="0" borderId="56" xfId="49" applyFont="true" applyBorder="true" applyAlignment="true" applyProtection="false">
      <alignment horizontal="center" vertical="center" textRotation="0" wrapText="true" indent="0" shrinkToFit="false"/>
      <protection locked="true" hidden="false"/>
    </xf>
    <xf numFmtId="164" fontId="41" fillId="0" borderId="34" xfId="49" applyFont="true" applyBorder="true" applyAlignment="true" applyProtection="false">
      <alignment horizontal="left" vertical="center" textRotation="0" wrapText="false" indent="0" shrinkToFit="false"/>
      <protection locked="true" hidden="false"/>
    </xf>
    <xf numFmtId="164" fontId="41" fillId="0" borderId="6" xfId="49" applyFont="true" applyBorder="true" applyAlignment="true" applyProtection="false">
      <alignment horizontal="general" vertical="center" textRotation="0" wrapText="false" indent="0" shrinkToFit="false"/>
      <protection locked="true" hidden="false"/>
    </xf>
    <xf numFmtId="164" fontId="41" fillId="0" borderId="6" xfId="49" applyFont="true" applyBorder="true" applyAlignment="true" applyProtection="false">
      <alignment horizontal="center" vertical="center" textRotation="0" wrapText="true" indent="0" shrinkToFit="false"/>
      <protection locked="true" hidden="false"/>
    </xf>
    <xf numFmtId="164" fontId="41" fillId="0" borderId="8" xfId="49" applyFont="true" applyBorder="true" applyAlignment="true" applyProtection="false">
      <alignment horizontal="general" vertical="center" textRotation="0" wrapText="false" indent="0" shrinkToFit="false"/>
      <protection locked="true" hidden="false"/>
    </xf>
    <xf numFmtId="176" fontId="41" fillId="0" borderId="57" xfId="49" applyFont="true" applyBorder="true" applyAlignment="true" applyProtection="false">
      <alignment horizontal="center" vertical="center" textRotation="0" wrapText="true" indent="0" shrinkToFit="false"/>
      <protection locked="true" hidden="false"/>
    </xf>
    <xf numFmtId="164" fontId="41" fillId="0" borderId="0" xfId="49" applyFont="true" applyBorder="true" applyAlignment="true" applyProtection="false">
      <alignment horizontal="center" vertical="center" textRotation="0" wrapText="true" indent="0" shrinkToFit="false"/>
      <protection locked="true" hidden="false"/>
    </xf>
    <xf numFmtId="176" fontId="41" fillId="0" borderId="35" xfId="49" applyFont="true" applyBorder="true" applyAlignment="true" applyProtection="false">
      <alignment horizontal="left" vertical="center" textRotation="0" wrapText="false" indent="0" shrinkToFit="false"/>
      <protection locked="true" hidden="false"/>
    </xf>
    <xf numFmtId="164" fontId="12" fillId="0" borderId="57" xfId="49" applyFont="true" applyBorder="true" applyAlignment="true" applyProtection="false">
      <alignment horizontal="general" vertical="center" textRotation="0" wrapText="false" indent="0" shrinkToFit="false"/>
      <protection locked="true" hidden="false"/>
    </xf>
    <xf numFmtId="164" fontId="41" fillId="0" borderId="0" xfId="49" applyFont="true" applyBorder="true" applyAlignment="true" applyProtection="false">
      <alignment horizontal="center" vertical="center" textRotation="0" wrapText="true" indent="0" shrinkToFit="false"/>
      <protection locked="true" hidden="false"/>
    </xf>
    <xf numFmtId="164" fontId="41" fillId="0" borderId="35" xfId="49" applyFont="true" applyBorder="true" applyAlignment="true" applyProtection="false">
      <alignment horizontal="left" vertical="center" textRotation="0" wrapText="false" indent="0" shrinkToFit="false"/>
      <protection locked="true" hidden="false"/>
    </xf>
    <xf numFmtId="176" fontId="41" fillId="0" borderId="15" xfId="49" applyFont="true" applyBorder="true" applyAlignment="true" applyProtection="false">
      <alignment horizontal="center" vertical="center" textRotation="0" wrapText="true" indent="0" shrinkToFit="false"/>
      <protection locked="true" hidden="false"/>
    </xf>
    <xf numFmtId="164" fontId="41" fillId="0" borderId="27" xfId="49" applyFont="true" applyBorder="true" applyAlignment="true" applyProtection="false">
      <alignment horizontal="center" vertical="center" textRotation="0" wrapText="true" indent="0" shrinkToFit="false"/>
      <protection locked="true" hidden="false"/>
    </xf>
    <xf numFmtId="176" fontId="41" fillId="0" borderId="31" xfId="49" applyFont="true" applyBorder="true" applyAlignment="true" applyProtection="false">
      <alignment horizontal="left" vertical="center" textRotation="0" wrapText="false" indent="0" shrinkToFit="false"/>
      <protection locked="true" hidden="false"/>
    </xf>
    <xf numFmtId="164" fontId="12" fillId="0" borderId="15" xfId="49" applyFont="true" applyBorder="true" applyAlignment="true" applyProtection="false">
      <alignment horizontal="general" vertical="center" textRotation="0" wrapText="false" indent="0" shrinkToFit="false"/>
      <protection locked="true" hidden="false"/>
    </xf>
    <xf numFmtId="164" fontId="41" fillId="0" borderId="27" xfId="49" applyFont="true" applyBorder="true" applyAlignment="true" applyProtection="false">
      <alignment horizontal="center" vertical="center" textRotation="0" wrapText="true" indent="0" shrinkToFit="false"/>
      <protection locked="true" hidden="false"/>
    </xf>
    <xf numFmtId="164" fontId="41" fillId="0" borderId="31" xfId="49" applyFont="true" applyBorder="true" applyAlignment="true" applyProtection="false">
      <alignment horizontal="left" vertical="center" textRotation="0" wrapText="false" indent="0" shrinkToFit="false"/>
      <protection locked="true" hidden="false"/>
    </xf>
    <xf numFmtId="164" fontId="41" fillId="0" borderId="6" xfId="49" applyFont="true" applyBorder="true" applyAlignment="true" applyProtection="false">
      <alignment horizontal="left" vertical="center" textRotation="0" wrapText="false" indent="0" shrinkToFit="false"/>
      <protection locked="true" hidden="false"/>
    </xf>
    <xf numFmtId="164" fontId="41" fillId="0" borderId="32" xfId="49" applyFont="true" applyBorder="true" applyAlignment="true" applyProtection="false">
      <alignment horizontal="center" vertical="center" textRotation="0" wrapText="false" indent="0" shrinkToFit="false"/>
      <protection locked="true" hidden="false"/>
    </xf>
    <xf numFmtId="164" fontId="41" fillId="0" borderId="21" xfId="49" applyFont="true" applyBorder="true" applyAlignment="true" applyProtection="false">
      <alignment horizontal="center" vertical="center" textRotation="0" wrapText="false" indent="0" shrinkToFit="false"/>
      <protection locked="true" hidden="false"/>
    </xf>
    <xf numFmtId="164" fontId="41" fillId="0" borderId="32" xfId="49" applyFont="true" applyBorder="true" applyAlignment="true" applyProtection="false">
      <alignment horizontal="center" vertical="center" textRotation="0" wrapText="true" indent="0" shrinkToFit="false"/>
      <protection locked="true" hidden="false"/>
    </xf>
    <xf numFmtId="164" fontId="41" fillId="0" borderId="32" xfId="49" applyFont="true" applyBorder="true" applyAlignment="true" applyProtection="false">
      <alignment horizontal="left" vertical="center" textRotation="0" wrapText="false" indent="0" shrinkToFit="false"/>
      <protection locked="true" hidden="false"/>
    </xf>
    <xf numFmtId="164" fontId="56" fillId="0" borderId="0" xfId="49" applyFont="true" applyBorder="true" applyAlignment="true" applyProtection="false">
      <alignment horizontal="general" vertical="center" textRotation="0" wrapText="false" indent="0" shrinkToFit="false"/>
      <protection locked="true" hidden="false"/>
    </xf>
    <xf numFmtId="164" fontId="41" fillId="0" borderId="10" xfId="0" applyFont="true" applyBorder="true" applyAlignment="true" applyProtection="false">
      <alignment horizontal="center" vertical="center" textRotation="0" wrapText="true" indent="0" shrinkToFit="false"/>
      <protection locked="true" hidden="false"/>
    </xf>
    <xf numFmtId="164" fontId="46" fillId="0" borderId="6" xfId="49" applyFont="true" applyBorder="true" applyAlignment="true" applyProtection="false">
      <alignment horizontal="center" vertical="center" textRotation="0" wrapText="false" indent="0" shrinkToFit="false"/>
      <protection locked="true" hidden="false"/>
    </xf>
    <xf numFmtId="164" fontId="41" fillId="0" borderId="29" xfId="0" applyFont="true" applyBorder="true" applyAlignment="true" applyProtection="false">
      <alignment horizontal="center" vertical="center" textRotation="0" wrapText="false" indent="0" shrinkToFit="false"/>
      <protection locked="true" hidden="false"/>
    </xf>
    <xf numFmtId="164" fontId="47" fillId="0" borderId="0" xfId="49" applyFont="true" applyBorder="false" applyAlignment="true" applyProtection="false">
      <alignment horizontal="general" vertical="center" textRotation="0" wrapText="false" indent="0" shrinkToFit="false"/>
      <protection locked="true" hidden="false"/>
    </xf>
    <xf numFmtId="164" fontId="85" fillId="0" borderId="18" xfId="50" applyFont="true" applyBorder="true" applyAlignment="true" applyProtection="false">
      <alignment horizontal="center" vertical="center" textRotation="0" wrapText="false" indent="0" shrinkToFit="false"/>
      <protection locked="true" hidden="false"/>
    </xf>
    <xf numFmtId="164" fontId="85" fillId="0" borderId="23" xfId="50" applyFont="true" applyBorder="true" applyAlignment="true" applyProtection="false">
      <alignment horizontal="center" vertical="center" textRotation="0" wrapText="true" indent="0" shrinkToFit="false"/>
      <protection locked="true" hidden="false"/>
    </xf>
    <xf numFmtId="164" fontId="85" fillId="0" borderId="17" xfId="49" applyFont="true" applyBorder="true" applyAlignment="true" applyProtection="false">
      <alignment horizontal="center" vertical="center" textRotation="0" wrapText="false" indent="0" shrinkToFit="false"/>
      <protection locked="true" hidden="false"/>
    </xf>
    <xf numFmtId="164" fontId="41" fillId="0" borderId="6" xfId="50" applyFont="true" applyBorder="true" applyAlignment="true" applyProtection="false">
      <alignment horizontal="center" vertical="center" textRotation="0" wrapText="true" indent="0" shrinkToFit="false"/>
      <protection locked="true" hidden="false"/>
    </xf>
    <xf numFmtId="164" fontId="56" fillId="0" borderId="6" xfId="49" applyFont="true" applyBorder="true" applyAlignment="true" applyProtection="false">
      <alignment horizontal="center" vertical="center" textRotation="0" wrapText="false" indent="0" shrinkToFit="false"/>
      <protection locked="true" hidden="false"/>
    </xf>
    <xf numFmtId="164" fontId="12" fillId="0" borderId="8" xfId="49" applyFont="true" applyBorder="true" applyAlignment="true" applyProtection="false">
      <alignment horizontal="center" vertical="center" textRotation="0" wrapText="false" indent="0" shrinkToFit="false"/>
      <protection locked="true" hidden="false"/>
    </xf>
    <xf numFmtId="164" fontId="12" fillId="0" borderId="58" xfId="49" applyFont="true" applyBorder="true" applyAlignment="true" applyProtection="false">
      <alignment horizontal="general" vertical="center" textRotation="0" wrapText="false" indent="0" shrinkToFit="false"/>
      <protection locked="true" hidden="false"/>
    </xf>
    <xf numFmtId="164" fontId="12" fillId="0" borderId="58" xfId="49" applyFont="true" applyBorder="true" applyAlignment="true" applyProtection="false">
      <alignment horizontal="center" vertical="center" textRotation="0" wrapText="false" indent="0" shrinkToFit="false"/>
      <protection locked="true" hidden="false"/>
    </xf>
    <xf numFmtId="164" fontId="12" fillId="0" borderId="58" xfId="49" applyFont="true" applyBorder="true" applyAlignment="true" applyProtection="false">
      <alignment horizontal="right" vertical="center" textRotation="0" wrapText="false" indent="0" shrinkToFit="false"/>
      <protection locked="true" hidden="false"/>
    </xf>
    <xf numFmtId="170" fontId="12" fillId="0" borderId="58" xfId="49" applyFont="true" applyBorder="true" applyAlignment="true" applyProtection="false">
      <alignment horizontal="left" vertical="center" textRotation="0" wrapText="false" indent="0" shrinkToFit="false"/>
      <protection locked="true" hidden="false"/>
    </xf>
    <xf numFmtId="164" fontId="12" fillId="0" borderId="0" xfId="49" applyFont="true" applyBorder="true" applyAlignment="true" applyProtection="false">
      <alignment horizontal="center" vertical="center" textRotation="0" wrapText="true" indent="0" shrinkToFit="false"/>
      <protection locked="true" hidden="false"/>
    </xf>
    <xf numFmtId="164" fontId="45" fillId="0" borderId="59" xfId="49" applyFont="true" applyBorder="true" applyAlignment="true" applyProtection="false">
      <alignment horizontal="center" vertical="center" textRotation="0" wrapText="true" indent="0" shrinkToFit="false"/>
      <protection locked="true" hidden="false"/>
    </xf>
    <xf numFmtId="164" fontId="12" fillId="0" borderId="31" xfId="49" applyFont="true" applyBorder="true" applyAlignment="true" applyProtection="false">
      <alignment horizontal="center" vertical="center" textRotation="0" wrapText="true" indent="0" shrinkToFit="false"/>
      <protection locked="true" hidden="false"/>
    </xf>
    <xf numFmtId="164" fontId="12" fillId="0" borderId="20" xfId="49" applyFont="true" applyBorder="true" applyAlignment="true" applyProtection="false">
      <alignment horizontal="left" vertical="center" textRotation="0" wrapText="true" indent="0" shrinkToFit="false"/>
      <protection locked="true" hidden="false"/>
    </xf>
    <xf numFmtId="164" fontId="12" fillId="0" borderId="10" xfId="49" applyFont="true" applyBorder="true" applyAlignment="true" applyProtection="false">
      <alignment horizontal="center" vertical="center" textRotation="0" wrapText="true" indent="0" shrinkToFit="false"/>
      <protection locked="true" hidden="false"/>
    </xf>
    <xf numFmtId="164" fontId="12" fillId="0" borderId="8" xfId="49" applyFont="true" applyBorder="true" applyAlignment="true" applyProtection="false">
      <alignment horizontal="left" vertical="center" textRotation="0" wrapText="false" indent="0" shrinkToFit="false"/>
      <protection locked="true" hidden="false"/>
    </xf>
    <xf numFmtId="164" fontId="12" fillId="0" borderId="29" xfId="49" applyFont="true" applyBorder="true" applyAlignment="true" applyProtection="false">
      <alignment horizontal="center" vertical="center" textRotation="0" wrapText="true" indent="0" shrinkToFit="false"/>
      <protection locked="true" hidden="false"/>
    </xf>
    <xf numFmtId="164" fontId="12" fillId="0" borderId="21" xfId="49" applyFont="true" applyBorder="true" applyAlignment="true" applyProtection="false">
      <alignment horizontal="left" vertical="center" textRotation="0" wrapText="false" indent="0" shrinkToFit="false"/>
      <protection locked="true" hidden="false"/>
    </xf>
    <xf numFmtId="164" fontId="45" fillId="0" borderId="37" xfId="49" applyFont="true" applyBorder="true" applyAlignment="true" applyProtection="false">
      <alignment horizontal="center" vertical="center" textRotation="0" wrapText="true" indent="0" shrinkToFit="false"/>
      <protection locked="true" hidden="false"/>
    </xf>
    <xf numFmtId="164" fontId="36" fillId="0" borderId="22" xfId="49" applyFont="true" applyBorder="true" applyAlignment="true" applyProtection="false">
      <alignment horizontal="left" vertical="center" textRotation="0" wrapText="true" indent="0" shrinkToFit="false"/>
      <protection locked="true" hidden="false"/>
    </xf>
    <xf numFmtId="164" fontId="86" fillId="0" borderId="0" xfId="0" applyFont="true" applyBorder="true" applyAlignment="true" applyProtection="false">
      <alignment horizontal="center" vertical="center" textRotation="0" wrapText="true" indent="0" shrinkToFit="false"/>
      <protection locked="true" hidden="false"/>
    </xf>
    <xf numFmtId="164" fontId="87" fillId="0" borderId="0" xfId="0" applyFont="true" applyBorder="true" applyAlignment="true" applyProtection="false">
      <alignment horizontal="left" vertical="center" textRotation="0" wrapText="true" indent="0" shrinkToFit="false"/>
      <protection locked="true" hidden="false"/>
    </xf>
    <xf numFmtId="164" fontId="46" fillId="0" borderId="30" xfId="0" applyFont="true" applyBorder="true" applyAlignment="true" applyProtection="false">
      <alignment horizontal="center" vertical="center" textRotation="0" wrapText="false" indent="0" shrinkToFit="false"/>
      <protection locked="true" hidden="false"/>
    </xf>
    <xf numFmtId="164" fontId="46" fillId="0" borderId="37" xfId="0" applyFont="true" applyBorder="true" applyAlignment="true" applyProtection="false">
      <alignment horizontal="center" vertical="center" textRotation="0" wrapText="false" indent="0" shrinkToFit="false"/>
      <protection locked="true" hidden="false"/>
    </xf>
    <xf numFmtId="164" fontId="46" fillId="0" borderId="10" xfId="0" applyFont="true" applyBorder="true" applyAlignment="true" applyProtection="false">
      <alignment horizontal="left" vertical="center" textRotation="0" wrapText="false" indent="0" shrinkToFit="false"/>
      <protection locked="true" hidden="false"/>
    </xf>
    <xf numFmtId="164" fontId="46" fillId="0" borderId="0" xfId="0" applyFont="true" applyBorder="true" applyAlignment="true" applyProtection="false">
      <alignment horizontal="center" vertical="center" textRotation="0" wrapText="true" indent="0" shrinkToFit="false"/>
      <protection locked="true" hidden="false"/>
    </xf>
    <xf numFmtId="164" fontId="46" fillId="0" borderId="60" xfId="0" applyFont="true" applyBorder="true" applyAlignment="true" applyProtection="false">
      <alignment horizontal="center" vertical="center" textRotation="0" wrapText="false" indent="0" shrinkToFit="false"/>
      <protection locked="true" hidden="false"/>
    </xf>
    <xf numFmtId="164" fontId="55" fillId="0" borderId="0" xfId="0" applyFont="true" applyBorder="false" applyAlignment="true" applyProtection="false">
      <alignment horizontal="general" vertical="center" textRotation="0" wrapText="true" indent="0" shrinkToFit="false"/>
      <protection locked="true" hidden="false"/>
    </xf>
    <xf numFmtId="164" fontId="41" fillId="0" borderId="20" xfId="0" applyFont="true" applyBorder="true" applyAlignment="true" applyProtection="false">
      <alignment horizontal="left" vertical="center" textRotation="0" wrapText="false" indent="0" shrinkToFit="false"/>
      <protection locked="true" hidden="false"/>
    </xf>
    <xf numFmtId="164" fontId="47" fillId="0" borderId="2" xfId="0" applyFont="true" applyBorder="true" applyAlignment="true" applyProtection="false">
      <alignment horizontal="left" vertical="center" textRotation="0" wrapText="true" indent="0" shrinkToFit="false"/>
      <protection locked="true" hidden="false"/>
    </xf>
    <xf numFmtId="164" fontId="41" fillId="0" borderId="18" xfId="0" applyFont="true" applyBorder="true" applyAlignment="true" applyProtection="false">
      <alignment horizontal="center" vertical="center" textRotation="0" wrapText="true" indent="0" shrinkToFit="false"/>
      <protection locked="true" hidden="false"/>
    </xf>
    <xf numFmtId="164" fontId="41" fillId="0" borderId="19" xfId="0" applyFont="true" applyBorder="true" applyAlignment="true" applyProtection="false">
      <alignment horizontal="left" vertical="center" textRotation="0" wrapText="false" indent="0" shrinkToFit="false"/>
      <protection locked="true" hidden="false"/>
    </xf>
    <xf numFmtId="164" fontId="41" fillId="0" borderId="36" xfId="0" applyFont="true" applyBorder="true" applyAlignment="true" applyProtection="false">
      <alignment horizontal="center" vertical="center" textRotation="0" wrapText="true" indent="0" shrinkToFit="false"/>
      <protection locked="true" hidden="false"/>
    </xf>
    <xf numFmtId="164" fontId="77" fillId="0" borderId="0" xfId="0" applyFont="true" applyBorder="false" applyAlignment="true" applyProtection="false">
      <alignment horizontal="general" vertical="center" textRotation="0" wrapText="false" indent="0" shrinkToFit="false"/>
      <protection locked="true" hidden="false"/>
    </xf>
    <xf numFmtId="164" fontId="45" fillId="0" borderId="33" xfId="0" applyFont="true" applyBorder="true" applyAlignment="true" applyProtection="false">
      <alignment horizontal="general" vertical="center" textRotation="0" wrapText="true" indent="0" shrinkToFit="false"/>
      <protection locked="true" hidden="false"/>
    </xf>
    <xf numFmtId="164" fontId="69" fillId="0" borderId="37" xfId="0" applyFont="true" applyBorder="true" applyAlignment="true" applyProtection="false">
      <alignment horizontal="center" vertical="center" textRotation="0" wrapText="false" indent="0" shrinkToFit="false"/>
      <protection locked="true" hidden="false"/>
    </xf>
    <xf numFmtId="164" fontId="77" fillId="0" borderId="38" xfId="0" applyFont="true" applyBorder="true" applyAlignment="true" applyProtection="false">
      <alignment horizontal="general" vertical="center" textRotation="0" wrapText="true" indent="0" shrinkToFit="false"/>
      <protection locked="true" hidden="false"/>
    </xf>
    <xf numFmtId="164" fontId="69" fillId="0" borderId="0" xfId="0" applyFont="true" applyBorder="true" applyAlignment="true" applyProtection="false">
      <alignment horizontal="center" vertical="center" textRotation="0" wrapText="false" indent="0" shrinkToFit="false"/>
      <protection locked="true" hidden="false"/>
    </xf>
    <xf numFmtId="164" fontId="77" fillId="0" borderId="35" xfId="0" applyFont="true" applyBorder="true" applyAlignment="true" applyProtection="false">
      <alignment horizontal="general" vertical="center" textRotation="0" wrapText="true" indent="0" shrinkToFit="false"/>
      <protection locked="true" hidden="false"/>
    </xf>
    <xf numFmtId="164" fontId="77" fillId="0" borderId="35" xfId="0" applyFont="true" applyBorder="true" applyAlignment="true" applyProtection="false">
      <alignment horizontal="left" vertical="center" textRotation="0" wrapText="true" indent="0" shrinkToFit="false"/>
      <protection locked="true" hidden="false"/>
    </xf>
    <xf numFmtId="164" fontId="69" fillId="0" borderId="33" xfId="0" applyFont="true" applyBorder="true" applyAlignment="true" applyProtection="false">
      <alignment horizontal="general" vertical="center" textRotation="0" wrapText="false" indent="0" shrinkToFit="false"/>
      <protection locked="true" hidden="false"/>
    </xf>
    <xf numFmtId="164" fontId="77" fillId="0" borderId="36" xfId="0" applyFont="true" applyBorder="true" applyAlignment="true" applyProtection="false">
      <alignment horizontal="general" vertical="center" textRotation="0" wrapText="true" indent="0" shrinkToFit="false"/>
      <protection locked="true" hidden="false"/>
    </xf>
    <xf numFmtId="164" fontId="45" fillId="0" borderId="2" xfId="0" applyFont="true" applyBorder="true" applyAlignment="true" applyProtection="false">
      <alignment horizontal="left" vertical="center" textRotation="0" wrapText="true" indent="0" shrinkToFit="false"/>
      <protection locked="true" hidden="false"/>
    </xf>
    <xf numFmtId="164" fontId="69" fillId="0" borderId="30" xfId="0" applyFont="true" applyBorder="true" applyAlignment="true" applyProtection="false">
      <alignment horizontal="center" vertical="center" textRotation="0" wrapText="false" indent="0" shrinkToFit="false"/>
      <protection locked="true" hidden="false"/>
    </xf>
    <xf numFmtId="164" fontId="69" fillId="0" borderId="28" xfId="0" applyFont="true" applyBorder="true" applyAlignment="true" applyProtection="false">
      <alignment horizontal="center" vertical="center" textRotation="0" wrapText="false" indent="0" shrinkToFit="false"/>
      <protection locked="true" hidden="false"/>
    </xf>
    <xf numFmtId="164" fontId="41" fillId="0" borderId="34" xfId="0" applyFont="true" applyBorder="true" applyAlignment="true" applyProtection="false">
      <alignment horizontal="center" vertical="center" textRotation="0" wrapText="true" indent="0" shrinkToFit="false"/>
      <protection locked="true" hidden="false"/>
    </xf>
    <xf numFmtId="164" fontId="41" fillId="0" borderId="28" xfId="0" applyFont="true" applyBorder="true" applyAlignment="true" applyProtection="false">
      <alignment horizontal="center" vertical="center" textRotation="0" wrapText="true" indent="0" shrinkToFit="false"/>
      <protection locked="true" hidden="false"/>
    </xf>
    <xf numFmtId="164" fontId="41" fillId="0" borderId="35" xfId="0" applyFont="true" applyBorder="true" applyAlignment="true" applyProtection="false">
      <alignment horizontal="center" vertical="center" textRotation="0" wrapText="true" indent="0" shrinkToFit="false"/>
      <protection locked="true" hidden="false"/>
    </xf>
    <xf numFmtId="164" fontId="69" fillId="0" borderId="22"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right" vertical="center" textRotation="0" wrapText="true" indent="0" shrinkToFit="false"/>
      <protection locked="true" hidden="false"/>
    </xf>
    <xf numFmtId="164" fontId="41" fillId="0" borderId="29" xfId="0" applyFont="true" applyBorder="true" applyAlignment="true" applyProtection="false">
      <alignment horizontal="center" vertical="center" textRotation="0" wrapText="true" indent="0" shrinkToFit="false"/>
      <protection locked="true" hidden="false"/>
    </xf>
    <xf numFmtId="164" fontId="41" fillId="0" borderId="17" xfId="0" applyFont="true" applyBorder="true" applyAlignment="true" applyProtection="false">
      <alignment horizontal="general" vertical="center" textRotation="0" wrapText="false" indent="0" shrinkToFit="false"/>
      <protection locked="true" hidden="false"/>
    </xf>
    <xf numFmtId="164" fontId="41" fillId="0" borderId="30" xfId="0" applyFont="true" applyBorder="true" applyAlignment="true" applyProtection="false">
      <alignment horizontal="general" vertical="center" textRotation="0" wrapText="false" indent="0" shrinkToFit="false"/>
      <protection locked="true" hidden="false"/>
    </xf>
    <xf numFmtId="164" fontId="51" fillId="0" borderId="33" xfId="0" applyFont="true" applyBorder="true" applyAlignment="true" applyProtection="false">
      <alignment horizontal="center" vertical="center" textRotation="0" wrapText="false" indent="0" shrinkToFit="false"/>
      <protection locked="true" hidden="false"/>
    </xf>
    <xf numFmtId="164" fontId="41" fillId="0" borderId="39" xfId="0" applyFont="true" applyBorder="true" applyAlignment="true" applyProtection="false">
      <alignment horizontal="left" vertical="center" textRotation="0" wrapText="true" indent="0" shrinkToFit="false"/>
      <protection locked="true" hidden="false"/>
    </xf>
    <xf numFmtId="164" fontId="47" fillId="0" borderId="33" xfId="0" applyFont="true" applyBorder="true" applyAlignment="true" applyProtection="false">
      <alignment horizontal="left" vertical="center" textRotation="0" wrapText="true" indent="0" shrinkToFit="false"/>
      <protection locked="true" hidden="false"/>
    </xf>
    <xf numFmtId="164" fontId="41" fillId="0" borderId="2" xfId="0" applyFont="true" applyBorder="true" applyAlignment="true" applyProtection="false">
      <alignment horizontal="center" vertical="center" textRotation="0" wrapText="true" indent="0" shrinkToFit="false"/>
      <protection locked="true" hidden="false"/>
    </xf>
    <xf numFmtId="164" fontId="41" fillId="0" borderId="16" xfId="0" applyFont="true" applyBorder="true" applyAlignment="true" applyProtection="false">
      <alignment horizontal="center" vertical="center" textRotation="0" wrapText="true" indent="0" shrinkToFit="false"/>
      <protection locked="true" hidden="false"/>
    </xf>
    <xf numFmtId="164" fontId="41" fillId="0" borderId="61" xfId="0" applyFont="true" applyBorder="true" applyAlignment="true" applyProtection="false">
      <alignment horizontal="center" vertical="center" textRotation="0" wrapText="true" indent="0" shrinkToFit="false"/>
      <protection locked="true" hidden="false"/>
    </xf>
    <xf numFmtId="164" fontId="41" fillId="0" borderId="37" xfId="0" applyFont="true" applyBorder="true" applyAlignment="true" applyProtection="false">
      <alignment horizontal="left" vertical="center" textRotation="0" wrapText="true" indent="0" shrinkToFit="false"/>
      <protection locked="true" hidden="false"/>
    </xf>
    <xf numFmtId="164" fontId="41" fillId="0" borderId="0" xfId="0" applyFont="true" applyBorder="true" applyAlignment="true" applyProtection="false">
      <alignment horizontal="left" vertical="center" textRotation="0" wrapText="false" indent="0" shrinkToFit="false"/>
      <protection locked="true" hidden="false"/>
    </xf>
    <xf numFmtId="164" fontId="35" fillId="0" borderId="0" xfId="0" applyFont="true" applyBorder="true" applyAlignment="true" applyProtection="false">
      <alignment horizontal="general" vertical="center" textRotation="0" wrapText="false" indent="0" shrinkToFit="false"/>
      <protection locked="true" hidden="false"/>
    </xf>
    <xf numFmtId="164" fontId="35" fillId="0" borderId="33" xfId="0" applyFont="true" applyBorder="true" applyAlignment="true" applyProtection="false">
      <alignment horizontal="general" vertical="center" textRotation="0" wrapText="false" indent="0" shrinkToFit="false"/>
      <protection locked="true" hidden="false"/>
    </xf>
    <xf numFmtId="164" fontId="41" fillId="0" borderId="33" xfId="0" applyFont="true" applyBorder="true" applyAlignment="true" applyProtection="false">
      <alignment horizontal="right" vertical="center" textRotation="0" wrapText="true" indent="0" shrinkToFit="false"/>
      <protection locked="true" hidden="false"/>
    </xf>
    <xf numFmtId="164" fontId="41" fillId="0" borderId="30" xfId="0" applyFont="true" applyBorder="true" applyAlignment="true" applyProtection="false">
      <alignment horizontal="center" vertical="center" textRotation="0" wrapText="true" indent="0" shrinkToFit="false"/>
      <protection locked="true" hidden="false"/>
    </xf>
    <xf numFmtId="164" fontId="35" fillId="0" borderId="18" xfId="0" applyFont="true" applyBorder="true" applyAlignment="true" applyProtection="false">
      <alignment horizontal="center" vertical="center" textRotation="0" wrapText="true" indent="0" shrinkToFit="false"/>
      <protection locked="true" hidden="false"/>
    </xf>
    <xf numFmtId="164" fontId="41" fillId="0" borderId="17" xfId="0" applyFont="true" applyBorder="true" applyAlignment="true" applyProtection="false">
      <alignment horizontal="center" vertical="center" textRotation="0" wrapText="true" indent="0" shrinkToFit="false"/>
      <protection locked="true" hidden="false"/>
    </xf>
    <xf numFmtId="164" fontId="35" fillId="0" borderId="28" xfId="0" applyFont="true" applyBorder="true" applyAlignment="true" applyProtection="false">
      <alignment horizontal="center" vertical="center" textRotation="0" wrapText="false" indent="0" shrinkToFit="false"/>
      <protection locked="true" hidden="false"/>
    </xf>
    <xf numFmtId="176"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0" fillId="0" borderId="0" xfId="55" applyFont="false" applyBorder="false" applyAlignment="false" applyProtection="false">
      <alignment horizontal="general" vertical="center" textRotation="0" wrapText="false" indent="0" shrinkToFit="false"/>
      <protection locked="true" hidden="false"/>
    </xf>
    <xf numFmtId="164" fontId="88" fillId="0" borderId="0" xfId="55" applyFont="true" applyBorder="true" applyAlignment="true" applyProtection="false">
      <alignment horizontal="right" vertical="center" textRotation="0" wrapText="true" indent="0" shrinkToFit="false"/>
      <protection locked="true" hidden="false"/>
    </xf>
    <xf numFmtId="164" fontId="90" fillId="0" borderId="0" xfId="55" applyFont="true" applyBorder="true" applyAlignment="true" applyProtection="false">
      <alignment horizontal="center" vertical="center" textRotation="0" wrapText="true" indent="0" shrinkToFit="false"/>
      <protection locked="true" hidden="false"/>
    </xf>
    <xf numFmtId="164" fontId="88" fillId="0" borderId="0" xfId="55" applyFont="true" applyBorder="true" applyAlignment="true" applyProtection="false">
      <alignment horizontal="center" vertical="center" textRotation="0" wrapText="true" indent="0" shrinkToFit="false"/>
      <protection locked="true" hidden="false"/>
    </xf>
    <xf numFmtId="164" fontId="88" fillId="0" borderId="0" xfId="55" applyFont="true" applyBorder="false" applyAlignment="true" applyProtection="false">
      <alignment horizontal="general" vertical="center" textRotation="0" wrapText="true" indent="0" shrinkToFit="false"/>
      <protection locked="true" hidden="false"/>
    </xf>
    <xf numFmtId="164" fontId="92" fillId="0" borderId="0" xfId="55" applyFont="true" applyBorder="false" applyAlignment="false" applyProtection="false">
      <alignment horizontal="general" vertical="center" textRotation="0" wrapText="false" indent="0" shrinkToFit="false"/>
      <protection locked="true" hidden="false"/>
    </xf>
    <xf numFmtId="164" fontId="93" fillId="0" borderId="3" xfId="55" applyFont="true" applyBorder="true" applyAlignment="true" applyProtection="false">
      <alignment horizontal="center" vertical="center" textRotation="0" wrapText="true" indent="0" shrinkToFit="false"/>
      <protection locked="true" hidden="false"/>
    </xf>
    <xf numFmtId="164" fontId="94" fillId="0" borderId="62" xfId="55" applyFont="true" applyBorder="true" applyAlignment="true" applyProtection="false">
      <alignment horizontal="center" vertical="center" textRotation="0" wrapText="true" indent="0" shrinkToFit="false"/>
      <protection locked="true" hidden="false"/>
    </xf>
    <xf numFmtId="164" fontId="94" fillId="0" borderId="63" xfId="55" applyFont="true" applyBorder="true" applyAlignment="true" applyProtection="false">
      <alignment horizontal="center" vertical="center" textRotation="0" wrapText="true" indent="0" shrinkToFit="false"/>
      <protection locked="true" hidden="false"/>
    </xf>
    <xf numFmtId="164" fontId="95" fillId="0" borderId="64" xfId="55" applyFont="true" applyBorder="true" applyAlignment="true" applyProtection="false">
      <alignment horizontal="distributed" vertical="center" textRotation="0" wrapText="true" indent="2" shrinkToFit="false"/>
      <protection locked="true" hidden="false"/>
    </xf>
    <xf numFmtId="164" fontId="95" fillId="0" borderId="65" xfId="55" applyFont="true" applyBorder="true" applyAlignment="true" applyProtection="false">
      <alignment horizontal="distributed" vertical="center" textRotation="0" wrapText="true" indent="4" shrinkToFit="false"/>
      <protection locked="true" hidden="false"/>
    </xf>
    <xf numFmtId="164" fontId="95" fillId="0" borderId="65" xfId="55" applyFont="true" applyBorder="true" applyAlignment="true" applyProtection="false">
      <alignment horizontal="distributed" vertical="center" textRotation="0" wrapText="true" indent="2" shrinkToFit="false"/>
      <protection locked="true" hidden="false"/>
    </xf>
    <xf numFmtId="164" fontId="95" fillId="0" borderId="66" xfId="55" applyFont="true" applyBorder="true" applyAlignment="true" applyProtection="false">
      <alignment horizontal="distributed" vertical="center" textRotation="0" wrapText="true" indent="4" shrinkToFit="false"/>
      <protection locked="true" hidden="false"/>
    </xf>
    <xf numFmtId="164" fontId="95" fillId="0" borderId="67" xfId="55" applyFont="true" applyBorder="true" applyAlignment="true" applyProtection="false">
      <alignment horizontal="distributed" vertical="center" textRotation="0" wrapText="true" indent="2" shrinkToFit="false"/>
      <protection locked="true" hidden="false"/>
    </xf>
    <xf numFmtId="164" fontId="95" fillId="0" borderId="54" xfId="55" applyFont="true" applyBorder="true" applyAlignment="true" applyProtection="false">
      <alignment horizontal="center" vertical="center" textRotation="0" wrapText="true" indent="0" shrinkToFit="false"/>
      <protection locked="true" hidden="false"/>
    </xf>
    <xf numFmtId="164" fontId="95" fillId="0" borderId="54" xfId="55" applyFont="true" applyBorder="true" applyAlignment="true" applyProtection="false">
      <alignment horizontal="distributed" vertical="center" textRotation="0" wrapText="true" indent="2" shrinkToFit="false"/>
      <protection locked="true" hidden="false"/>
    </xf>
    <xf numFmtId="164" fontId="95" fillId="0" borderId="68" xfId="55" applyFont="true" applyBorder="true" applyAlignment="true" applyProtection="false">
      <alignment horizontal="distributed" vertical="center" textRotation="0" wrapText="true" indent="4" shrinkToFit="false"/>
      <protection locked="true" hidden="false"/>
    </xf>
    <xf numFmtId="164" fontId="95" fillId="0" borderId="68" xfId="55" applyFont="true" applyBorder="true" applyAlignment="true" applyProtection="false">
      <alignment horizontal="distributed" vertical="center" textRotation="0" wrapText="true" indent="3" shrinkToFit="false"/>
      <protection locked="true" hidden="false"/>
    </xf>
    <xf numFmtId="176" fontId="95" fillId="0" borderId="54" xfId="55" applyFont="true" applyBorder="true" applyAlignment="true" applyProtection="false">
      <alignment horizontal="distributed" vertical="center" textRotation="0" wrapText="true" indent="3" shrinkToFit="false"/>
      <protection locked="true" hidden="false"/>
    </xf>
    <xf numFmtId="188" fontId="95" fillId="0" borderId="68" xfId="55" applyFont="true" applyBorder="true" applyAlignment="true" applyProtection="false">
      <alignment horizontal="distributed" vertical="center" textRotation="0" wrapText="true" indent="3" shrinkToFit="false"/>
      <protection locked="true" hidden="false"/>
    </xf>
    <xf numFmtId="164" fontId="95" fillId="0" borderId="69" xfId="55" applyFont="true" applyBorder="true" applyAlignment="true" applyProtection="false">
      <alignment horizontal="distributed" vertical="center" textRotation="0" wrapText="true" indent="2" shrinkToFit="false"/>
      <protection locked="true" hidden="false"/>
    </xf>
    <xf numFmtId="164" fontId="95" fillId="0" borderId="70" xfId="55" applyFont="true" applyBorder="true" applyAlignment="true" applyProtection="false">
      <alignment horizontal="center" vertical="center" textRotation="0" wrapText="true" indent="0" shrinkToFit="false"/>
      <protection locked="true" hidden="false"/>
    </xf>
    <xf numFmtId="164" fontId="95" fillId="0" borderId="71" xfId="55" applyFont="true" applyBorder="true" applyAlignment="true" applyProtection="false">
      <alignment horizontal="general" vertical="center" textRotation="0" wrapText="true" indent="0" shrinkToFit="false"/>
      <protection locked="true" hidden="false"/>
    </xf>
    <xf numFmtId="170" fontId="95" fillId="0" borderId="71" xfId="55" applyFont="true" applyBorder="true" applyAlignment="true" applyProtection="false">
      <alignment horizontal="left" vertical="center" textRotation="0" wrapText="true" indent="0" shrinkToFit="false"/>
      <protection locked="true" hidden="false"/>
    </xf>
    <xf numFmtId="164" fontId="95" fillId="0" borderId="71" xfId="55" applyFont="true" applyBorder="true" applyAlignment="true" applyProtection="false">
      <alignment horizontal="left" vertical="center" textRotation="0" wrapText="true" indent="0" shrinkToFit="false"/>
      <protection locked="true" hidden="false"/>
    </xf>
    <xf numFmtId="164" fontId="94" fillId="0" borderId="72" xfId="55" applyFont="true" applyBorder="true" applyAlignment="true" applyProtection="false">
      <alignment horizontal="distributed" vertical="center" textRotation="0" wrapText="true" indent="14" shrinkToFit="false"/>
      <protection locked="true" hidden="false"/>
    </xf>
    <xf numFmtId="164" fontId="95" fillId="0" borderId="73" xfId="55" applyFont="true" applyBorder="true" applyAlignment="true" applyProtection="false">
      <alignment horizontal="distributed" vertical="center" textRotation="0" wrapText="true" indent="1" shrinkToFit="false"/>
      <protection locked="true" hidden="false"/>
    </xf>
    <xf numFmtId="164" fontId="95" fillId="0" borderId="0" xfId="55" applyFont="true" applyBorder="true" applyAlignment="true" applyProtection="false">
      <alignment horizontal="distributed" vertical="center" textRotation="0" wrapText="true" indent="1" shrinkToFit="false"/>
      <protection locked="true" hidden="false"/>
    </xf>
    <xf numFmtId="164" fontId="95" fillId="0" borderId="33" xfId="55" applyFont="true" applyBorder="true" applyAlignment="true" applyProtection="false">
      <alignment horizontal="left" vertical="center" textRotation="0" wrapText="true" indent="1" shrinkToFit="false"/>
      <protection locked="true" hidden="false"/>
    </xf>
    <xf numFmtId="164" fontId="95" fillId="0" borderId="37" xfId="55" applyFont="true" applyBorder="true" applyAlignment="true" applyProtection="false">
      <alignment horizontal="general" vertical="center" textRotation="0" wrapText="true" indent="0" shrinkToFit="false"/>
      <protection locked="true" hidden="false"/>
    </xf>
    <xf numFmtId="175" fontId="96" fillId="0" borderId="37" xfId="55" applyFont="true" applyBorder="true" applyAlignment="true" applyProtection="false">
      <alignment horizontal="distributed" vertical="center" textRotation="0" wrapText="true" indent="1" shrinkToFit="false"/>
      <protection locked="true" hidden="false"/>
    </xf>
    <xf numFmtId="164" fontId="97" fillId="0" borderId="0" xfId="55" applyFont="true" applyBorder="true" applyAlignment="true" applyProtection="false">
      <alignment horizontal="right" vertical="center" textRotation="0" wrapText="true" indent="0" shrinkToFit="false"/>
      <protection locked="true" hidden="false"/>
    </xf>
    <xf numFmtId="164" fontId="98" fillId="0" borderId="0" xfId="55" applyFont="true" applyBorder="false" applyAlignment="true" applyProtection="false">
      <alignment horizontal="general" vertical="center" textRotation="0" wrapText="true" indent="0" shrinkToFit="false"/>
      <protection locked="true" hidden="false"/>
    </xf>
    <xf numFmtId="164" fontId="98" fillId="0" borderId="0" xfId="55" applyFont="true" applyBorder="true" applyAlignment="true" applyProtection="false">
      <alignment horizontal="center" vertical="center" textRotation="0" wrapText="true" indent="0" shrinkToFit="false"/>
      <protection locked="true" hidden="false"/>
    </xf>
    <xf numFmtId="164" fontId="98" fillId="0" borderId="0" xfId="55" applyFont="true" applyBorder="true" applyAlignment="true" applyProtection="false">
      <alignment horizontal="distributed" vertical="center" textRotation="0" wrapText="true" indent="1" shrinkToFit="false"/>
      <protection locked="true" hidden="false"/>
    </xf>
    <xf numFmtId="164" fontId="99" fillId="0" borderId="0" xfId="55" applyFont="true" applyBorder="true" applyAlignment="true" applyProtection="false">
      <alignment horizontal="center" vertical="center" textRotation="0" wrapText="true" indent="0" shrinkToFit="false"/>
      <protection locked="true" hidden="false"/>
    </xf>
    <xf numFmtId="164" fontId="93" fillId="0" borderId="0" xfId="55" applyFont="true" applyBorder="true" applyAlignment="true" applyProtection="false">
      <alignment horizontal="justify" vertical="center" textRotation="0" wrapText="true" indent="0" shrinkToFit="false"/>
      <protection locked="true" hidden="false"/>
    </xf>
    <xf numFmtId="164" fontId="95" fillId="0" borderId="74" xfId="55" applyFont="true" applyBorder="true" applyAlignment="true" applyProtection="false">
      <alignment horizontal="general" vertical="center" textRotation="0" wrapText="true" indent="0" shrinkToFit="false"/>
      <protection locked="true" hidden="false"/>
    </xf>
    <xf numFmtId="164" fontId="96" fillId="0" borderId="74" xfId="55" applyFont="true" applyBorder="true" applyAlignment="true" applyProtection="false">
      <alignment horizontal="distributed" vertical="center" textRotation="0" wrapText="true" indent="1" shrinkToFit="false"/>
      <protection locked="true" hidden="false"/>
    </xf>
    <xf numFmtId="164" fontId="95" fillId="0" borderId="74" xfId="55" applyFont="true" applyBorder="true" applyAlignment="true" applyProtection="false">
      <alignment horizontal="center" vertical="center" textRotation="0" wrapText="true" indent="0" shrinkToFit="false"/>
      <protection locked="true" hidden="false"/>
    </xf>
    <xf numFmtId="164" fontId="100" fillId="0" borderId="75" xfId="55" applyFont="true" applyBorder="true" applyAlignment="true" applyProtection="false">
      <alignment horizontal="center" vertical="center" textRotation="0" wrapText="true" indent="0" shrinkToFit="false"/>
      <protection locked="true" hidden="false"/>
    </xf>
    <xf numFmtId="164" fontId="100" fillId="0" borderId="76" xfId="55" applyFont="true" applyBorder="true" applyAlignment="true" applyProtection="false">
      <alignment horizontal="justify" vertical="center" textRotation="0" wrapText="true" indent="0" shrinkToFit="false"/>
      <protection locked="true" hidden="false"/>
    </xf>
    <xf numFmtId="164" fontId="101" fillId="4" borderId="77" xfId="55" applyFont="true" applyBorder="true" applyAlignment="true" applyProtection="false">
      <alignment horizontal="distributed" vertical="center" textRotation="0" wrapText="true" indent="14" shrinkToFit="false"/>
      <protection locked="true" hidden="false"/>
    </xf>
    <xf numFmtId="164" fontId="102" fillId="0" borderId="78" xfId="55" applyFont="true" applyBorder="true" applyAlignment="true" applyProtection="false">
      <alignment horizontal="justify" vertical="center" textRotation="0" wrapText="true" indent="0" shrinkToFit="false"/>
      <protection locked="true" hidden="false"/>
    </xf>
    <xf numFmtId="164" fontId="102" fillId="0" borderId="33" xfId="55" applyFont="true" applyBorder="true" applyAlignment="true" applyProtection="false">
      <alignment horizontal="justify" vertical="center" textRotation="0" wrapText="true" indent="0" shrinkToFit="false"/>
      <protection locked="true" hidden="false"/>
    </xf>
    <xf numFmtId="164" fontId="102" fillId="0" borderId="37" xfId="55" applyFont="true" applyBorder="true" applyAlignment="true" applyProtection="false">
      <alignment horizontal="right" vertical="center" textRotation="0" wrapText="true" indent="0" shrinkToFit="false"/>
      <protection locked="true" hidden="false"/>
    </xf>
    <xf numFmtId="164" fontId="93" fillId="0" borderId="0" xfId="55" applyFont="true" applyBorder="false" applyAlignment="true" applyProtection="false">
      <alignment horizontal="justify" vertical="center" textRotation="0" wrapText="false" indent="0" shrinkToFit="false"/>
      <protection locked="true" hidden="false"/>
    </xf>
    <xf numFmtId="164" fontId="102" fillId="0" borderId="0" xfId="55" applyFont="true" applyBorder="true" applyAlignment="true" applyProtection="false">
      <alignment horizontal="justify" vertical="center" textRotation="0" wrapText="true" indent="0" shrinkToFit="false"/>
      <protection locked="true" hidden="false"/>
    </xf>
    <xf numFmtId="164" fontId="70" fillId="0" borderId="0" xfId="55" applyFont="true" applyBorder="false" applyAlignment="true" applyProtection="false">
      <alignment horizontal="justify" vertical="top" textRotation="0" wrapText="true" indent="0" shrinkToFit="false"/>
      <protection locked="true" hidden="false"/>
    </xf>
    <xf numFmtId="164" fontId="104" fillId="0" borderId="0" xfId="55" applyFont="true" applyBorder="false" applyAlignment="false" applyProtection="false">
      <alignment horizontal="general" vertical="center" textRotation="0" wrapText="false" indent="0" shrinkToFit="false"/>
      <protection locked="true" hidden="false"/>
    </xf>
    <xf numFmtId="164" fontId="104" fillId="0" borderId="33" xfId="55" applyFont="true" applyBorder="true" applyAlignment="true" applyProtection="false">
      <alignment horizontal="justify" vertical="bottom" textRotation="0" wrapText="true" indent="0" shrinkToFit="false"/>
      <protection locked="true" hidden="false"/>
    </xf>
    <xf numFmtId="164" fontId="104" fillId="0" borderId="33" xfId="55" applyFont="true" applyBorder="true" applyAlignment="true" applyProtection="false">
      <alignment horizontal="right" vertical="bottom" textRotation="0" wrapText="true" indent="0" shrinkToFit="false"/>
      <protection locked="true" hidden="false"/>
    </xf>
    <xf numFmtId="164" fontId="104" fillId="0" borderId="0" xfId="55" applyFont="true" applyBorder="false" applyAlignment="true" applyProtection="false">
      <alignment horizontal="right" vertical="bottom" textRotation="0" wrapText="true" indent="0" shrinkToFit="false"/>
      <protection locked="true" hidden="false"/>
    </xf>
    <xf numFmtId="164" fontId="98" fillId="0" borderId="79" xfId="55" applyFont="true" applyBorder="true" applyAlignment="true" applyProtection="false">
      <alignment horizontal="center" vertical="center" textRotation="0" wrapText="true" indent="0" shrinkToFit="false"/>
      <protection locked="true" hidden="false"/>
    </xf>
    <xf numFmtId="164" fontId="98" fillId="0" borderId="80" xfId="55" applyFont="true" applyBorder="true" applyAlignment="true" applyProtection="false">
      <alignment horizontal="justify" vertical="top" textRotation="0" wrapText="true" indent="0" shrinkToFit="false"/>
      <protection locked="true" hidden="false"/>
    </xf>
    <xf numFmtId="164" fontId="98" fillId="0" borderId="81" xfId="55" applyFont="true" applyBorder="true" applyAlignment="true" applyProtection="false">
      <alignment horizontal="left" vertical="top" textRotation="0" wrapText="true" indent="0" shrinkToFit="false"/>
      <protection locked="true" hidden="false"/>
    </xf>
    <xf numFmtId="164" fontId="98" fillId="0" borderId="82" xfId="55" applyFont="true" applyBorder="true" applyAlignment="true" applyProtection="false">
      <alignment horizontal="justify" vertical="top" textRotation="0" wrapText="true" indent="0" shrinkToFit="false"/>
      <protection locked="true" hidden="false"/>
    </xf>
    <xf numFmtId="164" fontId="98" fillId="0" borderId="83" xfId="55" applyFont="true" applyBorder="true" applyAlignment="true" applyProtection="false">
      <alignment horizontal="general" vertical="top" textRotation="0" wrapText="true" indent="0" shrinkToFit="false"/>
      <protection locked="true" hidden="false"/>
    </xf>
    <xf numFmtId="164" fontId="98" fillId="0" borderId="84" xfId="55" applyFont="true" applyBorder="true" applyAlignment="true" applyProtection="false">
      <alignment horizontal="justify" vertical="top" textRotation="0" wrapText="true" indent="0" shrinkToFit="false"/>
      <protection locked="true" hidden="false"/>
    </xf>
    <xf numFmtId="164" fontId="98" fillId="0" borderId="85" xfId="55" applyFont="true" applyBorder="true" applyAlignment="true" applyProtection="false">
      <alignment horizontal="left" vertical="top" textRotation="0" wrapText="true" indent="0" shrinkToFit="false"/>
      <protection locked="true" hidden="false"/>
    </xf>
    <xf numFmtId="164" fontId="95" fillId="0" borderId="86" xfId="55" applyFont="true" applyBorder="true" applyAlignment="true" applyProtection="false">
      <alignment horizontal="general" vertical="center" textRotation="0" wrapText="true" indent="0" shrinkToFit="false"/>
      <protection locked="true" hidden="false"/>
    </xf>
    <xf numFmtId="164" fontId="95" fillId="0" borderId="0" xfId="55" applyFont="true" applyBorder="true" applyAlignment="true" applyProtection="false">
      <alignment horizontal="left" vertical="center" textRotation="0" wrapText="true" indent="0" shrinkToFit="false"/>
      <protection locked="true" hidden="false"/>
    </xf>
    <xf numFmtId="164" fontId="95" fillId="0" borderId="87" xfId="55" applyFont="true" applyBorder="true" applyAlignment="true" applyProtection="false">
      <alignment horizontal="center" vertical="center" textRotation="0" wrapText="true" indent="0" shrinkToFit="false"/>
      <protection locked="true" hidden="false"/>
    </xf>
    <xf numFmtId="164" fontId="95" fillId="0" borderId="88" xfId="55" applyFont="true" applyBorder="true" applyAlignment="true" applyProtection="false">
      <alignment horizontal="general" vertical="center" textRotation="0" wrapText="true" indent="0" shrinkToFit="false"/>
      <protection locked="true" hidden="false"/>
    </xf>
    <xf numFmtId="164" fontId="95" fillId="0" borderId="83" xfId="55" applyFont="true" applyBorder="true" applyAlignment="true" applyProtection="false">
      <alignment horizontal="center" vertical="center" textRotation="0" wrapText="true" indent="0" shrinkToFit="false"/>
      <protection locked="true" hidden="false"/>
    </xf>
    <xf numFmtId="164" fontId="95" fillId="0" borderId="87" xfId="55" applyFont="true" applyBorder="true" applyAlignment="true" applyProtection="false">
      <alignment horizontal="right" vertical="center" textRotation="0" wrapText="true" indent="0" shrinkToFit="false"/>
      <protection locked="true" hidden="false"/>
    </xf>
    <xf numFmtId="164" fontId="95" fillId="0" borderId="87" xfId="55" applyFont="true" applyBorder="true" applyAlignment="true" applyProtection="false">
      <alignment horizontal="left" vertical="center" textRotation="0" wrapText="true" indent="0" shrinkToFit="false"/>
      <protection locked="true" hidden="false"/>
    </xf>
    <xf numFmtId="164" fontId="95" fillId="0" borderId="0" xfId="55" applyFont="true" applyBorder="false" applyAlignment="true" applyProtection="false">
      <alignment horizontal="right" vertical="top" textRotation="0" wrapText="true" indent="0" shrinkToFit="false"/>
      <protection locked="true" hidden="false"/>
    </xf>
    <xf numFmtId="164" fontId="98" fillId="0" borderId="89" xfId="55" applyFont="true" applyBorder="true" applyAlignment="true" applyProtection="false">
      <alignment horizontal="general" vertical="top" textRotation="0" wrapText="true" indent="0" shrinkToFit="false"/>
      <protection locked="true" hidden="false"/>
    </xf>
    <xf numFmtId="164" fontId="98" fillId="0" borderId="90" xfId="55" applyFont="true" applyBorder="true" applyAlignment="true" applyProtection="false">
      <alignment horizontal="left" vertical="top" textRotation="0" wrapText="true" indent="0" shrinkToFit="false"/>
      <protection locked="true" hidden="false"/>
    </xf>
    <xf numFmtId="164" fontId="104" fillId="0" borderId="2" xfId="55" applyFont="true" applyBorder="true" applyAlignment="true" applyProtection="false">
      <alignment horizontal="center" vertical="center" textRotation="0" wrapText="true" indent="0" shrinkToFit="false"/>
      <protection locked="true" hidden="false"/>
    </xf>
    <xf numFmtId="164" fontId="104" fillId="0" borderId="0" xfId="55" applyFont="true" applyBorder="false" applyAlignment="true" applyProtection="false">
      <alignment horizontal="center" vertical="center" textRotation="0" wrapText="true" indent="0" shrinkToFit="false"/>
      <protection locked="true" hidden="false"/>
    </xf>
    <xf numFmtId="164" fontId="98" fillId="0" borderId="91" xfId="55" applyFont="true" applyBorder="true" applyAlignment="true" applyProtection="false">
      <alignment horizontal="center" vertical="center" textRotation="0" wrapText="true" indent="0" shrinkToFit="false"/>
      <protection locked="true" hidden="false"/>
    </xf>
    <xf numFmtId="164" fontId="98" fillId="0" borderId="92" xfId="55" applyFont="true" applyBorder="true" applyAlignment="true" applyProtection="false">
      <alignment horizontal="center" vertical="center" textRotation="0" wrapText="true" indent="0" shrinkToFit="false"/>
      <protection locked="true" hidden="false"/>
    </xf>
    <xf numFmtId="164" fontId="105" fillId="0" borderId="85" xfId="55" applyFont="true" applyBorder="true" applyAlignment="true" applyProtection="false">
      <alignment horizontal="general" vertical="center" textRotation="0" wrapText="true" indent="0" shrinkToFit="false"/>
      <protection locked="true" hidden="false"/>
    </xf>
    <xf numFmtId="164" fontId="105" fillId="0" borderId="93" xfId="55" applyFont="true" applyBorder="true" applyAlignment="true" applyProtection="false">
      <alignment horizontal="distributed" vertical="center" textRotation="0" wrapText="true" indent="0" shrinkToFit="false"/>
      <protection locked="true" hidden="false"/>
    </xf>
    <xf numFmtId="164" fontId="105" fillId="0" borderId="93" xfId="55" applyFont="true" applyBorder="true" applyAlignment="true" applyProtection="false">
      <alignment horizontal="center" vertical="center" textRotation="0" wrapText="true" indent="0" shrinkToFit="false"/>
      <protection locked="true" hidden="false"/>
    </xf>
    <xf numFmtId="164" fontId="105" fillId="0" borderId="94" xfId="55" applyFont="true" applyBorder="true" applyAlignment="true" applyProtection="false">
      <alignment horizontal="general" vertical="center" textRotation="0" wrapText="true" indent="0" shrinkToFit="false"/>
      <protection locked="true" hidden="false"/>
    </xf>
    <xf numFmtId="175" fontId="14" fillId="0" borderId="85" xfId="55" applyFont="true" applyBorder="true" applyAlignment="true" applyProtection="false">
      <alignment horizontal="right" vertical="center" textRotation="0" wrapText="true" indent="0" shrinkToFit="false"/>
      <protection locked="true" hidden="false"/>
    </xf>
    <xf numFmtId="164" fontId="14" fillId="0" borderId="89" xfId="55" applyFont="true" applyBorder="true" applyAlignment="true" applyProtection="false">
      <alignment horizontal="center" vertical="center" textRotation="0" wrapText="true" indent="0" shrinkToFit="false"/>
      <protection locked="true" hidden="false"/>
    </xf>
    <xf numFmtId="175" fontId="106" fillId="0" borderId="89" xfId="55" applyFont="true" applyBorder="true" applyAlignment="true" applyProtection="false">
      <alignment horizontal="left" vertical="center" textRotation="0" wrapText="true" indent="0" shrinkToFit="false"/>
      <protection locked="true" hidden="false"/>
    </xf>
    <xf numFmtId="164" fontId="105" fillId="0" borderId="83" xfId="55" applyFont="true" applyBorder="true" applyAlignment="true" applyProtection="false">
      <alignment horizontal="general" vertical="center" textRotation="0" wrapText="true" indent="0" shrinkToFit="false"/>
      <protection locked="true" hidden="false"/>
    </xf>
    <xf numFmtId="164" fontId="105" fillId="0" borderId="95" xfId="55" applyFont="true" applyBorder="true" applyAlignment="true" applyProtection="false">
      <alignment horizontal="general" vertical="center" textRotation="0" wrapText="true" indent="0" shrinkToFit="false"/>
      <protection locked="true" hidden="false"/>
    </xf>
    <xf numFmtId="171" fontId="106" fillId="0" borderId="83" xfId="55" applyFont="true" applyBorder="true" applyAlignment="true" applyProtection="false">
      <alignment horizontal="center" vertical="center" textRotation="0" wrapText="true" indent="0" shrinkToFit="false"/>
      <protection locked="true" hidden="false"/>
    </xf>
    <xf numFmtId="164" fontId="106" fillId="0" borderId="87" xfId="55" applyFont="true" applyBorder="true" applyAlignment="false" applyProtection="false">
      <alignment horizontal="general" vertical="center" textRotation="0" wrapText="false" indent="0" shrinkToFit="false"/>
      <protection locked="true" hidden="false"/>
    </xf>
    <xf numFmtId="164" fontId="14" fillId="0" borderId="87" xfId="55" applyFont="true" applyBorder="true" applyAlignment="true" applyProtection="false">
      <alignment horizontal="right" vertical="center" textRotation="0" wrapText="true" indent="0" shrinkToFit="false"/>
      <protection locked="true" hidden="false"/>
    </xf>
    <xf numFmtId="164" fontId="106" fillId="0" borderId="87" xfId="55" applyFont="true" applyBorder="true" applyAlignment="true" applyProtection="false">
      <alignment horizontal="center" vertical="center" textRotation="0" wrapText="true" indent="0" shrinkToFit="false"/>
      <protection locked="true" hidden="false"/>
    </xf>
    <xf numFmtId="164" fontId="14" fillId="0" borderId="87" xfId="55" applyFont="true" applyBorder="true" applyAlignment="true" applyProtection="false">
      <alignment horizontal="left" vertical="center" textRotation="0" wrapText="true" indent="0" shrinkToFit="false"/>
      <protection locked="true" hidden="false"/>
    </xf>
    <xf numFmtId="164" fontId="105" fillId="0" borderId="96" xfId="55" applyFont="true" applyBorder="true" applyAlignment="true" applyProtection="false">
      <alignment horizontal="distributed" vertical="center" textRotation="0" wrapText="true" indent="0" shrinkToFit="false"/>
      <protection locked="true" hidden="false"/>
    </xf>
    <xf numFmtId="164" fontId="105" fillId="0" borderId="96" xfId="55" applyFont="true" applyBorder="true" applyAlignment="true" applyProtection="false">
      <alignment horizontal="center" vertical="center" textRotation="0" wrapText="true" indent="0" shrinkToFit="false"/>
      <protection locked="true" hidden="false"/>
    </xf>
    <xf numFmtId="164" fontId="105" fillId="0" borderId="90" xfId="55" applyFont="true" applyBorder="true" applyAlignment="true" applyProtection="false">
      <alignment horizontal="general" vertical="center" textRotation="0" wrapText="true" indent="0" shrinkToFit="false"/>
      <protection locked="true" hidden="false"/>
    </xf>
    <xf numFmtId="164" fontId="105" fillId="0" borderId="97" xfId="55" applyFont="true" applyBorder="true" applyAlignment="true" applyProtection="false">
      <alignment horizontal="general" vertical="center" textRotation="0" wrapText="true" indent="0" shrinkToFit="false"/>
      <protection locked="true" hidden="false"/>
    </xf>
    <xf numFmtId="171" fontId="106" fillId="0" borderId="90" xfId="55" applyFont="true" applyBorder="true" applyAlignment="true" applyProtection="false">
      <alignment horizontal="center" vertical="center" textRotation="0" wrapText="true" indent="0" shrinkToFit="false"/>
      <protection locked="true" hidden="false"/>
    </xf>
    <xf numFmtId="164" fontId="106" fillId="0" borderId="33" xfId="55" applyFont="true" applyBorder="true" applyAlignment="false" applyProtection="false">
      <alignment horizontal="general" vertical="center" textRotation="0" wrapText="false" indent="0" shrinkToFit="false"/>
      <protection locked="true" hidden="false"/>
    </xf>
    <xf numFmtId="164" fontId="14" fillId="0" borderId="33" xfId="55" applyFont="true" applyBorder="true" applyAlignment="true" applyProtection="false">
      <alignment horizontal="right" vertical="center" textRotation="0" wrapText="true" indent="0" shrinkToFit="false"/>
      <protection locked="true" hidden="false"/>
    </xf>
    <xf numFmtId="164" fontId="106" fillId="0" borderId="33" xfId="55" applyFont="true" applyBorder="true" applyAlignment="true" applyProtection="false">
      <alignment horizontal="center" vertical="center" textRotation="0" wrapText="true" indent="0" shrinkToFit="false"/>
      <protection locked="true" hidden="false"/>
    </xf>
    <xf numFmtId="164" fontId="14" fillId="0" borderId="33" xfId="55" applyFont="true" applyBorder="true" applyAlignment="true" applyProtection="false">
      <alignment horizontal="left" vertical="center" textRotation="0" wrapText="true" indent="0" shrinkToFit="false"/>
      <protection locked="true" hidden="false"/>
    </xf>
    <xf numFmtId="164" fontId="98" fillId="0" borderId="97" xfId="55" applyFont="true" applyBorder="true" applyAlignment="true" applyProtection="false">
      <alignment horizontal="center" vertical="center" textRotation="0" wrapText="true" indent="0" shrinkToFit="false"/>
      <protection locked="true" hidden="false"/>
    </xf>
    <xf numFmtId="175" fontId="98" fillId="0" borderId="90" xfId="55" applyFont="true" applyBorder="true" applyAlignment="true" applyProtection="false">
      <alignment horizontal="right" vertical="center" textRotation="0" wrapText="true" indent="0" shrinkToFit="false"/>
      <protection locked="true" hidden="false"/>
    </xf>
    <xf numFmtId="175" fontId="98" fillId="0" borderId="33" xfId="55" applyFont="true" applyBorder="true" applyAlignment="true" applyProtection="false">
      <alignment horizontal="center" vertical="center" textRotation="0" wrapText="true" indent="0" shrinkToFit="false"/>
      <protection locked="true" hidden="false"/>
    </xf>
    <xf numFmtId="175" fontId="98" fillId="0" borderId="33" xfId="55" applyFont="true" applyBorder="true" applyAlignment="true" applyProtection="false">
      <alignment horizontal="left" vertical="center" textRotation="0" wrapText="true" indent="0" shrinkToFit="false"/>
      <protection locked="true" hidden="false"/>
    </xf>
    <xf numFmtId="175" fontId="98" fillId="0" borderId="33" xfId="55" applyFont="true" applyBorder="true" applyAlignment="true" applyProtection="false">
      <alignment horizontal="right" vertical="center" textRotation="0" wrapText="true" indent="0" shrinkToFit="false"/>
      <protection locked="true" hidden="false"/>
    </xf>
    <xf numFmtId="164" fontId="98" fillId="0" borderId="33" xfId="55" applyFont="true" applyBorder="true" applyAlignment="true" applyProtection="false">
      <alignment horizontal="center" vertical="center" textRotation="0" wrapText="true" indent="0" shrinkToFit="false"/>
      <protection locked="true" hidden="false"/>
    </xf>
    <xf numFmtId="164" fontId="98" fillId="0" borderId="33" xfId="55" applyFont="true" applyBorder="true" applyAlignment="true" applyProtection="false">
      <alignment horizontal="left" vertical="center" textRotation="0" wrapText="true" indent="0" shrinkToFit="false"/>
      <protection locked="true" hidden="false"/>
    </xf>
    <xf numFmtId="175" fontId="98" fillId="0" borderId="0" xfId="55" applyFont="true" applyBorder="true" applyAlignment="true" applyProtection="false">
      <alignment horizontal="general" vertical="center" textRotation="0" wrapText="true" indent="0" shrinkToFit="false"/>
      <protection locked="true" hidden="false"/>
    </xf>
    <xf numFmtId="175" fontId="98" fillId="0" borderId="33" xfId="55" applyFont="true" applyBorder="true" applyAlignment="true" applyProtection="false">
      <alignment horizontal="general" vertical="center" textRotation="0" wrapText="true" indent="0" shrinkToFit="false"/>
      <protection locked="true" hidden="false"/>
    </xf>
    <xf numFmtId="164" fontId="104" fillId="0" borderId="0" xfId="55" applyFont="true" applyBorder="true" applyAlignment="true" applyProtection="false">
      <alignment horizontal="justify" vertical="center" textRotation="0" wrapText="true" indent="0" shrinkToFit="false"/>
      <protection locked="true" hidden="false"/>
    </xf>
    <xf numFmtId="164" fontId="104" fillId="0" borderId="0" xfId="55" applyFont="true" applyBorder="false" applyAlignment="true" applyProtection="false">
      <alignment horizontal="justify" vertical="center" textRotation="0" wrapText="true" indent="0" shrinkToFit="false"/>
      <protection locked="true" hidden="false"/>
    </xf>
    <xf numFmtId="164" fontId="98" fillId="0" borderId="0" xfId="55" applyFont="true" applyBorder="true" applyAlignment="true" applyProtection="false">
      <alignment horizontal="left" vertical="center" textRotation="0" wrapText="true" indent="0" shrinkToFit="false"/>
      <protection locked="true" hidden="false"/>
    </xf>
    <xf numFmtId="164" fontId="104" fillId="0" borderId="0" xfId="55" applyFont="true" applyBorder="false" applyAlignment="true" applyProtection="false">
      <alignment horizontal="general" vertical="center" textRotation="0" wrapText="true" indent="0" shrinkToFit="false"/>
      <protection locked="true" hidden="false"/>
    </xf>
    <xf numFmtId="175" fontId="104" fillId="0" borderId="0" xfId="55" applyFont="true" applyBorder="false" applyAlignment="true" applyProtection="false">
      <alignment horizontal="general" vertical="center" textRotation="0" wrapText="true" indent="0" shrinkToFit="false"/>
      <protection locked="true" hidden="false"/>
    </xf>
    <xf numFmtId="175" fontId="104" fillId="0" borderId="0" xfId="55" applyFont="true" applyBorder="true" applyAlignment="true" applyProtection="false">
      <alignment horizontal="distributed" vertical="center" textRotation="0" wrapText="true" indent="3" shrinkToFit="false"/>
      <protection locked="true" hidden="false"/>
    </xf>
    <xf numFmtId="164" fontId="98" fillId="0" borderId="0" xfId="55" applyFont="true" applyBorder="true" applyAlignment="true" applyProtection="false">
      <alignment horizontal="distributed" vertical="center" textRotation="0" wrapText="true" indent="2" shrinkToFit="false"/>
      <protection locked="true" hidden="false"/>
    </xf>
    <xf numFmtId="164" fontId="100" fillId="0" borderId="0" xfId="55" applyFont="true" applyBorder="true" applyAlignment="true" applyProtection="false">
      <alignment horizontal="center" vertical="center" textRotation="0" wrapText="true" indent="0" shrinkToFit="false"/>
      <protection locked="true" hidden="false"/>
    </xf>
    <xf numFmtId="164" fontId="100" fillId="0" borderId="0" xfId="55" applyFont="true" applyBorder="false" applyAlignment="true" applyProtection="false">
      <alignment horizontal="general" vertical="center" textRotation="0" wrapText="true" indent="0" shrinkToFit="false"/>
      <protection locked="true" hidden="false"/>
    </xf>
    <xf numFmtId="164" fontId="104" fillId="0" borderId="0" xfId="55" applyFont="true" applyBorder="true" applyAlignment="true" applyProtection="false">
      <alignment horizontal="general" vertical="center" textRotation="0" wrapText="true" indent="0" shrinkToFit="false"/>
      <protection locked="true" hidden="false"/>
    </xf>
    <xf numFmtId="164" fontId="94" fillId="0" borderId="0" xfId="55" applyFont="true" applyBorder="false" applyAlignment="true" applyProtection="false">
      <alignment horizontal="distributed" vertical="center" textRotation="0" wrapText="true" indent="1" shrinkToFit="false"/>
      <protection locked="true" hidden="false"/>
    </xf>
    <xf numFmtId="164" fontId="94" fillId="0" borderId="0" xfId="55" applyFont="true" applyBorder="true" applyAlignment="true" applyProtection="false">
      <alignment horizontal="left" vertical="center" textRotation="0" wrapText="true" indent="0" shrinkToFit="false"/>
      <protection locked="true" hidden="false"/>
    </xf>
    <xf numFmtId="164" fontId="94" fillId="0" borderId="0" xfId="55" applyFont="true" applyBorder="false" applyAlignment="true" applyProtection="false">
      <alignment horizontal="general" vertical="center" textRotation="0" wrapText="true" indent="0" shrinkToFit="false"/>
      <protection locked="true" hidden="false"/>
    </xf>
    <xf numFmtId="164" fontId="94" fillId="0" borderId="0" xfId="55" applyFont="true" applyBorder="false" applyAlignment="true" applyProtection="false">
      <alignment horizontal="justify" vertical="center" textRotation="0" wrapText="true" indent="0" shrinkToFit="false"/>
      <protection locked="true" hidden="false"/>
    </xf>
    <xf numFmtId="164" fontId="104" fillId="0" borderId="87" xfId="55" applyFont="true" applyBorder="true" applyAlignment="true" applyProtection="false">
      <alignment horizontal="general" vertical="center" textRotation="0" wrapText="true" indent="0" shrinkToFit="false"/>
      <protection locked="true" hidden="false"/>
    </xf>
    <xf numFmtId="164" fontId="98" fillId="4" borderId="98" xfId="55" applyFont="true" applyBorder="true" applyAlignment="true" applyProtection="false">
      <alignment horizontal="distributed" vertical="center" textRotation="0" wrapText="true" indent="14" shrinkToFit="false"/>
      <protection locked="true" hidden="false"/>
    </xf>
    <xf numFmtId="164" fontId="107" fillId="0" borderId="93" xfId="55" applyFont="true" applyBorder="true" applyAlignment="true" applyProtection="false">
      <alignment horizontal="center" vertical="center" textRotation="0" wrapText="true" indent="0" shrinkToFit="false"/>
      <protection locked="true" hidden="false"/>
    </xf>
    <xf numFmtId="164" fontId="107" fillId="0" borderId="85" xfId="55" applyFont="true" applyBorder="true" applyAlignment="true" applyProtection="false">
      <alignment horizontal="distributed" vertical="center" textRotation="0" wrapText="true" indent="0" shrinkToFit="false"/>
      <protection locked="true" hidden="false"/>
    </xf>
    <xf numFmtId="164" fontId="107" fillId="0" borderId="86" xfId="55" applyFont="true" applyBorder="true" applyAlignment="true" applyProtection="false">
      <alignment horizontal="left" vertical="center" textRotation="0" wrapText="true" indent="1" shrinkToFit="false"/>
      <protection locked="true" hidden="false"/>
    </xf>
    <xf numFmtId="164" fontId="107" fillId="0" borderId="86" xfId="55" applyFont="true" applyBorder="true" applyAlignment="true" applyProtection="false">
      <alignment horizontal="left" vertical="center" textRotation="0" wrapText="true" indent="0" shrinkToFit="false"/>
      <protection locked="true" hidden="false"/>
    </xf>
    <xf numFmtId="164" fontId="107" fillId="0" borderId="0" xfId="55" applyFont="true" applyBorder="false" applyAlignment="true" applyProtection="false">
      <alignment horizontal="left" vertical="center" textRotation="0" wrapText="true" indent="0" shrinkToFit="false"/>
      <protection locked="true" hidden="false"/>
    </xf>
    <xf numFmtId="164" fontId="107" fillId="0" borderId="86" xfId="55" applyFont="true" applyBorder="true" applyAlignment="true" applyProtection="false">
      <alignment horizontal="distributed" vertical="center" textRotation="0" wrapText="true" indent="0" shrinkToFit="false"/>
      <protection locked="true" hidden="false"/>
    </xf>
    <xf numFmtId="164" fontId="107" fillId="0" borderId="83" xfId="55" applyFont="true" applyBorder="true" applyAlignment="true" applyProtection="false">
      <alignment horizontal="left" vertical="center" textRotation="0" wrapText="true" indent="1" shrinkToFit="false"/>
      <protection locked="true" hidden="false"/>
    </xf>
    <xf numFmtId="164" fontId="102" fillId="0" borderId="89" xfId="55" applyFont="true" applyBorder="true" applyAlignment="true" applyProtection="false">
      <alignment horizontal="general" vertical="bottom" textRotation="0" wrapText="true" indent="0" shrinkToFit="false"/>
      <protection locked="true" hidden="false"/>
    </xf>
    <xf numFmtId="164" fontId="102" fillId="0" borderId="89" xfId="55" applyFont="true" applyBorder="true" applyAlignment="true" applyProtection="false">
      <alignment horizontal="right" vertical="bottom" textRotation="0" wrapText="true" indent="0" shrinkToFit="false"/>
      <protection locked="true" hidden="false"/>
    </xf>
    <xf numFmtId="164" fontId="97" fillId="0" borderId="0" xfId="55" applyFont="true" applyBorder="false" applyAlignment="true" applyProtection="false">
      <alignment horizontal="justify" vertical="center" textRotation="0" wrapText="false" indent="0" shrinkToFit="false"/>
      <protection locked="true" hidden="false"/>
    </xf>
    <xf numFmtId="164" fontId="98" fillId="0" borderId="83" xfId="55" applyFont="true" applyBorder="true" applyAlignment="true" applyProtection="false">
      <alignment horizontal="left" vertical="top" textRotation="0" wrapText="true" indent="0" shrinkToFit="false"/>
      <protection locked="true" hidden="false"/>
    </xf>
    <xf numFmtId="164" fontId="95" fillId="0" borderId="86" xfId="55" applyFont="true" applyBorder="true" applyAlignment="true" applyProtection="false">
      <alignment horizontal="general" vertical="top" textRotation="0" wrapText="true" indent="0" shrinkToFit="false"/>
      <protection locked="true" hidden="false"/>
    </xf>
    <xf numFmtId="164" fontId="95" fillId="0" borderId="0" xfId="55" applyFont="true" applyBorder="true" applyAlignment="true" applyProtection="false">
      <alignment horizontal="left" vertical="top" textRotation="0" wrapText="true" indent="0" shrinkToFit="false"/>
      <protection locked="true" hidden="false"/>
    </xf>
    <xf numFmtId="164" fontId="95" fillId="0" borderId="0" xfId="55" applyFont="true" applyBorder="false" applyAlignment="true" applyProtection="false">
      <alignment horizontal="general" vertical="top" textRotation="0" wrapText="true" indent="0" shrinkToFit="false"/>
      <protection locked="true" hidden="false"/>
    </xf>
    <xf numFmtId="164" fontId="95" fillId="0" borderId="0" xfId="55" applyFont="true" applyBorder="true" applyAlignment="true" applyProtection="false">
      <alignment horizontal="center" vertical="top" textRotation="0" wrapText="true" indent="0" shrinkToFit="false"/>
      <protection locked="true" hidden="false"/>
    </xf>
    <xf numFmtId="164" fontId="95" fillId="0" borderId="88" xfId="55" applyFont="true" applyBorder="true" applyAlignment="true" applyProtection="false">
      <alignment horizontal="general" vertical="top" textRotation="0" wrapText="true" indent="0" shrinkToFit="false"/>
      <protection locked="true" hidden="false"/>
    </xf>
    <xf numFmtId="164" fontId="95" fillId="0" borderId="86" xfId="55" applyFont="true" applyBorder="true" applyAlignment="true" applyProtection="false">
      <alignment horizontal="justify" vertical="top" textRotation="0" wrapText="true" indent="0" shrinkToFit="false"/>
      <protection locked="true" hidden="false"/>
    </xf>
    <xf numFmtId="164" fontId="110" fillId="0" borderId="82" xfId="55" applyFont="true" applyBorder="true" applyAlignment="true" applyProtection="false">
      <alignment horizontal="general" vertical="top" textRotation="0" wrapText="true" indent="0" shrinkToFit="false"/>
      <protection locked="true" hidden="false"/>
    </xf>
    <xf numFmtId="164" fontId="95" fillId="0" borderId="83" xfId="55" applyFont="true" applyBorder="true" applyAlignment="true" applyProtection="false">
      <alignment horizontal="general" vertical="top" textRotation="0" wrapText="true" indent="0" shrinkToFit="false"/>
      <protection locked="true" hidden="false"/>
    </xf>
    <xf numFmtId="164" fontId="95" fillId="0" borderId="87" xfId="55" applyFont="true" applyBorder="true" applyAlignment="true" applyProtection="false">
      <alignment horizontal="left" vertical="top" textRotation="0" wrapText="true" indent="0" shrinkToFit="false"/>
      <protection locked="true" hidden="false"/>
    </xf>
    <xf numFmtId="164" fontId="98" fillId="0" borderId="85" xfId="55" applyFont="true" applyBorder="true" applyAlignment="true" applyProtection="false">
      <alignment horizontal="general" vertical="top" textRotation="0" wrapText="true" indent="0" shrinkToFit="false"/>
      <protection locked="true" hidden="false"/>
    </xf>
    <xf numFmtId="164" fontId="98" fillId="0" borderId="37" xfId="55" applyFont="true" applyBorder="true" applyAlignment="true" applyProtection="false">
      <alignment horizontal="general" vertical="top" textRotation="0" wrapText="true" indent="0" shrinkToFit="false"/>
      <protection locked="true" hidden="false"/>
    </xf>
    <xf numFmtId="164" fontId="98" fillId="0" borderId="99" xfId="55" applyFont="true" applyBorder="true" applyAlignment="true" applyProtection="false">
      <alignment horizontal="general" vertical="top" textRotation="0" wrapText="true" indent="0" shrinkToFit="false"/>
      <protection locked="true" hidden="false"/>
    </xf>
    <xf numFmtId="164" fontId="98" fillId="0" borderId="82" xfId="55" applyFont="true" applyBorder="true" applyAlignment="true" applyProtection="false">
      <alignment horizontal="left" vertical="top" textRotation="0" wrapText="true" indent="0" shrinkToFit="false"/>
      <protection locked="true" hidden="false"/>
    </xf>
    <xf numFmtId="164" fontId="98" fillId="0" borderId="85" xfId="55" applyFont="true" applyBorder="true" applyAlignment="true" applyProtection="false">
      <alignment horizontal="justify" vertical="top" textRotation="0" wrapText="true" indent="0" shrinkToFit="false"/>
      <protection locked="true" hidden="false"/>
    </xf>
    <xf numFmtId="164" fontId="98" fillId="0" borderId="0" xfId="55" applyFont="true" applyBorder="false" applyAlignment="true" applyProtection="false">
      <alignment horizontal="justify" vertical="top" textRotation="0" wrapText="true" indent="0" shrinkToFit="false"/>
      <protection locked="true" hidden="false"/>
    </xf>
    <xf numFmtId="164" fontId="95" fillId="0" borderId="87" xfId="55" applyFont="true" applyBorder="true" applyAlignment="true" applyProtection="false">
      <alignment horizontal="center" vertical="top" textRotation="0" wrapText="true" indent="0" shrinkToFit="false"/>
      <protection locked="true" hidden="false"/>
    </xf>
    <xf numFmtId="164" fontId="98" fillId="0" borderId="0" xfId="55" applyFont="true" applyBorder="false" applyAlignment="true" applyProtection="false">
      <alignment horizontal="general" vertical="top" textRotation="0" wrapText="true" indent="0" shrinkToFit="false"/>
      <protection locked="true" hidden="false"/>
    </xf>
    <xf numFmtId="164" fontId="98" fillId="0" borderId="89" xfId="55" applyFont="true" applyBorder="true" applyAlignment="true" applyProtection="false">
      <alignment horizontal="justify" vertical="top" textRotation="0" wrapText="true" indent="0" shrinkToFit="false"/>
      <protection locked="true" hidden="false"/>
    </xf>
    <xf numFmtId="164" fontId="104" fillId="0" borderId="84" xfId="55" applyFont="true" applyBorder="true" applyAlignment="true" applyProtection="false">
      <alignment horizontal="justify" vertical="center" textRotation="0" wrapText="true" indent="0" shrinkToFit="false"/>
      <protection locked="true" hidden="false"/>
    </xf>
    <xf numFmtId="164" fontId="104" fillId="0" borderId="85" xfId="55" applyFont="true" applyBorder="true" applyAlignment="true" applyProtection="false">
      <alignment horizontal="center" vertical="center" textRotation="0" wrapText="true" indent="0" shrinkToFit="false"/>
      <protection locked="true" hidden="false"/>
    </xf>
    <xf numFmtId="164" fontId="111" fillId="0" borderId="100" xfId="55" applyFont="true" applyBorder="true" applyAlignment="true" applyProtection="false">
      <alignment horizontal="center" vertical="center" textRotation="0" wrapText="true" indent="0" shrinkToFit="false"/>
      <protection locked="true" hidden="false"/>
    </xf>
    <xf numFmtId="189" fontId="112" fillId="0" borderId="86" xfId="55" applyFont="true" applyBorder="true" applyAlignment="true" applyProtection="false">
      <alignment horizontal="center" vertical="center" textRotation="0" wrapText="true" indent="0" shrinkToFit="false"/>
      <protection locked="true" hidden="false"/>
    </xf>
    <xf numFmtId="164" fontId="104" fillId="0" borderId="100" xfId="55" applyFont="true" applyBorder="true" applyAlignment="true" applyProtection="false">
      <alignment horizontal="justify" vertical="center" textRotation="0" wrapText="true" indent="0" shrinkToFit="false"/>
      <protection locked="true" hidden="false"/>
    </xf>
    <xf numFmtId="164" fontId="104" fillId="0" borderId="86" xfId="55" applyFont="true" applyBorder="true" applyAlignment="true" applyProtection="false">
      <alignment horizontal="center" vertical="center" textRotation="0" wrapText="true" indent="0" shrinkToFit="false"/>
      <protection locked="true" hidden="false"/>
    </xf>
    <xf numFmtId="164" fontId="104" fillId="0" borderId="101" xfId="55" applyFont="true" applyBorder="true" applyAlignment="true" applyProtection="false">
      <alignment horizontal="justify" vertical="center" textRotation="0" wrapText="true" indent="0" shrinkToFit="false"/>
      <protection locked="true" hidden="false"/>
    </xf>
    <xf numFmtId="164" fontId="104" fillId="0" borderId="83" xfId="55" applyFont="true" applyBorder="true" applyAlignment="true" applyProtection="false">
      <alignment horizontal="center" vertical="center" textRotation="0" wrapText="true" indent="0" shrinkToFit="false"/>
      <protection locked="true" hidden="false"/>
    </xf>
    <xf numFmtId="164" fontId="104" fillId="0" borderId="37" xfId="55" applyFont="true" applyBorder="true" applyAlignment="true" applyProtection="false">
      <alignment horizontal="justify" vertical="center" textRotation="0" wrapText="true" indent="0" shrinkToFit="false"/>
      <protection locked="true" hidden="false"/>
    </xf>
    <xf numFmtId="164" fontId="113" fillId="0" borderId="102" xfId="55" applyFont="true" applyBorder="true" applyAlignment="true" applyProtection="false">
      <alignment horizontal="center" vertical="center" textRotation="0" wrapText="true" indent="0" shrinkToFit="false"/>
      <protection locked="true" hidden="false"/>
    </xf>
    <xf numFmtId="164" fontId="113" fillId="0" borderId="85" xfId="55" applyFont="true" applyBorder="true" applyAlignment="true" applyProtection="false">
      <alignment horizontal="general" vertical="bottom" textRotation="0" wrapText="true" indent="0" shrinkToFit="false"/>
      <protection locked="true" hidden="false"/>
    </xf>
    <xf numFmtId="164" fontId="113" fillId="0" borderId="103" xfId="55" applyFont="true" applyBorder="true" applyAlignment="true" applyProtection="false">
      <alignment horizontal="general" vertical="center" textRotation="0" wrapText="true" indent="0" shrinkToFit="false"/>
      <protection locked="true" hidden="false"/>
    </xf>
    <xf numFmtId="164" fontId="107" fillId="0" borderId="85" xfId="55" applyFont="true" applyBorder="true" applyAlignment="true" applyProtection="false">
      <alignment horizontal="left" vertical="center" textRotation="0" wrapText="true" indent="0" shrinkToFit="false"/>
      <protection locked="true" hidden="false"/>
    </xf>
    <xf numFmtId="164" fontId="107" fillId="0" borderId="83" xfId="55" applyFont="true" applyBorder="true" applyAlignment="true" applyProtection="false">
      <alignment horizontal="left" vertical="center" textRotation="0" wrapText="true" indent="0" shrinkToFit="false"/>
      <protection locked="true" hidden="false"/>
    </xf>
    <xf numFmtId="164" fontId="114" fillId="0" borderId="0" xfId="55" applyFont="true" applyBorder="false" applyAlignment="false" applyProtection="false">
      <alignment horizontal="general" vertical="center" textRotation="0" wrapText="false" indent="0" shrinkToFit="false"/>
      <protection locked="true" hidden="false"/>
    </xf>
    <xf numFmtId="164" fontId="115" fillId="0" borderId="0" xfId="55" applyFont="true" applyBorder="true" applyAlignment="true" applyProtection="false">
      <alignment horizontal="center" vertical="center" textRotation="0" wrapText="false" indent="0" shrinkToFit="false"/>
      <protection locked="true" hidden="false"/>
    </xf>
    <xf numFmtId="164" fontId="41" fillId="0" borderId="0" xfId="55" applyFont="true" applyBorder="true" applyAlignment="true" applyProtection="false">
      <alignment horizontal="center" vertical="center" textRotation="0" wrapText="false" indent="0" shrinkToFit="false"/>
      <protection locked="true" hidden="false"/>
    </xf>
    <xf numFmtId="164" fontId="46" fillId="0" borderId="0" xfId="55" applyFont="true" applyBorder="true" applyAlignment="true" applyProtection="false">
      <alignment horizontal="center" vertical="center" textRotation="0" wrapText="false" indent="0" shrinkToFit="false"/>
      <protection locked="true" hidden="false"/>
    </xf>
    <xf numFmtId="164" fontId="41" fillId="0" borderId="0" xfId="55" applyFont="true" applyBorder="true" applyAlignment="true" applyProtection="false">
      <alignment horizontal="distributed" vertical="center" textRotation="0" wrapText="false" indent="0" shrinkToFit="false"/>
      <protection locked="true" hidden="false"/>
    </xf>
    <xf numFmtId="164" fontId="41" fillId="0" borderId="0" xfId="55" applyFont="true" applyBorder="true" applyAlignment="true" applyProtection="false">
      <alignment horizontal="left" vertical="center" textRotation="0" wrapText="false" indent="0" shrinkToFit="false"/>
      <protection locked="true" hidden="false"/>
    </xf>
    <xf numFmtId="164" fontId="41" fillId="0" borderId="33" xfId="55" applyFont="true" applyBorder="true" applyAlignment="true" applyProtection="false">
      <alignment horizontal="center" vertical="center" textRotation="0" wrapText="false" indent="0" shrinkToFit="false"/>
      <protection locked="true" hidden="false"/>
    </xf>
    <xf numFmtId="164" fontId="41" fillId="0" borderId="104" xfId="55" applyFont="true" applyBorder="true" applyAlignment="true" applyProtection="false">
      <alignment horizontal="center" vertical="center" textRotation="0" wrapText="false" indent="0" shrinkToFit="false"/>
      <protection locked="true" hidden="false"/>
    </xf>
    <xf numFmtId="164" fontId="41" fillId="0" borderId="17" xfId="55" applyFont="true" applyBorder="true" applyAlignment="true" applyProtection="false">
      <alignment horizontal="right" vertical="center" textRotation="0" wrapText="false" indent="0" shrinkToFit="false"/>
      <protection locked="true" hidden="false"/>
    </xf>
    <xf numFmtId="164" fontId="41" fillId="0" borderId="18" xfId="55" applyFont="true" applyBorder="true" applyAlignment="true" applyProtection="false">
      <alignment horizontal="distributed" vertical="center" textRotation="0" wrapText="false" indent="0" shrinkToFit="false"/>
      <protection locked="true" hidden="false"/>
    </xf>
    <xf numFmtId="164" fontId="41" fillId="0" borderId="105" xfId="55" applyFont="true" applyBorder="true" applyAlignment="true" applyProtection="false">
      <alignment horizontal="left" vertical="center" textRotation="0" wrapText="false" indent="0" shrinkToFit="false"/>
      <protection locked="true" hidden="false"/>
    </xf>
    <xf numFmtId="164" fontId="41" fillId="0" borderId="8" xfId="55" applyFont="true" applyBorder="true" applyAlignment="true" applyProtection="false">
      <alignment horizontal="right" vertical="center" textRotation="0" wrapText="false" indent="0" shrinkToFit="false"/>
      <protection locked="true" hidden="false"/>
    </xf>
    <xf numFmtId="164" fontId="41" fillId="0" borderId="10" xfId="55" applyFont="true" applyBorder="true" applyAlignment="true" applyProtection="false">
      <alignment horizontal="distributed" vertical="center" textRotation="0" wrapText="false" indent="0" shrinkToFit="false"/>
      <protection locked="true" hidden="false"/>
    </xf>
    <xf numFmtId="164" fontId="46" fillId="0" borderId="12" xfId="55" applyFont="true" applyBorder="true" applyAlignment="true" applyProtection="false">
      <alignment horizontal="left" vertical="center" textRotation="0" wrapText="false" indent="0" shrinkToFit="true"/>
      <protection locked="true" hidden="false"/>
    </xf>
    <xf numFmtId="164" fontId="46" fillId="0" borderId="12" xfId="55" applyFont="true" applyBorder="true" applyAlignment="true" applyProtection="false">
      <alignment horizontal="left" vertical="center" textRotation="0" wrapText="true" indent="0" shrinkToFit="false"/>
      <protection locked="true" hidden="false"/>
    </xf>
    <xf numFmtId="188" fontId="41" fillId="0" borderId="8" xfId="55" applyFont="true" applyBorder="true" applyAlignment="true" applyProtection="false">
      <alignment horizontal="center" vertical="center" textRotation="0" wrapText="false" indent="0" shrinkToFit="false"/>
      <protection locked="true" hidden="false"/>
    </xf>
    <xf numFmtId="164" fontId="41" fillId="0" borderId="28" xfId="55" applyFont="true" applyBorder="true" applyAlignment="true" applyProtection="false">
      <alignment horizontal="center" vertical="center" textRotation="0" wrapText="false" indent="0" shrinkToFit="false"/>
      <protection locked="true" hidden="false"/>
    </xf>
    <xf numFmtId="188" fontId="41" fillId="0" borderId="28" xfId="55" applyFont="true" applyBorder="true" applyAlignment="true" applyProtection="false">
      <alignment horizontal="center" vertical="center" textRotation="0" wrapText="false" indent="0" shrinkToFit="false"/>
      <protection locked="true" hidden="false"/>
    </xf>
    <xf numFmtId="188" fontId="46" fillId="0" borderId="28" xfId="55" applyFont="true" applyBorder="true" applyAlignment="true" applyProtection="false">
      <alignment horizontal="center" vertical="center" textRotation="0" wrapText="false" indent="0" shrinkToFit="false"/>
      <protection locked="true" hidden="false"/>
    </xf>
    <xf numFmtId="164" fontId="46" fillId="0" borderId="106" xfId="55" applyFont="true" applyBorder="true" applyAlignment="true" applyProtection="false">
      <alignment horizontal="general" vertical="center" textRotation="0" wrapText="false" indent="0" shrinkToFit="false"/>
      <protection locked="true" hidden="false"/>
    </xf>
    <xf numFmtId="190" fontId="41" fillId="0" borderId="8" xfId="55" applyFont="true" applyBorder="true" applyAlignment="true" applyProtection="false">
      <alignment horizontal="right" vertical="center" textRotation="0" wrapText="false" indent="0" shrinkToFit="false"/>
      <protection locked="true" hidden="false"/>
    </xf>
    <xf numFmtId="191" fontId="41" fillId="0" borderId="28" xfId="55" applyFont="true" applyBorder="true" applyAlignment="true" applyProtection="false">
      <alignment horizontal="right" vertical="center" textRotation="0" wrapText="false" indent="0" shrinkToFit="false"/>
      <protection locked="true" hidden="false"/>
    </xf>
    <xf numFmtId="164" fontId="41" fillId="0" borderId="28" xfId="55" applyFont="true" applyBorder="true" applyAlignment="true" applyProtection="false">
      <alignment horizontal="general" vertical="center" textRotation="0" wrapText="false" indent="0" shrinkToFit="false"/>
      <protection locked="true" hidden="false"/>
    </xf>
    <xf numFmtId="191" fontId="41" fillId="0" borderId="28" xfId="55" applyFont="true" applyBorder="true" applyAlignment="true" applyProtection="false">
      <alignment horizontal="general" vertical="center" textRotation="0" wrapText="false" indent="0" shrinkToFit="false"/>
      <protection locked="true" hidden="false"/>
    </xf>
    <xf numFmtId="164" fontId="41" fillId="0" borderId="107" xfId="55" applyFont="true" applyBorder="true" applyAlignment="true" applyProtection="false">
      <alignment horizontal="general" vertical="center" textRotation="0" wrapText="false" indent="0" shrinkToFit="false"/>
      <protection locked="true" hidden="false"/>
    </xf>
    <xf numFmtId="164" fontId="116" fillId="0" borderId="0" xfId="56" applyFont="true" applyBorder="false" applyAlignment="false" applyProtection="false">
      <alignment horizontal="general" vertical="center" textRotation="0" wrapText="false" indent="0" shrinkToFit="false"/>
      <protection locked="true" hidden="false"/>
    </xf>
    <xf numFmtId="164" fontId="41" fillId="0" borderId="106" xfId="55" applyFont="true" applyBorder="true" applyAlignment="true" applyProtection="false">
      <alignment horizontal="general" vertical="center" textRotation="0" wrapText="false" indent="0" shrinkToFit="false"/>
      <protection locked="true" hidden="false"/>
    </xf>
    <xf numFmtId="164" fontId="41" fillId="0" borderId="24" xfId="55" applyFont="true" applyBorder="true" applyAlignment="true" applyProtection="false">
      <alignment horizontal="right" vertical="center" textRotation="0" wrapText="false" indent="0" shrinkToFit="false"/>
      <protection locked="true" hidden="false"/>
    </xf>
    <xf numFmtId="164" fontId="41" fillId="0" borderId="25" xfId="55" applyFont="true" applyBorder="true" applyAlignment="true" applyProtection="false">
      <alignment horizontal="general" vertical="center" textRotation="0" wrapText="false" indent="0" shrinkToFit="false"/>
      <protection locked="true" hidden="false"/>
    </xf>
    <xf numFmtId="191" fontId="41" fillId="0" borderId="25" xfId="55" applyFont="true" applyBorder="true" applyAlignment="true" applyProtection="false">
      <alignment horizontal="general" vertical="center" textRotation="0" wrapText="false" indent="0" shrinkToFit="false"/>
      <protection locked="true" hidden="false"/>
    </xf>
    <xf numFmtId="164" fontId="41" fillId="0" borderId="20" xfId="55" applyFont="true" applyBorder="true" applyAlignment="true" applyProtection="false">
      <alignment horizontal="general" vertical="center" textRotation="0" wrapText="false" indent="0" shrinkToFit="false"/>
      <protection locked="true" hidden="false"/>
    </xf>
    <xf numFmtId="164" fontId="41" fillId="0" borderId="27" xfId="55" applyFont="true" applyBorder="true" applyAlignment="true" applyProtection="false">
      <alignment horizontal="center" vertical="center" textRotation="0" wrapText="false" indent="0" shrinkToFit="false"/>
      <protection locked="true" hidden="false"/>
    </xf>
    <xf numFmtId="164" fontId="41" fillId="0" borderId="108" xfId="55" applyFont="true" applyBorder="true" applyAlignment="true" applyProtection="false">
      <alignment horizontal="general" vertical="center" textRotation="0" wrapText="false" indent="0" shrinkToFit="false"/>
      <protection locked="true" hidden="false"/>
    </xf>
    <xf numFmtId="164" fontId="41" fillId="0" borderId="13" xfId="55" applyFont="true" applyBorder="true" applyAlignment="true" applyProtection="false">
      <alignment horizontal="center" vertical="center" textRotation="0" wrapText="false" indent="0" shrinkToFit="false"/>
      <protection locked="true" hidden="false"/>
    </xf>
    <xf numFmtId="164" fontId="41" fillId="0" borderId="14" xfId="55" applyFont="true" applyBorder="true" applyAlignment="true" applyProtection="false">
      <alignment horizontal="left" vertical="center" textRotation="0" wrapText="false" indent="0" shrinkToFit="false"/>
      <protection locked="true" hidden="false"/>
    </xf>
    <xf numFmtId="164" fontId="41" fillId="0" borderId="0" xfId="55" applyFont="true" applyBorder="false" applyAlignment="false" applyProtection="false">
      <alignment horizontal="general" vertical="center" textRotation="0" wrapText="false" indent="0" shrinkToFit="false"/>
      <protection locked="true" hidden="false"/>
    </xf>
    <xf numFmtId="164" fontId="41" fillId="0" borderId="0" xfId="55" applyFont="true" applyBorder="false" applyAlignment="true" applyProtection="false">
      <alignment horizontal="center" vertical="center" textRotation="0" wrapText="false" indent="0" shrinkToFit="false"/>
      <protection locked="true" hidden="false"/>
    </xf>
    <xf numFmtId="175" fontId="41" fillId="0" borderId="0" xfId="55" applyFont="true" applyBorder="true" applyAlignment="true" applyProtection="false">
      <alignment horizontal="center" vertical="center" textRotation="0" wrapText="false" indent="0" shrinkToFit="false"/>
      <protection locked="true" hidden="false"/>
    </xf>
    <xf numFmtId="164" fontId="41" fillId="0" borderId="0" xfId="55" applyFont="true" applyBorder="false" applyAlignment="true" applyProtection="false">
      <alignment horizontal="left" vertical="center" textRotation="0" wrapText="false" indent="0" shrinkToFit="false"/>
      <protection locked="true" hidden="false"/>
    </xf>
    <xf numFmtId="164" fontId="41" fillId="0" borderId="0" xfId="55" applyFont="true" applyBorder="false" applyAlignment="true" applyProtection="false">
      <alignment horizontal="right" vertical="center" textRotation="0" wrapText="false" indent="0" shrinkToFit="false"/>
      <protection locked="true" hidden="false"/>
    </xf>
    <xf numFmtId="164" fontId="46" fillId="0" borderId="0" xfId="55" applyFont="true" applyBorder="true" applyAlignment="false" applyProtection="false">
      <alignment horizontal="general" vertical="center" textRotation="0" wrapText="false" indent="0" shrinkToFit="false"/>
      <protection locked="true" hidden="false"/>
    </xf>
    <xf numFmtId="192" fontId="117" fillId="9" borderId="109" xfId="57" applyFont="false" applyBorder="false" applyAlignment="false" applyProtection="false">
      <alignment horizontal="general" vertical="bottom" textRotation="0" wrapText="false" indent="0" shrinkToFit="false"/>
      <protection locked="true" hidden="false"/>
    </xf>
    <xf numFmtId="198" fontId="128" fillId="9" borderId="109" xfId="57" applyFont="true" applyBorder="false" applyAlignment="true" applyProtection="false">
      <alignment horizontal="center" vertical="center" textRotation="0" wrapText="false" indent="0" shrinkToFit="false"/>
      <protection locked="true" hidden="false"/>
    </xf>
    <xf numFmtId="192" fontId="128" fillId="9" borderId="109" xfId="57" applyFont="true" applyBorder="false" applyAlignment="true" applyProtection="false">
      <alignment horizontal="left" vertical="center" textRotation="0" wrapText="false" indent="0" shrinkToFit="false"/>
      <protection locked="true" hidden="false"/>
    </xf>
    <xf numFmtId="192" fontId="129" fillId="9" borderId="109" xfId="57" applyFont="true" applyBorder="false" applyAlignment="true" applyProtection="false">
      <alignment horizontal="left" vertical="center" textRotation="0" wrapText="false" indent="0" shrinkToFit="false"/>
      <protection locked="true" hidden="false"/>
    </xf>
    <xf numFmtId="192" fontId="117" fillId="9" borderId="109" xfId="57" applyFont="false" applyBorder="false" applyAlignment="true" applyProtection="false">
      <alignment horizontal="left" vertical="center" textRotation="0" wrapText="false" indent="0" shrinkToFit="false"/>
      <protection locked="true" hidden="false"/>
    </xf>
    <xf numFmtId="192" fontId="128" fillId="9" borderId="109" xfId="57" applyFont="true" applyBorder="false" applyAlignment="false" applyProtection="false">
      <alignment horizontal="general" vertical="bottom" textRotation="0" wrapText="false" indent="0" shrinkToFit="false"/>
      <protection locked="true" hidden="false"/>
    </xf>
    <xf numFmtId="192" fontId="129" fillId="9" borderId="109" xfId="57" applyFont="true" applyBorder="false" applyAlignment="true" applyProtection="false">
      <alignment horizontal="center" vertical="bottom" textRotation="0" wrapText="false" indent="0" shrinkToFit="false"/>
      <protection locked="true" hidden="false"/>
    </xf>
    <xf numFmtId="192" fontId="129" fillId="9" borderId="109" xfId="57" applyFont="true" applyBorder="false" applyAlignment="true" applyProtection="false">
      <alignment horizontal="general" vertical="center" textRotation="0" wrapText="false" indent="0" shrinkToFit="false"/>
      <protection locked="true" hidden="false"/>
    </xf>
    <xf numFmtId="192" fontId="130" fillId="9" borderId="109" xfId="57" applyFont="true" applyBorder="true" applyAlignment="true" applyProtection="false">
      <alignment horizontal="center" vertical="center" textRotation="0" wrapText="false" indent="0" shrinkToFit="false"/>
      <protection locked="true" hidden="false"/>
    </xf>
    <xf numFmtId="192" fontId="131" fillId="12" borderId="113" xfId="57" applyFont="true" applyBorder="true" applyAlignment="true" applyProtection="false">
      <alignment horizontal="center" vertical="center" textRotation="0" wrapText="false" indent="0" shrinkToFit="false"/>
      <protection locked="true" hidden="false"/>
    </xf>
    <xf numFmtId="192" fontId="131" fillId="12" borderId="114" xfId="57" applyFont="true" applyBorder="true" applyAlignment="true" applyProtection="false">
      <alignment horizontal="center" vertical="center" textRotation="0" wrapText="false" indent="0" shrinkToFit="false"/>
      <protection locked="true" hidden="false"/>
    </xf>
    <xf numFmtId="192" fontId="131" fillId="12" borderId="115" xfId="57" applyFont="true" applyBorder="true" applyAlignment="true" applyProtection="false">
      <alignment horizontal="center" vertical="center" textRotation="0" wrapText="false" indent="0" shrinkToFit="false"/>
      <protection locked="true" hidden="false"/>
    </xf>
    <xf numFmtId="192" fontId="131" fillId="9" borderId="116" xfId="57" applyFont="true" applyBorder="true" applyAlignment="true" applyProtection="false">
      <alignment horizontal="left" vertical="center" textRotation="0" wrapText="false" indent="0" shrinkToFit="false"/>
      <protection locked="true" hidden="false"/>
    </xf>
    <xf numFmtId="192" fontId="132" fillId="9" borderId="117" xfId="57" applyFont="true" applyBorder="true" applyAlignment="true" applyProtection="false">
      <alignment horizontal="center" vertical="center" textRotation="0" wrapText="true" indent="0" shrinkToFit="false"/>
      <protection locked="true" hidden="false"/>
    </xf>
    <xf numFmtId="192" fontId="132" fillId="9" borderId="118" xfId="57" applyFont="true" applyBorder="true" applyAlignment="true" applyProtection="false">
      <alignment horizontal="left" vertical="center" textRotation="0" wrapText="false" indent="0" shrinkToFit="false"/>
      <protection locked="true" hidden="false"/>
    </xf>
    <xf numFmtId="192" fontId="129" fillId="9" borderId="109" xfId="57" applyFont="true" applyBorder="false" applyAlignment="true" applyProtection="false">
      <alignment horizontal="center" vertical="center" textRotation="0" wrapText="false" indent="0" shrinkToFit="false"/>
      <protection locked="true" hidden="false"/>
    </xf>
    <xf numFmtId="192" fontId="129" fillId="9" borderId="109" xfId="57" applyFont="true" applyBorder="false" applyAlignment="true" applyProtection="false">
      <alignment horizontal="left" vertical="center" textRotation="0" wrapText="false" indent="0" shrinkToFit="false"/>
      <protection locked="true" hidden="false"/>
    </xf>
    <xf numFmtId="192" fontId="132" fillId="9" borderId="119" xfId="57" applyFont="true" applyBorder="true" applyAlignment="true" applyProtection="false">
      <alignment horizontal="center" vertical="center" textRotation="0" wrapText="true" indent="0" shrinkToFit="false"/>
      <protection locked="true" hidden="false"/>
    </xf>
    <xf numFmtId="192" fontId="132" fillId="9" borderId="120" xfId="57" applyFont="true" applyBorder="true" applyAlignment="true" applyProtection="false">
      <alignment horizontal="left" vertical="center" textRotation="0" wrapText="false" indent="0" shrinkToFit="false"/>
      <protection locked="true" hidden="false"/>
    </xf>
    <xf numFmtId="192" fontId="132" fillId="9" borderId="121" xfId="57" applyFont="true" applyBorder="true" applyAlignment="true" applyProtection="false">
      <alignment horizontal="center" vertical="center" textRotation="0" wrapText="true" indent="0" shrinkToFit="false"/>
      <protection locked="true" hidden="false"/>
    </xf>
    <xf numFmtId="192" fontId="132" fillId="9" borderId="122" xfId="57" applyFont="true" applyBorder="true" applyAlignment="true" applyProtection="false">
      <alignment horizontal="left" vertical="center" textRotation="0" wrapText="false" indent="0" shrinkToFit="false"/>
      <protection locked="true" hidden="false"/>
    </xf>
    <xf numFmtId="198" fontId="133" fillId="9" borderId="118" xfId="57" applyFont="true" applyBorder="true" applyAlignment="true" applyProtection="true">
      <alignment horizontal="left" vertical="center" textRotation="0" wrapText="false" indent="0" shrinkToFit="false"/>
      <protection locked="true" hidden="false"/>
    </xf>
    <xf numFmtId="198" fontId="132" fillId="9" borderId="123" xfId="57" applyFont="true" applyBorder="true" applyAlignment="true" applyProtection="true">
      <alignment horizontal="center" vertical="center" textRotation="0" wrapText="false" indent="0" shrinkToFit="false"/>
      <protection locked="true" hidden="false"/>
    </xf>
    <xf numFmtId="198" fontId="132" fillId="9" borderId="120" xfId="57" applyFont="true" applyBorder="true" applyAlignment="true" applyProtection="true">
      <alignment horizontal="left" vertical="center" textRotation="0" wrapText="false" indent="0" shrinkToFit="false"/>
      <protection locked="true" hidden="false"/>
    </xf>
    <xf numFmtId="192" fontId="132" fillId="9" borderId="120" xfId="57" applyFont="true" applyBorder="true" applyAlignment="true" applyProtection="false">
      <alignment horizontal="justify" vertical="center" textRotation="0" wrapText="false" indent="0" shrinkToFit="false"/>
      <protection locked="true" hidden="false"/>
    </xf>
    <xf numFmtId="192" fontId="132" fillId="9" borderId="123" xfId="57" applyFont="true" applyBorder="true" applyAlignment="true" applyProtection="false">
      <alignment horizontal="center" vertical="center" textRotation="0" wrapText="false" indent="0" shrinkToFit="false"/>
      <protection locked="true" hidden="false"/>
    </xf>
    <xf numFmtId="192" fontId="132" fillId="9" borderId="122" xfId="57" applyFont="true" applyBorder="true" applyAlignment="true" applyProtection="false">
      <alignment horizontal="justify" vertical="center" textRotation="0" wrapText="false" indent="0" shrinkToFit="false"/>
      <protection locked="true" hidden="false"/>
    </xf>
    <xf numFmtId="192" fontId="132" fillId="9" borderId="124" xfId="57" applyFont="true" applyBorder="true" applyAlignment="true" applyProtection="false">
      <alignment horizontal="center" vertical="center" textRotation="0" wrapText="true" indent="0" shrinkToFit="false" readingOrder="1"/>
      <protection locked="true" hidden="false"/>
    </xf>
    <xf numFmtId="192" fontId="132" fillId="9" borderId="123" xfId="57" applyFont="true" applyBorder="true" applyAlignment="true" applyProtection="false">
      <alignment horizontal="left" vertical="center" textRotation="0" wrapText="true" indent="0" shrinkToFit="false"/>
      <protection locked="true" hidden="false"/>
    </xf>
    <xf numFmtId="192" fontId="132" fillId="9" borderId="125" xfId="57" applyFont="true" applyBorder="true" applyAlignment="true" applyProtection="false">
      <alignment horizontal="left" vertical="center" textRotation="0" wrapText="true" indent="0" shrinkToFit="false"/>
      <protection locked="true" hidden="false"/>
    </xf>
    <xf numFmtId="192" fontId="130" fillId="9" borderId="126" xfId="57" applyFont="true" applyBorder="true" applyAlignment="true" applyProtection="false">
      <alignment horizontal="center" vertical="center" textRotation="0" wrapText="false" indent="0" shrinkToFit="false"/>
      <protection locked="true" hidden="false"/>
    </xf>
    <xf numFmtId="192" fontId="132" fillId="9" borderId="109" xfId="57" applyFont="true" applyBorder="false" applyAlignment="true" applyProtection="false">
      <alignment horizontal="justify" vertical="center" textRotation="0" wrapText="false" indent="0" shrinkToFit="false"/>
      <protection locked="true" hidden="false"/>
    </xf>
    <xf numFmtId="192" fontId="132" fillId="9" borderId="127" xfId="57" applyFont="true" applyBorder="true" applyAlignment="true" applyProtection="false">
      <alignment horizontal="center" vertical="center" textRotation="0" wrapText="false" indent="0" shrinkToFit="false"/>
      <protection locked="true" hidden="false"/>
    </xf>
    <xf numFmtId="192" fontId="132" fillId="9" borderId="120" xfId="57" applyFont="true" applyBorder="true" applyAlignment="true" applyProtection="false">
      <alignment horizontal="justify" vertical="center" textRotation="0" wrapText="false" indent="0" shrinkToFit="false"/>
      <protection locked="true" hidden="false"/>
    </xf>
    <xf numFmtId="192" fontId="132" fillId="9" borderId="120" xfId="57" applyFont="true" applyBorder="true" applyAlignment="true" applyProtection="false">
      <alignment horizontal="justify" vertical="center" textRotation="0" wrapText="true" indent="0" shrinkToFit="false"/>
      <protection locked="true" hidden="false"/>
    </xf>
    <xf numFmtId="192" fontId="133" fillId="9" borderId="128" xfId="57" applyFont="true" applyBorder="true" applyAlignment="true" applyProtection="false">
      <alignment horizontal="justify" vertical="center" textRotation="0" wrapText="false" indent="0" shrinkToFit="false"/>
      <protection locked="true" hidden="false"/>
    </xf>
    <xf numFmtId="192" fontId="132" fillId="9" borderId="122" xfId="57" applyFont="true" applyBorder="true" applyAlignment="true" applyProtection="false">
      <alignment horizontal="left" vertical="center" textRotation="0" wrapText="true" indent="0" shrinkToFit="false"/>
      <protection locked="true" hidden="false"/>
    </xf>
    <xf numFmtId="192" fontId="133" fillId="9" borderId="109" xfId="57" applyFont="true" applyBorder="false" applyAlignment="true" applyProtection="false">
      <alignment horizontal="justify" vertical="center" textRotation="0" wrapText="false" indent="0" shrinkToFit="false"/>
      <protection locked="true" hidden="false"/>
    </xf>
    <xf numFmtId="192" fontId="132" fillId="9" borderId="109" xfId="57" applyFont="true" applyBorder="true" applyAlignment="true" applyProtection="false">
      <alignment horizontal="left" vertical="center" textRotation="0" wrapText="true" indent="0" shrinkToFit="false"/>
      <protection locked="true" hidden="false"/>
    </xf>
    <xf numFmtId="192" fontId="132" fillId="9" borderId="120" xfId="57" applyFont="true" applyBorder="true" applyAlignment="true" applyProtection="false">
      <alignment horizontal="left" vertical="center" textRotation="0" wrapText="true" indent="0" shrinkToFit="false"/>
      <protection locked="true" hidden="false"/>
    </xf>
    <xf numFmtId="192" fontId="132" fillId="9" borderId="129" xfId="57" applyFont="true" applyBorder="true" applyAlignment="true" applyProtection="false">
      <alignment horizontal="center" vertical="center" textRotation="0" wrapText="true" indent="0" shrinkToFit="false"/>
      <protection locked="true" hidden="false"/>
    </xf>
    <xf numFmtId="192" fontId="132" fillId="9" borderId="130" xfId="57" applyFont="true" applyBorder="true" applyAlignment="true" applyProtection="false">
      <alignment horizontal="left" vertical="center" textRotation="0" wrapText="true" indent="0" shrinkToFit="false"/>
      <protection locked="true" hidden="false"/>
    </xf>
    <xf numFmtId="198" fontId="132" fillId="9" borderId="131" xfId="57" applyFont="true" applyBorder="true" applyAlignment="true" applyProtection="true">
      <alignment horizontal="center" vertical="center" textRotation="0" wrapText="false" indent="0" shrinkToFit="false"/>
      <protection locked="true" hidden="false"/>
    </xf>
    <xf numFmtId="192" fontId="130" fillId="9" borderId="126" xfId="57" applyFont="true" applyBorder="true" applyAlignment="true" applyProtection="false">
      <alignment horizontal="right" vertical="center" textRotation="0" wrapText="false" indent="0" shrinkToFit="false"/>
      <protection locked="true" hidden="false"/>
    </xf>
    <xf numFmtId="192" fontId="132" fillId="9" borderId="118" xfId="57" applyFont="true" applyBorder="true" applyAlignment="true" applyProtection="false">
      <alignment horizontal="justify" vertical="center" textRotation="0" wrapText="false" indent="0" shrinkToFit="false"/>
      <protection locked="true" hidden="false"/>
    </xf>
    <xf numFmtId="192" fontId="132" fillId="9" borderId="122" xfId="57" applyFont="true" applyBorder="true" applyAlignment="true" applyProtection="false">
      <alignment horizontal="justify" vertical="center" textRotation="0" wrapText="false" indent="0" shrinkToFit="false"/>
      <protection locked="true" hidden="false"/>
    </xf>
    <xf numFmtId="198" fontId="132" fillId="9" borderId="127" xfId="57" applyFont="true" applyBorder="true" applyAlignment="true" applyProtection="true">
      <alignment horizontal="center" vertical="center" textRotation="0" wrapText="false" indent="0" shrinkToFit="false"/>
      <protection locked="true" hidden="false"/>
    </xf>
    <xf numFmtId="192" fontId="131" fillId="9" borderId="128" xfId="57" applyFont="true" applyBorder="true" applyAlignment="true" applyProtection="false">
      <alignment horizontal="left" vertical="center" textRotation="0" wrapText="false" indent="0" shrinkToFit="false"/>
      <protection locked="true" hidden="false"/>
    </xf>
    <xf numFmtId="192" fontId="132" fillId="9" borderId="124" xfId="57" applyFont="true" applyBorder="true" applyAlignment="true" applyProtection="false">
      <alignment horizontal="center" vertical="center" textRotation="0" wrapText="true" indent="0" shrinkToFit="false"/>
      <protection locked="true" hidden="false"/>
    </xf>
    <xf numFmtId="192" fontId="132" fillId="9" borderId="132" xfId="57" applyFont="true" applyBorder="true" applyAlignment="true" applyProtection="false">
      <alignment horizontal="justify" vertical="center" textRotation="0" wrapText="true" indent="0" shrinkToFit="false"/>
      <protection locked="true" hidden="false"/>
    </xf>
    <xf numFmtId="192" fontId="133" fillId="9" borderId="120" xfId="57" applyFont="true" applyBorder="true" applyAlignment="true" applyProtection="false">
      <alignment horizontal="justify" vertical="center" textRotation="0" wrapText="false" indent="0" shrinkToFit="false"/>
      <protection locked="true" hidden="false"/>
    </xf>
    <xf numFmtId="192" fontId="132" fillId="9" borderId="119" xfId="57" applyFont="true" applyBorder="true" applyAlignment="true" applyProtection="false">
      <alignment horizontal="center" vertical="center" textRotation="0" wrapText="false" indent="0" shrinkToFit="false"/>
      <protection locked="true" hidden="false"/>
    </xf>
    <xf numFmtId="192" fontId="132" fillId="9" borderId="129" xfId="57" applyFont="true" applyBorder="true" applyAlignment="true" applyProtection="false">
      <alignment horizontal="center" vertical="center" textRotation="0" wrapText="false" indent="0" shrinkToFit="false"/>
      <protection locked="true" hidden="false"/>
    </xf>
    <xf numFmtId="192" fontId="132" fillId="9" borderId="130" xfId="57" applyFont="true" applyBorder="true" applyAlignment="true" applyProtection="false">
      <alignment horizontal="justify" vertical="center" textRotation="0" wrapText="false" indent="0" shrinkToFit="false"/>
      <protection locked="true" hidden="false"/>
    </xf>
    <xf numFmtId="192" fontId="129" fillId="9" borderId="109" xfId="57" applyFont="true" applyBorder="false" applyAlignment="true" applyProtection="false">
      <alignment horizontal="general" vertical="center" textRotation="0" wrapText="false" indent="0" shrinkToFit="false"/>
      <protection locked="true" hidden="false"/>
    </xf>
    <xf numFmtId="192" fontId="135" fillId="9" borderId="109" xfId="57" applyFont="true" applyBorder="true" applyAlignment="true" applyProtection="false">
      <alignment horizontal="general" vertical="center" textRotation="0" wrapText="false" indent="0" shrinkToFit="false"/>
      <protection locked="true" hidden="false"/>
    </xf>
    <xf numFmtId="192" fontId="134" fillId="9" borderId="126" xfId="57" applyFont="true" applyBorder="true" applyAlignment="true" applyProtection="false">
      <alignment horizontal="right" vertical="center" textRotation="0" wrapText="false" indent="0" shrinkToFit="false"/>
      <protection locked="true" hidden="false"/>
    </xf>
    <xf numFmtId="192" fontId="131" fillId="12" borderId="115" xfId="57" applyFont="true" applyBorder="true" applyAlignment="true" applyProtection="false">
      <alignment horizontal="center" vertical="center" textRotation="0" wrapText="true" indent="0" shrinkToFit="false"/>
      <protection locked="true" hidden="false"/>
    </xf>
    <xf numFmtId="192" fontId="132" fillId="9" borderId="117" xfId="57" applyFont="true" applyBorder="true" applyAlignment="true" applyProtection="false">
      <alignment horizontal="center" vertical="center" textRotation="0" wrapText="false" indent="0" shrinkToFit="false"/>
      <protection locked="true" hidden="false"/>
    </xf>
    <xf numFmtId="192" fontId="132" fillId="9" borderId="118" xfId="57" applyFont="true" applyBorder="true" applyAlignment="true" applyProtection="false">
      <alignment horizontal="left" vertical="center" textRotation="0" wrapText="false" indent="0" shrinkToFit="false"/>
      <protection locked="true" hidden="false"/>
    </xf>
    <xf numFmtId="192" fontId="132" fillId="9" borderId="123" xfId="57" applyFont="true" applyBorder="true" applyAlignment="true" applyProtection="false">
      <alignment horizontal="center" vertical="center" textRotation="0" wrapText="true" indent="0" shrinkToFit="false"/>
      <protection locked="true" hidden="false"/>
    </xf>
    <xf numFmtId="192" fontId="132" fillId="9" borderId="122" xfId="57" applyFont="true" applyBorder="true" applyAlignment="true" applyProtection="false">
      <alignment horizontal="left" vertical="center" textRotation="0" wrapText="false" indent="0" shrinkToFit="false"/>
      <protection locked="true" hidden="false"/>
    </xf>
    <xf numFmtId="192" fontId="133" fillId="9" borderId="127" xfId="57" applyFont="true" applyBorder="true" applyAlignment="true" applyProtection="false">
      <alignment horizontal="left" vertical="center" textRotation="0" wrapText="false" indent="0" shrinkToFit="false"/>
      <protection locked="true" hidden="false"/>
    </xf>
    <xf numFmtId="192" fontId="132" fillId="9" borderId="121" xfId="57" applyFont="true" applyBorder="true" applyAlignment="true" applyProtection="false">
      <alignment horizontal="center" vertical="center" textRotation="0" wrapText="false" indent="0" shrinkToFit="false"/>
      <protection locked="true" hidden="false"/>
    </xf>
    <xf numFmtId="192" fontId="132" fillId="9" borderId="122" xfId="57" applyFont="true" applyBorder="true" applyAlignment="true" applyProtection="false">
      <alignment horizontal="left" vertical="center" textRotation="0" wrapText="true" indent="0" shrinkToFit="false"/>
      <protection locked="true" hidden="false"/>
    </xf>
    <xf numFmtId="192" fontId="133" fillId="9" borderId="127" xfId="57" applyFont="true" applyBorder="true" applyAlignment="true" applyProtection="false">
      <alignment horizontal="left" vertical="center" textRotation="0" wrapText="true" indent="0" shrinkToFit="false"/>
      <protection locked="true" hidden="false"/>
    </xf>
    <xf numFmtId="192" fontId="131" fillId="9" borderId="128" xfId="57" applyFont="true" applyBorder="true" applyAlignment="true" applyProtection="false">
      <alignment horizontal="left" vertical="center" textRotation="0" wrapText="false" indent="0" shrinkToFit="false"/>
      <protection locked="true" hidden="false"/>
    </xf>
    <xf numFmtId="192" fontId="133" fillId="12" borderId="124" xfId="57" applyFont="true" applyBorder="true" applyAlignment="true" applyProtection="false">
      <alignment horizontal="center" vertical="center" textRotation="0" wrapText="false" indent="0" shrinkToFit="false"/>
      <protection locked="true" hidden="false"/>
    </xf>
    <xf numFmtId="192" fontId="133" fillId="12" borderId="132" xfId="57" applyFont="true" applyBorder="true" applyAlignment="true" applyProtection="false">
      <alignment horizontal="center" vertical="center" textRotation="0" wrapText="false" indent="0" shrinkToFit="false"/>
      <protection locked="true" hidden="false"/>
    </xf>
    <xf numFmtId="192" fontId="133" fillId="12" borderId="132" xfId="57" applyFont="true" applyBorder="true" applyAlignment="true" applyProtection="false">
      <alignment horizontal="center" vertical="center" textRotation="0" wrapText="true" indent="0" shrinkToFit="false"/>
      <protection locked="true" hidden="false"/>
    </xf>
    <xf numFmtId="192" fontId="131" fillId="12" borderId="132" xfId="57" applyFont="true" applyBorder="true" applyAlignment="true" applyProtection="false">
      <alignment horizontal="center" vertical="center" textRotation="0" wrapText="false" indent="0" shrinkToFit="false"/>
      <protection locked="true" hidden="false"/>
    </xf>
    <xf numFmtId="192" fontId="132" fillId="9" borderId="133" xfId="57" applyFont="true" applyBorder="true" applyAlignment="true" applyProtection="false">
      <alignment horizontal="left" vertical="center" textRotation="0" wrapText="true" indent="0" shrinkToFit="false"/>
      <protection locked="true" hidden="false"/>
    </xf>
    <xf numFmtId="192" fontId="133" fillId="12" borderId="124" xfId="57" applyFont="true" applyBorder="true" applyAlignment="true" applyProtection="false">
      <alignment horizontal="center" vertical="center" textRotation="0" wrapText="true" indent="0" shrinkToFit="false"/>
      <protection locked="true" hidden="false"/>
    </xf>
    <xf numFmtId="192" fontId="132" fillId="9" borderId="132" xfId="57" applyFont="true" applyBorder="true" applyAlignment="true" applyProtection="false">
      <alignment horizontal="center" vertical="center" textRotation="0" wrapText="true" indent="0" shrinkToFit="false"/>
      <protection locked="true" hidden="false"/>
    </xf>
    <xf numFmtId="199" fontId="132" fillId="9" borderId="132" xfId="57" applyFont="true" applyBorder="true" applyAlignment="true" applyProtection="false">
      <alignment horizontal="center" vertical="center" textRotation="0" wrapText="false" indent="0" shrinkToFit="false"/>
      <protection locked="true" hidden="false"/>
    </xf>
    <xf numFmtId="200" fontId="132" fillId="9" borderId="132" xfId="57" applyFont="true" applyBorder="true" applyAlignment="true" applyProtection="false">
      <alignment horizontal="center" vertical="center" textRotation="0" wrapText="false" indent="0" shrinkToFit="false"/>
      <protection locked="true" hidden="false"/>
    </xf>
    <xf numFmtId="192" fontId="134" fillId="9" borderId="132" xfId="57" applyFont="true" applyBorder="true" applyAlignment="true" applyProtection="false">
      <alignment horizontal="left" vertical="center" textRotation="0" wrapText="true" indent="0" shrinkToFit="false"/>
      <protection locked="true" hidden="false"/>
    </xf>
    <xf numFmtId="201" fontId="132" fillId="9" borderId="132" xfId="57" applyFont="true" applyBorder="true" applyAlignment="true" applyProtection="false">
      <alignment horizontal="center" vertical="center" textRotation="0" wrapText="false" indent="0" shrinkToFit="false"/>
      <protection locked="true" hidden="false"/>
    </xf>
    <xf numFmtId="192" fontId="129" fillId="9" borderId="128" xfId="57" applyFont="true" applyBorder="true" applyAlignment="true" applyProtection="false">
      <alignment horizontal="left" vertical="center" textRotation="0" wrapText="false" indent="0" shrinkToFit="false"/>
      <protection locked="true" hidden="false"/>
    </xf>
    <xf numFmtId="192" fontId="132" fillId="9" borderId="134" xfId="57" applyFont="true" applyBorder="true" applyAlignment="true" applyProtection="false">
      <alignment horizontal="center" vertical="center" textRotation="0" wrapText="true" indent="0" shrinkToFit="false"/>
      <protection locked="true" hidden="false"/>
    </xf>
    <xf numFmtId="192" fontId="129" fillId="9" borderId="131" xfId="57" applyFont="true" applyBorder="true" applyAlignment="true" applyProtection="false">
      <alignment horizontal="center" vertical="center" textRotation="0" wrapText="false" indent="0" shrinkToFit="false"/>
      <protection locked="true" hidden="false"/>
    </xf>
    <xf numFmtId="192" fontId="132" fillId="9" borderId="135" xfId="57" applyFont="true" applyBorder="true" applyAlignment="true" applyProtection="false">
      <alignment horizontal="center" vertical="center" textRotation="0" wrapText="false" indent="0" shrinkToFit="false"/>
      <protection locked="true" hidden="false"/>
    </xf>
    <xf numFmtId="192" fontId="131" fillId="9" borderId="136" xfId="57" applyFont="true" applyBorder="true" applyAlignment="true" applyProtection="false">
      <alignment horizontal="left" vertical="center" textRotation="0" wrapText="false" indent="0" shrinkToFit="false"/>
      <protection locked="true" hidden="false"/>
    </xf>
    <xf numFmtId="192" fontId="132" fillId="9" borderId="117" xfId="57" applyFont="true" applyBorder="true" applyAlignment="true" applyProtection="false">
      <alignment horizontal="center" vertical="center" textRotation="0" wrapText="true" indent="0" shrinkToFit="false"/>
      <protection locked="true" hidden="false"/>
    </xf>
    <xf numFmtId="192" fontId="132" fillId="9" borderId="118" xfId="57" applyFont="true" applyBorder="true" applyAlignment="true" applyProtection="false">
      <alignment horizontal="justify" vertical="center" textRotation="0" wrapText="true" indent="0" shrinkToFit="false"/>
      <protection locked="true" hidden="false"/>
    </xf>
    <xf numFmtId="192" fontId="129" fillId="9" borderId="109" xfId="57" applyFont="true" applyBorder="true" applyAlignment="true" applyProtection="false">
      <alignment horizontal="left" vertical="center" textRotation="0" wrapText="false" indent="0" shrinkToFit="false"/>
      <protection locked="true" hidden="false"/>
    </xf>
    <xf numFmtId="192" fontId="132" fillId="9" borderId="119" xfId="57" applyFont="true" applyBorder="true" applyAlignment="true" applyProtection="false">
      <alignment horizontal="center" vertical="center" textRotation="0" wrapText="true" indent="0" shrinkToFit="false"/>
      <protection locked="true" hidden="false"/>
    </xf>
    <xf numFmtId="192" fontId="132" fillId="9" borderId="121" xfId="57" applyFont="true" applyBorder="true" applyAlignment="true" applyProtection="false">
      <alignment horizontal="center" vertical="center" textRotation="0" wrapText="true" indent="0" shrinkToFit="false"/>
      <protection locked="true" hidden="false"/>
    </xf>
    <xf numFmtId="192" fontId="132" fillId="9" borderId="122" xfId="57" applyFont="true" applyBorder="true" applyAlignment="true" applyProtection="false">
      <alignment horizontal="justify" vertical="center" textRotation="0" wrapText="true" indent="0" shrinkToFit="false"/>
      <protection locked="true" hidden="false"/>
    </xf>
    <xf numFmtId="192" fontId="132" fillId="9" borderId="131" xfId="57" applyFont="true" applyBorder="true" applyAlignment="true" applyProtection="false">
      <alignment horizontal="center" vertical="center" textRotation="0" wrapText="false" indent="0" shrinkToFit="false"/>
      <protection locked="true" hidden="false"/>
    </xf>
    <xf numFmtId="192" fontId="132" fillId="9" borderId="118" xfId="57" applyFont="true" applyBorder="true" applyAlignment="true" applyProtection="false">
      <alignment horizontal="general" vertical="center" textRotation="0" wrapText="false" indent="0" shrinkToFit="false"/>
      <protection locked="true" hidden="false"/>
    </xf>
    <xf numFmtId="192" fontId="132" fillId="9" borderId="120" xfId="57" applyFont="true" applyBorder="true" applyAlignment="true" applyProtection="false">
      <alignment horizontal="general" vertical="center" textRotation="0" wrapText="false" indent="0" shrinkToFit="false"/>
      <protection locked="true" hidden="false"/>
    </xf>
    <xf numFmtId="192" fontId="132" fillId="9" borderId="122" xfId="57" applyFont="true" applyBorder="true" applyAlignment="true" applyProtection="false">
      <alignment horizontal="general" vertical="center" textRotation="0" wrapText="false" indent="0" shrinkToFit="false"/>
      <protection locked="true" hidden="false"/>
    </xf>
    <xf numFmtId="192" fontId="132" fillId="9" borderId="124" xfId="57" applyFont="true" applyBorder="true" applyAlignment="true" applyProtection="false">
      <alignment horizontal="center" vertical="center" textRotation="0" wrapText="false" indent="0" shrinkToFit="false"/>
      <protection locked="true" hidden="false"/>
    </xf>
    <xf numFmtId="192" fontId="131" fillId="9" borderId="136" xfId="57" applyFont="true" applyBorder="true" applyAlignment="true" applyProtection="false">
      <alignment horizontal="left" vertical="center" textRotation="0" wrapText="false" indent="0" shrinkToFit="false"/>
      <protection locked="true" hidden="false"/>
    </xf>
    <xf numFmtId="192" fontId="132" fillId="9" borderId="109" xfId="57" applyFont="true" applyBorder="false" applyAlignment="true" applyProtection="false">
      <alignment horizontal="left" vertical="center" textRotation="0" wrapText="false" indent="0" shrinkToFit="false"/>
      <protection locked="true" hidden="false"/>
    </xf>
    <xf numFmtId="192" fontId="132" fillId="9" borderId="131" xfId="57" applyFont="true" applyBorder="true" applyAlignment="true" applyProtection="false">
      <alignment horizontal="center" vertical="center" textRotation="0" wrapText="false" indent="0" shrinkToFit="false"/>
      <protection locked="true" hidden="false"/>
    </xf>
    <xf numFmtId="192" fontId="132" fillId="9" borderId="109" xfId="57" applyFont="true" applyBorder="false" applyAlignment="true" applyProtection="false">
      <alignment horizontal="center" vertical="center" textRotation="0" wrapText="false" indent="0" shrinkToFit="false"/>
      <protection locked="true" hidden="false"/>
    </xf>
    <xf numFmtId="192" fontId="132" fillId="9" borderId="117" xfId="57" applyFont="true" applyBorder="true" applyAlignment="true" applyProtection="false">
      <alignment horizontal="center" vertical="bottom" textRotation="0" wrapText="false" indent="0" shrinkToFit="false"/>
      <protection locked="true" hidden="false"/>
    </xf>
    <xf numFmtId="192" fontId="133" fillId="9" borderId="118" xfId="57" applyFont="true" applyBorder="true" applyAlignment="true" applyProtection="false">
      <alignment horizontal="justify" vertical="center" textRotation="0" wrapText="false" indent="0" shrinkToFit="false"/>
      <protection locked="true" hidden="false"/>
    </xf>
    <xf numFmtId="192" fontId="132" fillId="9" borderId="133" xfId="57" applyFont="true" applyBorder="true" applyAlignment="true" applyProtection="false">
      <alignment horizontal="center" vertical="center" textRotation="0" wrapText="false" indent="0" shrinkToFit="false"/>
      <protection locked="true" hidden="false"/>
    </xf>
    <xf numFmtId="192" fontId="132" fillId="9" borderId="132" xfId="57" applyFont="true" applyBorder="true" applyAlignment="true" applyProtection="false">
      <alignment horizontal="justify" vertical="center" textRotation="0" wrapText="false" indent="0" shrinkToFit="false"/>
      <protection locked="true" hidden="false"/>
    </xf>
    <xf numFmtId="192" fontId="132" fillId="9" borderId="134" xfId="57" applyFont="true" applyBorder="true" applyAlignment="true" applyProtection="false">
      <alignment horizontal="center" vertical="center" textRotation="0" wrapText="false" indent="0" shrinkToFit="false"/>
      <protection locked="true" hidden="false"/>
    </xf>
    <xf numFmtId="192" fontId="130" fillId="9" borderId="126" xfId="57" applyFont="true" applyBorder="true" applyAlignment="true" applyProtection="false">
      <alignment horizontal="center" vertical="center" textRotation="0" wrapText="false" indent="0" shrinkToFit="false"/>
      <protection locked="true" hidden="false"/>
    </xf>
    <xf numFmtId="192" fontId="132" fillId="9" borderId="123" xfId="57" applyFont="true" applyBorder="true" applyAlignment="true" applyProtection="false">
      <alignment horizontal="center" vertical="center" textRotation="0" wrapText="false" indent="0" shrinkToFit="false"/>
      <protection locked="true" hidden="false"/>
    </xf>
    <xf numFmtId="192" fontId="133" fillId="9" borderId="118" xfId="57" applyFont="true" applyBorder="true" applyAlignment="true" applyProtection="false">
      <alignment horizontal="justify" vertical="center" textRotation="0" wrapText="true" indent="0" shrinkToFit="false"/>
      <protection locked="true" hidden="false"/>
    </xf>
    <xf numFmtId="192" fontId="131" fillId="9" borderId="109" xfId="57" applyFont="true" applyBorder="true" applyAlignment="true" applyProtection="false">
      <alignment horizontal="left" vertical="center" textRotation="0" wrapText="false" indent="0" shrinkToFit="false"/>
      <protection locked="true" hidden="false"/>
    </xf>
    <xf numFmtId="198" fontId="132" fillId="9" borderId="123" xfId="57" applyFont="true" applyBorder="true" applyAlignment="true" applyProtection="false">
      <alignment horizontal="center" vertical="center" textRotation="0" wrapText="false" indent="0" shrinkToFit="false"/>
      <protection locked="true" hidden="false"/>
    </xf>
    <xf numFmtId="192" fontId="132" fillId="9" borderId="137" xfId="57" applyFont="true" applyBorder="true" applyAlignment="true" applyProtection="false">
      <alignment horizontal="center" vertical="center" textRotation="0" wrapText="false" indent="0" shrinkToFit="false"/>
      <protection locked="true" hidden="false"/>
    </xf>
    <xf numFmtId="192" fontId="130" fillId="9" borderId="126" xfId="57" applyFont="true" applyBorder="true" applyAlignment="true" applyProtection="false">
      <alignment horizontal="right" vertical="center" textRotation="0" wrapText="false" indent="0" shrinkToFit="false"/>
      <protection locked="true" hidden="false"/>
    </xf>
    <xf numFmtId="198" fontId="132" fillId="9" borderId="127" xfId="57" applyFont="true" applyBorder="true" applyAlignment="true" applyProtection="false">
      <alignment horizontal="center" vertical="center" textRotation="0" wrapText="false" indent="0" shrinkToFit="false"/>
      <protection locked="true" hidden="false"/>
    </xf>
    <xf numFmtId="192" fontId="132" fillId="9" borderId="127" xfId="57" applyFont="true" applyBorder="true" applyAlignment="true" applyProtection="false">
      <alignment horizontal="center" vertical="center" textRotation="0" wrapText="false" indent="0" shrinkToFit="false"/>
      <protection locked="true" hidden="false"/>
    </xf>
    <xf numFmtId="192" fontId="132" fillId="9" borderId="129" xfId="57" applyFont="true" applyBorder="true" applyAlignment="true" applyProtection="false">
      <alignment horizontal="center" vertical="center" textRotation="0" wrapText="true" indent="0" shrinkToFit="false"/>
      <protection locked="true" hidden="false"/>
    </xf>
    <xf numFmtId="192" fontId="132" fillId="9" borderId="130" xfId="57" applyFont="true" applyBorder="true" applyAlignment="true" applyProtection="false">
      <alignment horizontal="justify" vertical="center" textRotation="0" wrapText="true" indent="0" shrinkToFit="false"/>
      <protection locked="true" hidden="false"/>
    </xf>
    <xf numFmtId="192" fontId="131" fillId="12" borderId="138" xfId="57" applyFont="true" applyBorder="true" applyAlignment="true" applyProtection="false">
      <alignment horizontal="center" vertical="center" textRotation="0" wrapText="false" indent="0" shrinkToFit="false"/>
      <protection locked="true" hidden="false"/>
    </xf>
    <xf numFmtId="192" fontId="131" fillId="12" borderId="139" xfId="57" applyFont="true" applyBorder="true" applyAlignment="true" applyProtection="false">
      <alignment horizontal="center" vertical="center" textRotation="0" wrapText="false" indent="0" shrinkToFit="false"/>
      <protection locked="true" hidden="false"/>
    </xf>
    <xf numFmtId="192" fontId="131" fillId="12" borderId="140" xfId="57" applyFont="true" applyBorder="true" applyAlignment="true" applyProtection="false">
      <alignment horizontal="center" vertical="center" textRotation="0" wrapText="false" indent="0" shrinkToFit="false"/>
      <protection locked="true" hidden="false"/>
    </xf>
    <xf numFmtId="192" fontId="132" fillId="9" borderId="109" xfId="57" applyFont="true" applyBorder="false" applyAlignment="true" applyProtection="false">
      <alignment horizontal="left" vertical="center" textRotation="0" wrapText="false" indent="0" shrinkToFit="false"/>
      <protection locked="true" hidden="false"/>
    </xf>
    <xf numFmtId="192" fontId="128" fillId="9" borderId="109" xfId="108" applyFont="true" applyBorder="false" applyAlignment="false" applyProtection="false">
      <alignment horizontal="general" vertical="center" textRotation="0" wrapText="false" indent="0" shrinkToFit="false"/>
      <protection locked="true" hidden="false"/>
    </xf>
    <xf numFmtId="192" fontId="130" fillId="9" borderId="109" xfId="57" applyFont="true" applyBorder="true" applyAlignment="true" applyProtection="false">
      <alignment horizontal="right" vertical="center" textRotation="0" wrapText="false" indent="0" shrinkToFit="false"/>
      <protection locked="true" hidden="false"/>
    </xf>
    <xf numFmtId="192" fontId="136" fillId="9" borderId="109" xfId="108" applyFont="true" applyBorder="false" applyAlignment="true" applyProtection="false">
      <alignment horizontal="left" vertical="center" textRotation="0" wrapText="false" indent="0" shrinkToFit="false"/>
      <protection locked="true" hidden="false"/>
    </xf>
    <xf numFmtId="192" fontId="137" fillId="9" borderId="109" xfId="108" applyFont="true" applyBorder="false" applyAlignment="true" applyProtection="false">
      <alignment horizontal="right" vertical="center" textRotation="0" wrapText="false" indent="0" shrinkToFit="false"/>
      <protection locked="true" hidden="false"/>
    </xf>
    <xf numFmtId="192" fontId="138" fillId="12" borderId="141" xfId="108" applyFont="true" applyBorder="true" applyAlignment="true" applyProtection="false">
      <alignment horizontal="center" vertical="center" textRotation="0" wrapText="true" indent="0" shrinkToFit="false"/>
      <protection locked="true" hidden="false"/>
    </xf>
    <xf numFmtId="192" fontId="138" fillId="12" borderId="114" xfId="108" applyFont="true" applyBorder="true" applyAlignment="true" applyProtection="false">
      <alignment horizontal="center" vertical="center" textRotation="0" wrapText="true" indent="0" shrinkToFit="false"/>
      <protection locked="true" hidden="false"/>
    </xf>
    <xf numFmtId="192" fontId="138" fillId="12" borderId="142" xfId="108" applyFont="true" applyBorder="true" applyAlignment="true" applyProtection="false">
      <alignment horizontal="center" vertical="center" textRotation="0" wrapText="true" indent="0" shrinkToFit="false"/>
      <protection locked="true" hidden="false"/>
    </xf>
    <xf numFmtId="192" fontId="128" fillId="9" borderId="143" xfId="108" applyFont="true" applyBorder="true" applyAlignment="false" applyProtection="false">
      <alignment horizontal="general" vertical="center" textRotation="0" wrapText="false" indent="0" shrinkToFit="false"/>
      <protection locked="true" hidden="false"/>
    </xf>
    <xf numFmtId="192" fontId="128" fillId="9" borderId="132" xfId="108" applyFont="true" applyBorder="true" applyAlignment="false" applyProtection="false">
      <alignment horizontal="general" vertical="center" textRotation="0" wrapText="false" indent="0" shrinkToFit="false"/>
      <protection locked="true" hidden="false"/>
    </xf>
    <xf numFmtId="192" fontId="128" fillId="9" borderId="144" xfId="108" applyFont="true" applyBorder="true" applyAlignment="true" applyProtection="false">
      <alignment horizontal="left" vertical="center" textRotation="0" wrapText="true" indent="0" shrinkToFit="false"/>
      <protection locked="true" hidden="false"/>
    </xf>
    <xf numFmtId="192" fontId="128" fillId="9" borderId="145" xfId="108" applyFont="true" applyBorder="true" applyAlignment="false" applyProtection="false">
      <alignment horizontal="general" vertical="center" textRotation="0" wrapText="false" indent="0" shrinkToFit="false"/>
      <protection locked="true" hidden="false"/>
    </xf>
    <xf numFmtId="192" fontId="128" fillId="9" borderId="146" xfId="108" applyFont="true" applyBorder="true" applyAlignment="false" applyProtection="false">
      <alignment horizontal="general" vertical="center" textRotation="0" wrapText="false" indent="0" shrinkToFit="false"/>
      <protection locked="true" hidden="false"/>
    </xf>
    <xf numFmtId="192" fontId="131" fillId="9" borderId="109" xfId="57" applyFont="true" applyBorder="true" applyAlignment="true" applyProtection="false">
      <alignment horizontal="left" vertical="center" textRotation="0" wrapText="false" indent="0" shrinkToFit="false"/>
      <protection locked="true" hidden="false"/>
    </xf>
    <xf numFmtId="198" fontId="132" fillId="9" borderId="135" xfId="57" applyFont="true" applyBorder="true" applyAlignment="true" applyProtection="true">
      <alignment horizontal="center" vertical="center" textRotation="0" wrapText="false" indent="0" shrinkToFit="false"/>
      <protection locked="true" hidden="false"/>
    </xf>
    <xf numFmtId="192" fontId="132" fillId="9" borderId="146" xfId="57" applyFont="true" applyBorder="true" applyAlignment="true" applyProtection="false">
      <alignment horizontal="justify" vertical="center" textRotation="0" wrapText="true" indent="0" shrinkToFit="false"/>
      <protection locked="true" hidden="false"/>
    </xf>
    <xf numFmtId="192" fontId="132" fillId="9" borderId="131" xfId="57" applyFont="true" applyBorder="true" applyAlignment="true" applyProtection="false">
      <alignment horizontal="general" vertical="center" textRotation="0" wrapText="false" indent="0" shrinkToFit="false"/>
      <protection locked="true" hidden="false"/>
    </xf>
    <xf numFmtId="192" fontId="130" fillId="9" borderId="109" xfId="57" applyFont="true" applyBorder="true" applyAlignment="true" applyProtection="false">
      <alignment horizontal="right" vertical="center" textRotation="0" wrapText="false" indent="0" shrinkToFit="false"/>
      <protection locked="true" hidden="false"/>
    </xf>
    <xf numFmtId="192" fontId="132" fillId="9" borderId="124" xfId="57" applyFont="true" applyBorder="true" applyAlignment="true" applyProtection="false">
      <alignment horizontal="center" vertical="center" textRotation="0" wrapText="true" indent="0" shrinkToFit="false"/>
      <protection locked="true" hidden="false"/>
    </xf>
    <xf numFmtId="192" fontId="132" fillId="9" borderId="117" xfId="57" applyFont="true" applyBorder="true" applyAlignment="true" applyProtection="false">
      <alignment horizontal="general" vertical="center" textRotation="0" wrapText="false" indent="0" shrinkToFit="false"/>
      <protection locked="true" hidden="false"/>
    </xf>
    <xf numFmtId="192" fontId="129" fillId="9" borderId="109" xfId="57" applyFont="true" applyBorder="true" applyAlignment="true" applyProtection="false">
      <alignment horizontal="general" vertical="center" textRotation="0" wrapText="false" indent="0" shrinkToFit="false"/>
      <protection locked="true" hidden="false"/>
    </xf>
    <xf numFmtId="192" fontId="134" fillId="9" borderId="132" xfId="57" applyFont="true" applyBorder="true" applyAlignment="true" applyProtection="false">
      <alignment horizontal="justify" vertical="center" textRotation="0" wrapText="true" indent="0" shrinkToFit="false"/>
      <protection locked="true" hidden="false"/>
    </xf>
    <xf numFmtId="192" fontId="133" fillId="9" borderId="120" xfId="57" applyFont="true" applyBorder="true" applyAlignment="true" applyProtection="false">
      <alignment horizontal="justify" vertical="center" textRotation="0" wrapText="true" indent="0" shrinkToFit="false"/>
      <protection locked="true" hidden="false"/>
    </xf>
    <xf numFmtId="192" fontId="134" fillId="9" borderId="120" xfId="57" applyFont="true" applyBorder="true" applyAlignment="true" applyProtection="false">
      <alignment horizontal="justify" vertical="center" textRotation="0" wrapText="true" indent="0" shrinkToFit="false"/>
      <protection locked="true" hidden="false"/>
    </xf>
    <xf numFmtId="192" fontId="134" fillId="9" borderId="122" xfId="57" applyFont="true" applyBorder="true" applyAlignment="true" applyProtection="false">
      <alignment horizontal="justify" vertical="center" textRotation="0" wrapText="true" indent="0" shrinkToFit="false"/>
      <protection locked="true" hidden="false"/>
    </xf>
    <xf numFmtId="192" fontId="134" fillId="9" borderId="123" xfId="57" applyFont="true" applyBorder="true" applyAlignment="true" applyProtection="false">
      <alignment horizontal="center" vertical="center" textRotation="0" wrapText="false" indent="0" shrinkToFit="false"/>
      <protection locked="true" hidden="false"/>
    </xf>
    <xf numFmtId="192" fontId="134" fillId="9" borderId="137" xfId="57" applyFont="true" applyBorder="true" applyAlignment="true" applyProtection="false">
      <alignment horizontal="left" vertical="center" textRotation="0" wrapText="false" indent="0" shrinkToFit="false"/>
      <protection locked="true" hidden="false"/>
    </xf>
    <xf numFmtId="192" fontId="133" fillId="9" borderId="118" xfId="57" applyFont="true" applyBorder="true" applyAlignment="true" applyProtection="false">
      <alignment horizontal="left" vertical="center" textRotation="0" wrapText="false" indent="0" shrinkToFit="false"/>
      <protection locked="true" hidden="false"/>
    </xf>
    <xf numFmtId="192" fontId="132" fillId="9" borderId="120" xfId="57" applyFont="true" applyBorder="true" applyAlignment="true" applyProtection="false">
      <alignment horizontal="left" vertical="center" textRotation="0" wrapText="false" indent="0" shrinkToFit="false"/>
      <protection locked="true" hidden="false"/>
    </xf>
    <xf numFmtId="192" fontId="132" fillId="9" borderId="120" xfId="57" applyFont="true" applyBorder="true" applyAlignment="true" applyProtection="false">
      <alignment horizontal="left" vertical="center" textRotation="0" wrapText="true" indent="0" shrinkToFit="false"/>
      <protection locked="true" hidden="false"/>
    </xf>
    <xf numFmtId="192" fontId="134" fillId="9" borderId="118" xfId="57" applyFont="true" applyBorder="true" applyAlignment="true" applyProtection="false">
      <alignment horizontal="left" vertical="center" textRotation="0" wrapText="true" indent="0" shrinkToFit="false"/>
      <protection locked="true" hidden="false"/>
    </xf>
    <xf numFmtId="192" fontId="133" fillId="12" borderId="117" xfId="57" applyFont="true" applyBorder="true" applyAlignment="true" applyProtection="false">
      <alignment horizontal="center" vertical="center" textRotation="0" wrapText="true" indent="0" shrinkToFit="false"/>
      <protection locked="true" hidden="false"/>
    </xf>
    <xf numFmtId="192" fontId="133" fillId="12" borderId="118" xfId="57" applyFont="true" applyBorder="true" applyAlignment="true" applyProtection="false">
      <alignment horizontal="center" vertical="center" textRotation="0" wrapText="true" indent="0" shrinkToFit="false"/>
      <protection locked="true" hidden="false"/>
    </xf>
    <xf numFmtId="192" fontId="132" fillId="9" borderId="118" xfId="57" applyFont="true" applyBorder="true" applyAlignment="true" applyProtection="false">
      <alignment horizontal="center" vertical="center" textRotation="0" wrapText="true" indent="0" shrinkToFit="false"/>
      <protection locked="true" hidden="false"/>
    </xf>
    <xf numFmtId="201" fontId="132" fillId="9" borderId="118" xfId="57" applyFont="true" applyBorder="true" applyAlignment="true" applyProtection="false">
      <alignment horizontal="center" vertical="center" textRotation="0" wrapText="false" indent="0" shrinkToFit="false"/>
      <protection locked="true" hidden="false"/>
    </xf>
    <xf numFmtId="192" fontId="132" fillId="9" borderId="116" xfId="57" applyFont="true" applyBorder="true" applyAlignment="true" applyProtection="false">
      <alignment horizontal="left" vertical="center" textRotation="0" wrapText="false" indent="0" shrinkToFit="false"/>
      <protection locked="true" hidden="false"/>
    </xf>
    <xf numFmtId="192" fontId="132" fillId="9" borderId="123" xfId="57" applyFont="true" applyBorder="true" applyAlignment="true" applyProtection="false">
      <alignment horizontal="general" vertical="center" textRotation="0" wrapText="true" indent="0" shrinkToFit="false"/>
      <protection locked="true" hidden="false"/>
    </xf>
    <xf numFmtId="192" fontId="132" fillId="9" borderId="130" xfId="57" applyFont="true" applyBorder="true" applyAlignment="true" applyProtection="false">
      <alignment horizontal="left" vertical="center" textRotation="0" wrapText="false" indent="0" shrinkToFit="false"/>
      <protection locked="true" hidden="false"/>
    </xf>
    <xf numFmtId="192" fontId="132" fillId="9" borderId="131" xfId="57" applyFont="true" applyBorder="true" applyAlignment="true" applyProtection="false">
      <alignment horizontal="center" vertical="center" textRotation="0" wrapText="true" indent="0" shrinkToFit="false"/>
      <protection locked="true" hidden="false"/>
    </xf>
    <xf numFmtId="192" fontId="132" fillId="9" borderId="117" xfId="57" applyFont="true" applyBorder="true" applyAlignment="true" applyProtection="false">
      <alignment horizontal="general" vertical="center" textRotation="0" wrapText="false" indent="0" shrinkToFit="false"/>
      <protection locked="true" hidden="false"/>
    </xf>
    <xf numFmtId="192" fontId="133" fillId="9" borderId="118" xfId="57" applyFont="true" applyBorder="true" applyAlignment="true" applyProtection="false">
      <alignment horizontal="general" vertical="center" textRotation="0" wrapText="false" indent="0" shrinkToFit="false"/>
      <protection locked="true" hidden="false"/>
    </xf>
    <xf applyNumberFormat="true" numFmtId="189" fontId="104" fillId="0" borderId="85" xfId="55" applyFont="true" applyBorder="true" applyAlignment="true" applyProtection="false">
      <alignment horizontal="center" vertical="center" textRotation="0" wrapText="true" indent="0" shrinkToFit="false"/>
      <protection locked="true" hidden="false"/>
    </xf>
    <xf applyNumberFormat="true" numFmtId="189" fontId="104" fillId="0" borderId="86" xfId="55" applyFont="true" applyBorder="true" applyAlignment="true" applyProtection="false">
      <alignment horizontal="center" vertical="center" textRotation="0" wrapText="true" indent="0" shrinkToFit="false"/>
      <protection locked="true" hidden="false"/>
    </xf>
    <xf applyNumberFormat="true" numFmtId="189" fontId="104" fillId="0" borderId="83" xfId="55" applyFont="true" applyBorder="true" applyAlignment="true" applyProtection="false">
      <alignment horizontal="center" vertical="center" textRotation="0" wrapText="true" indent="0" shrinkToFit="false"/>
      <protection locked="true" hidden="false"/>
    </xf>
  </cellXfs>
  <cellStyles count="43">
    <cellStyle name="Normal" xfId="0" builtinId="0"/>
    <cellStyle name="Comma" xfId="15" builtinId="3"/>
    <cellStyle name="Comma [0]" xfId="16" builtinId="6"/>
    <cellStyle name="Currency" xfId="17" builtinId="4"/>
    <cellStyle name="Currency [0]" xfId="18" builtinId="7"/>
    <cellStyle name="Percent" xfId="19" builtinId="5"/>
    <cellStyle name="??&amp;O?&amp;H?_x0008_??_x0007__x0001__x0001_" xfId="20"/>
    <cellStyle name="_2000하반기 견적서 ( 미씨860오피스텔 탑시티, 청우, 유일, 동부,경진 )" xfId="21"/>
    <cellStyle name="_2002 상반기 견적서 ( 롯데 분당점 공정표 )" xfId="22"/>
    <cellStyle name="category" xfId="23"/>
    <cellStyle name="Comma [0]_laroux" xfId="24"/>
    <cellStyle name="Comma_laroux" xfId="25"/>
    <cellStyle name="Currency [0]_laroux" xfId="26"/>
    <cellStyle name="Currency_laroux" xfId="27"/>
    <cellStyle name="Grey" xfId="28"/>
    <cellStyle name="HEADER" xfId="29"/>
    <cellStyle name="Header1" xfId="30"/>
    <cellStyle name="Header2" xfId="31"/>
    <cellStyle name="Input [yellow]" xfId="32"/>
    <cellStyle name="Model" xfId="33"/>
    <cellStyle name="Normal - Style1" xfId="34"/>
    <cellStyle name="Normal_Certs Q2" xfId="35"/>
    <cellStyle name="Percent [2]" xfId="36"/>
    <cellStyle name="subhead" xfId="37"/>
    <cellStyle name="굴림" xfId="38"/>
    <cellStyle name="스타일 1" xfId="39"/>
    <cellStyle name="콤마 [0]_1" xfId="40"/>
    <cellStyle name="콤마_1" xfId="41"/>
    <cellStyle name="표준 19" xfId="42"/>
    <cellStyle name="표준 2" xfId="43"/>
    <cellStyle name="표준 2 2" xfId="44"/>
    <cellStyle name="표준 2 2 2" xfId="45"/>
    <cellStyle name="표준 2 3" xfId="46"/>
    <cellStyle name="표준 2_지적1" xfId="47"/>
    <cellStyle name="표준 3" xfId="48"/>
    <cellStyle name="표준 3 2" xfId="49"/>
    <cellStyle name="표준 4" xfId="50"/>
    <cellStyle name="표준 5" xfId="51"/>
    <cellStyle name="표준 5 4" xfId="52"/>
    <cellStyle name="표준 6" xfId="53"/>
    <cellStyle name="표준 7" xfId="54"/>
    <cellStyle name="표준 8" xfId="55"/>
    <cellStyle name="표준_견적서" xfId="56"/>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51" Type="http://schemas.openxmlformats.org/officeDocument/2006/relationships/sharedStrings" Target="sharedStrings.xml"/>
<Relationship Id="rId52" Type="http://schemas.openxmlformats.org/officeDocument/2006/relationships/worksheet" Target="worksheets/sheetD27.xml"/><Relationship Id="rId53" Type="http://schemas.openxmlformats.org/officeDocument/2006/relationships/worksheet" Target="worksheets/sheetD28.xml"/><Relationship Id="rId54" Type="http://schemas.openxmlformats.org/officeDocument/2006/relationships/worksheet" Target="worksheets/sheetD29.xml"/><Relationship Id="rId55" Type="http://schemas.openxmlformats.org/officeDocument/2006/relationships/worksheet" Target="worksheets/sheetD30.xml"/><Relationship Id="rId56" Type="http://schemas.openxmlformats.org/officeDocument/2006/relationships/worksheet" Target="worksheets/sheetD31.xml"/><Relationship Id="rId57" Type="http://schemas.openxmlformats.org/officeDocument/2006/relationships/worksheet" Target="worksheets/sheetD32.xml"/><Relationship Id="rId58" Type="http://schemas.openxmlformats.org/officeDocument/2006/relationships/worksheet" Target="worksheets/sheetD33.xml"/><Relationship Id="rId59" Type="http://schemas.openxmlformats.org/officeDocument/2006/relationships/worksheet" Target="worksheets/sheetD34.xml"/><Relationship Id="rId60" Type="http://schemas.openxmlformats.org/officeDocument/2006/relationships/worksheet" Target="worksheets/sheetD35.xml"/><Relationship Id="rId61" Type="http://schemas.openxmlformats.org/officeDocument/2006/relationships/worksheet" Target="worksheets/sheetD36.xml"/><Relationship Id="rId62" Type="http://schemas.openxmlformats.org/officeDocument/2006/relationships/worksheet" Target="worksheets/sheetD37.xml"/><Relationship Id="rId63" Type="http://schemas.openxmlformats.org/officeDocument/2006/relationships/worksheet" Target="worksheets/sheetD38.xml"/><Relationship Id="rId64" Type="http://schemas.openxmlformats.org/officeDocument/2006/relationships/worksheet" Target="worksheets/sheetD39.xml"/><Relationship Id="rId65" Type="http://schemas.openxmlformats.org/officeDocument/2006/relationships/worksheet" Target="worksheets/sheetD40.xml"/><Relationship Id="rId66" Type="http://schemas.openxmlformats.org/officeDocument/2006/relationships/worksheet" Target="worksheets/sheetD41.xml"/><Relationship Id="rId67" Type="http://schemas.openxmlformats.org/officeDocument/2006/relationships/worksheet" Target="worksheets/sheetD42.xml"/><Relationship Id="rId68" Type="http://schemas.openxmlformats.org/officeDocument/2006/relationships/worksheet" Target="worksheets/sheetD43.xml"/><Relationship Id="rId69" Type="http://schemas.openxmlformats.org/officeDocument/2006/relationships/worksheet" Target="worksheets/sheetD44.xml"/><Relationship Id="rId70" Type="http://schemas.openxmlformats.org/officeDocument/2006/relationships/worksheet" Target="worksheets/sheetD45.xml"/><Relationship Id="rId71" Type="http://schemas.openxmlformats.org/officeDocument/2006/relationships/worksheet" Target="worksheets/sheetD46.xml"/><Relationship Id="rId72" Type="http://schemas.openxmlformats.org/officeDocument/2006/relationships/worksheet" Target="worksheets/sheetD47.xml"/><Relationship Id="rId73" Type="http://schemas.openxmlformats.org/officeDocument/2006/relationships/worksheet" Target="worksheets/sheetD48.xml"/><Relationship Id="rId74" Type="http://schemas.openxmlformats.org/officeDocument/2006/relationships/worksheet" Target="worksheets/sheetD49.xml"/><Relationship Id="rId75" Type="http://schemas.openxmlformats.org/officeDocument/2006/relationships/worksheet" Target="worksheets/sheetD50.xml"/><Relationship Id="rId76" Type="http://schemas.openxmlformats.org/officeDocument/2006/relationships/worksheet" Target="worksheets/sheetD51.xml"/><Relationship Id="rId77" Type="http://schemas.openxmlformats.org/officeDocument/2006/relationships/worksheet" Target="worksheets/sheetD52.xml"/><Relationship Id="rId78" Type="http://schemas.openxmlformats.org/officeDocument/2006/relationships/worksheet" Target="worksheets/sheetD53.xml"/><Relationship Id="rId79" Type="http://schemas.openxmlformats.org/officeDocument/2006/relationships/worksheet" Target="worksheets/sheetD54.xml"/><Relationship Id="rId80" Type="http://schemas.openxmlformats.org/officeDocument/2006/relationships/worksheet" Target="worksheets/sheetD55.xml"/><Relationship Id="rId81" Type="http://schemas.openxmlformats.org/officeDocument/2006/relationships/worksheet" Target="worksheets/sheetD56.xml"/><Relationship Id="rId82" Type="http://schemas.openxmlformats.org/officeDocument/2006/relationships/worksheet" Target="worksheets/sheetD57.xml"/><Relationship Id="rId83" Type="http://schemas.openxmlformats.org/officeDocument/2006/relationships/worksheet" Target="worksheets/sheetD58.xml"/><Relationship Id="rId84" Type="http://schemas.openxmlformats.org/officeDocument/2006/relationships/worksheet" Target="worksheets/sheetD59.xml"/><Relationship Id="rId85" Type="http://schemas.openxmlformats.org/officeDocument/2006/relationships/worksheet" Target="worksheets/sheetD60.xml"/><Relationship Id="rId86" Type="http://schemas.openxmlformats.org/officeDocument/2006/relationships/worksheet" Target="worksheets/sheetD61.xml"/><Relationship Id="rId87" Type="http://schemas.openxmlformats.org/officeDocument/2006/relationships/worksheet" Target="worksheets/sheetD62.xml"/><Relationship Id="rId88" Type="http://schemas.openxmlformats.org/officeDocument/2006/relationships/worksheet" Target="worksheets/sheetD63.xml"/><Relationship Id="rId89" Type="http://schemas.openxmlformats.org/officeDocument/2006/relationships/worksheet" Target="worksheets/sheetD64.xml"/><Relationship Id="rId90" Type="http://schemas.openxmlformats.org/officeDocument/2006/relationships/worksheet" Target="worksheets/sheetD65.xml"/><Relationship Id="rId91" Type="http://schemas.openxmlformats.org/officeDocument/2006/relationships/worksheet" Target="worksheets/sheetD66.xml"/><Relationship Id="rId92" Type="http://schemas.openxmlformats.org/officeDocument/2006/relationships/worksheet" Target="worksheets/sheetD67.xml"/></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35640</xdr:colOff>
      <xdr:row>4</xdr:row>
      <xdr:rowOff>28440</xdr:rowOff>
    </xdr:from>
    <xdr:to>
      <xdr:col>1</xdr:col>
      <xdr:colOff>360</xdr:colOff>
      <xdr:row>5</xdr:row>
      <xdr:rowOff>228600</xdr:rowOff>
    </xdr:to>
    <xdr:sp>
      <xdr:nvSpPr>
        <xdr:cNvPr id="1" name="직선 연결선 1"/>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2" name="직선 연결선 2"/>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3" name="직선 연결선 3"/>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35640</xdr:colOff>
      <xdr:row>4</xdr:row>
      <xdr:rowOff>28440</xdr:rowOff>
    </xdr:from>
    <xdr:to>
      <xdr:col>1</xdr:col>
      <xdr:colOff>360</xdr:colOff>
      <xdr:row>5</xdr:row>
      <xdr:rowOff>228600</xdr:rowOff>
    </xdr:to>
    <xdr:sp>
      <xdr:nvSpPr>
        <xdr:cNvPr id="4" name="직선 연결선 1"/>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5" name="직선 연결선 2"/>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4</xdr:row>
      <xdr:rowOff>28440</xdr:rowOff>
    </xdr:from>
    <xdr:to>
      <xdr:col>1</xdr:col>
      <xdr:colOff>360</xdr:colOff>
      <xdr:row>5</xdr:row>
      <xdr:rowOff>228600</xdr:rowOff>
    </xdr:to>
    <xdr:sp>
      <xdr:nvSpPr>
        <xdr:cNvPr id="6" name="직선 연결선 3"/>
        <xdr:cNvSpPr/>
      </xdr:nvSpPr>
      <xdr:spPr>
        <a:xfrm>
          <a:off x="35640" y="1085760"/>
          <a:ext cx="858240" cy="428760"/>
        </a:xfrm>
        <a:prstGeom prst="line">
          <a:avLst/>
        </a:prstGeom>
        <a:ln w="9360">
          <a:solidFill>
            <a:srgbClr val="0000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27360</xdr:colOff>
      <xdr:row>34</xdr:row>
      <xdr:rowOff>37800</xdr:rowOff>
    </xdr:from>
    <xdr:to>
      <xdr:col>6</xdr:col>
      <xdr:colOff>360</xdr:colOff>
      <xdr:row>37</xdr:row>
      <xdr:rowOff>152640</xdr:rowOff>
    </xdr:to>
    <xdr:pic>
      <xdr:nvPicPr>
        <xdr:cNvPr id="7" name="그림 6"/>
        <xdr:cNvPicPr/>
      </xdr:nvPicPr>
      <xdr:blipFill>
        <a:blip r:embed="rId1"/>
        <a:stretch/>
      </xdr:blipFill>
      <xdr:spPr>
        <a:xfrm>
          <a:off x="478080" y="8069400"/>
          <a:ext cx="874800" cy="863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35640</xdr:colOff>
      <xdr:row>5</xdr:row>
      <xdr:rowOff>28440</xdr:rowOff>
    </xdr:from>
    <xdr:to>
      <xdr:col>1</xdr:col>
      <xdr:colOff>360</xdr:colOff>
      <xdr:row>6</xdr:row>
      <xdr:rowOff>228600</xdr:rowOff>
    </xdr:to>
    <xdr:sp>
      <xdr:nvSpPr>
        <xdr:cNvPr id="8" name="직선 연결선 1"/>
        <xdr:cNvSpPr/>
      </xdr:nvSpPr>
      <xdr:spPr>
        <a:xfrm>
          <a:off x="35640" y="164772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5</xdr:row>
      <xdr:rowOff>28440</xdr:rowOff>
    </xdr:from>
    <xdr:to>
      <xdr:col>1</xdr:col>
      <xdr:colOff>360</xdr:colOff>
      <xdr:row>6</xdr:row>
      <xdr:rowOff>228600</xdr:rowOff>
    </xdr:to>
    <xdr:sp>
      <xdr:nvSpPr>
        <xdr:cNvPr id="9" name="직선 연결선 2"/>
        <xdr:cNvSpPr/>
      </xdr:nvSpPr>
      <xdr:spPr>
        <a:xfrm>
          <a:off x="35640" y="1647720"/>
          <a:ext cx="858240" cy="428760"/>
        </a:xfrm>
        <a:prstGeom prst="line">
          <a:avLst/>
        </a:prstGeom>
        <a:ln w="9360">
          <a:solidFill>
            <a:srgbClr val="000000"/>
          </a:solidFill>
          <a:miter/>
        </a:ln>
      </xdr:spPr>
      <xdr:style>
        <a:lnRef idx="0"/>
        <a:fillRef idx="0"/>
        <a:effectRef idx="0"/>
        <a:fontRef idx="minor"/>
      </xdr:style>
    </xdr:sp>
    <xdr:clientData/>
  </xdr:twoCellAnchor>
  <xdr:twoCellAnchor editAs="oneCell">
    <xdr:from>
      <xdr:col>0</xdr:col>
      <xdr:colOff>35640</xdr:colOff>
      <xdr:row>5</xdr:row>
      <xdr:rowOff>28440</xdr:rowOff>
    </xdr:from>
    <xdr:to>
      <xdr:col>1</xdr:col>
      <xdr:colOff>360</xdr:colOff>
      <xdr:row>6</xdr:row>
      <xdr:rowOff>228600</xdr:rowOff>
    </xdr:to>
    <xdr:sp>
      <xdr:nvSpPr>
        <xdr:cNvPr id="10" name="직선 연결선 3"/>
        <xdr:cNvSpPr/>
      </xdr:nvSpPr>
      <xdr:spPr>
        <a:xfrm>
          <a:off x="35640" y="1647720"/>
          <a:ext cx="858240" cy="428760"/>
        </a:xfrm>
        <a:prstGeom prst="line">
          <a:avLst/>
        </a:prstGeom>
        <a:ln w="9360">
          <a:solidFill>
            <a:srgbClr val="000000"/>
          </a:solidFill>
          <a:miter/>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6.xml.rels><?xml version="1.0" encoding="UTF-8"?>
<Relationships xmlns="http://schemas.openxmlformats.org/package/2006/relationships"><Relationship Id="rId1" Type="http://schemas.openxmlformats.org/officeDocument/2006/relationships/drawing" Target="../drawings/drawing4.xml"/>
</Relationships>
</file>

<file path=xl/worksheets/_rels/sheet24.xml.rels><?xml version="1.0" encoding="UTF-8"?>
<Relationships xmlns="http://schemas.openxmlformats.org/package/2006/relationships">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Q23"/>
  <sheetViews>
    <sheetView showFormulas="false" showGridLines="true" showRowColHeaders="true" showZeros="fals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7265625" defaultRowHeight="13.5" customHeight="false" zeroHeight="false" outlineLevelRow="0" outlineLevelCol="0"/>
  <cols>
    <col collapsed="false" customWidth="true" hidden="false" outlineLevel="0" max="4" min="1" style="0" width="19.33"/>
    <col collapsed="false" customWidth="true" hidden="false" outlineLevel="0" max="5" min="5" style="0" width="22.55"/>
    <col collapsed="false" customWidth="true" hidden="false" outlineLevel="0" max="6" min="6" style="0" width="11.21"/>
    <col collapsed="false" customWidth="true" hidden="false" outlineLevel="0" max="7" min="7" style="0" width="9.44"/>
  </cols>
  <sheetData>
    <row r="1" customFormat="false" ht="31.5" hidden="false" customHeight="true" outlineLevel="0" collapsed="false">
      <c r="A1" s="1" t="s">
        <v>0</v>
      </c>
      <c r="B1" s="2"/>
      <c r="C1" s="2" t="s">
        <v>2</v>
      </c>
      <c r="D1" s="2"/>
      <c r="E1" s="3"/>
      <c r="F1" s="4"/>
    </row>
    <row r="2" customFormat="false" ht="31.5" hidden="false" customHeight="true" outlineLevel="0" collapsed="false">
      <c r="A2" s="1" t="s">
        <v>6</v>
      </c>
      <c r="B2" s="2"/>
      <c r="C2" s="2" t="s">
        <v>2</v>
      </c>
      <c r="D2" s="2"/>
      <c r="E2" s="3">
        <f aca="false">E1</f>
      </c>
      <c r="F2" s="4"/>
    </row>
    <row r="3" customFormat="false" ht="31.5" hidden="false" customHeight="true" outlineLevel="0" collapsed="false">
      <c r="A3" s="1" t="s">
        <v>6</v>
      </c>
      <c r="B3" s="2"/>
      <c r="C3" s="2" t="s">
        <v>2</v>
      </c>
      <c r="D3" s="2"/>
      <c r="E3" s="3">
        <f aca="false">E2</f>
      </c>
    </row>
    <row r="4" customFormat="false" ht="31.5" hidden="false" customHeight="true" outlineLevel="0" collapsed="false">
      <c r="A4" s="1" t="s">
        <v>6</v>
      </c>
      <c r="B4" s="2"/>
      <c r="C4" s="2" t="s">
        <v>2</v>
      </c>
      <c r="D4" s="2"/>
      <c r="E4" s="3">
        <f aca="false">E3</f>
      </c>
    </row>
    <row r="5" customFormat="false" ht="31.5" hidden="false" customHeight="true" outlineLevel="0" collapsed="false">
      <c r="A5" s="1" t="s">
        <v>6</v>
      </c>
      <c r="B5" s="5"/>
      <c r="C5" s="5" t="s">
        <v>2</v>
      </c>
      <c r="D5" s="5"/>
      <c r="E5" s="3">
        <f aca="false">E4</f>
      </c>
    </row>
    <row r="6" customFormat="false" ht="31.5" hidden="false" customHeight="true" outlineLevel="0" collapsed="false">
      <c r="A6" s="1" t="s">
        <v>6</v>
      </c>
      <c r="B6" s="6"/>
      <c r="C6" s="6" t="s">
        <v>2</v>
      </c>
      <c r="D6" s="6"/>
      <c r="E6" s="3">
        <f aca="false">E5</f>
      </c>
    </row>
    <row r="7" customFormat="false" ht="31.5" hidden="false" customHeight="true" outlineLevel="0" collapsed="false">
      <c r="A7" s="1" t="s">
        <v>6</v>
      </c>
      <c r="B7" s="2"/>
      <c r="C7" s="2" t="s">
        <v>2</v>
      </c>
      <c r="D7" s="2"/>
      <c r="E7" s="3">
        <f aca="false">E6</f>
      </c>
    </row>
    <row r="8" customFormat="false" ht="31.5" hidden="false" customHeight="true" outlineLevel="0" collapsed="false">
      <c r="A8" s="1" t="s">
        <v>6</v>
      </c>
      <c r="B8" s="5"/>
      <c r="C8" s="6" t="s">
        <v>2</v>
      </c>
      <c r="D8" s="6"/>
      <c r="E8" s="3">
        <f aca="false">E6</f>
      </c>
    </row>
    <row r="9" customFormat="false" ht="21" hidden="false" customHeight="true" outlineLevel="0" collapsed="false">
      <c r="A9" s="7" t="s">
        <v>21</v>
      </c>
      <c r="B9" s="8"/>
      <c r="C9" s="9" t="s">
        <v>22</v>
      </c>
      <c r="D9" s="9"/>
      <c r="E9" s="10" t="s">
        <v>23</v>
      </c>
      <c r="F9" s="10"/>
      <c r="G9" s="11">
        <f aca="false">B10</f>
      </c>
      <c r="H9" s="12" t="s">
        <v>24</v>
      </c>
      <c r="I9" s="13">
        <f aca="false">G9+J9-1</f>
      </c>
      <c r="J9" s="14"/>
      <c r="K9" s="15" t="s">
        <v>25</v>
      </c>
    </row>
    <row r="10" customFormat="false" ht="21" hidden="false" customHeight="true" outlineLevel="0" collapsed="false">
      <c r="A10" s="7" t="s">
        <v>26</v>
      </c>
      <c r="B10" s="16"/>
      <c r="C10" s="17" t="s">
        <v>27</v>
      </c>
      <c r="D10" s="18">
        <f aca="false">B17</f>
      </c>
      <c r="E10" s="10" t="s">
        <v>28</v>
      </c>
      <c r="F10" s="10"/>
      <c r="G10" s="11">
        <f aca="false">I9</f>
      </c>
      <c r="H10" s="15"/>
      <c r="I10" s="19"/>
      <c r="J10" s="15"/>
      <c r="K10" s="15"/>
    </row>
    <row r="11" customFormat="false" ht="21" hidden="false" customHeight="true" outlineLevel="0" collapsed="false">
      <c r="A11" s="7" t="s">
        <v>29</v>
      </c>
      <c r="B11" s="20">
        <f aca="false">B10</f>
      </c>
      <c r="C11" s="17" t="s">
        <v>30</v>
      </c>
      <c r="D11" s="21"/>
      <c r="E11" s="22" t="s">
        <v>32</v>
      </c>
      <c r="F11" s="22"/>
      <c r="G11" s="23" t="s">
        <v>32</v>
      </c>
      <c r="H11" s="15"/>
      <c r="I11" s="19"/>
      <c r="J11" s="15"/>
      <c r="K11" s="15"/>
    </row>
    <row r="12" customFormat="false" ht="21" hidden="false" customHeight="true" outlineLevel="0" collapsed="false">
      <c r="A12" s="24" t="s">
        <v>33</v>
      </c>
      <c r="B12" s="25"/>
      <c r="C12" s="26" t="s">
        <v>34</v>
      </c>
      <c r="D12" s="27">
        <f aca="false">B19</f>
      </c>
      <c r="E12" s="22" t="s">
        <v>32</v>
      </c>
      <c r="F12" s="22"/>
      <c r="G12" s="23" t="s">
        <v>32</v>
      </c>
      <c r="H12" s="15"/>
      <c r="I12" s="19"/>
      <c r="J12" s="15"/>
      <c r="K12" s="15"/>
    </row>
    <row r="13" customFormat="false" ht="21" hidden="false" customHeight="true" outlineLevel="0" collapsed="false">
      <c r="A13" s="24" t="s">
        <v>35</v>
      </c>
      <c r="B13" s="28"/>
      <c r="C13" s="29" t="s">
        <v>36</v>
      </c>
      <c r="D13" s="30"/>
      <c r="E13" s="22"/>
      <c r="F13" s="22"/>
      <c r="G13" s="31" t="s">
        <v>32</v>
      </c>
      <c r="H13" s="15" t="s">
        <v>32</v>
      </c>
      <c r="I13" s="19"/>
      <c r="J13" s="15"/>
      <c r="K13" s="15"/>
    </row>
    <row r="14" customFormat="false" ht="22.5" hidden="false" customHeight="true" outlineLevel="0" collapsed="false">
      <c r="A14" s="7" t="s">
        <v>37</v>
      </c>
      <c r="B14" s="32"/>
      <c r="C14" s="33" t="s">
        <v>39</v>
      </c>
      <c r="D14" s="34"/>
      <c r="E14" s="35"/>
      <c r="F14" s="35"/>
    </row>
    <row r="15" customFormat="false" ht="22.5" hidden="false" customHeight="true" outlineLevel="0" collapsed="false">
      <c r="A15" s="7" t="s">
        <v>41</v>
      </c>
      <c r="B15" s="32"/>
      <c r="C15" s="36" t="s">
        <v>43</v>
      </c>
      <c r="D15" s="37"/>
      <c r="E15" s="35"/>
      <c r="F15" s="35"/>
      <c r="M15" s="0"/>
      <c r="N15" s="38"/>
      <c r="O15" s="38"/>
      <c r="P15" s="38"/>
      <c r="Q15" s="38"/>
    </row>
    <row r="16" customFormat="false" ht="22.5" hidden="false" customHeight="true" outlineLevel="0" collapsed="false">
      <c r="A16" s="7" t="s">
        <v>46</v>
      </c>
      <c r="B16" s="39"/>
      <c r="C16" s="39"/>
      <c r="D16" s="39"/>
      <c r="E16" s="35"/>
      <c r="F16" s="35"/>
    </row>
    <row r="17" customFormat="false" ht="22.5" hidden="false" customHeight="true" outlineLevel="0" collapsed="false">
      <c r="A17" s="7" t="s">
        <v>48</v>
      </c>
      <c r="B17" s="40"/>
      <c r="C17" s="24" t="s">
        <v>50</v>
      </c>
      <c r="D17" s="41"/>
      <c r="E17" s="35"/>
      <c r="F17" s="35"/>
    </row>
    <row r="18" customFormat="false" ht="22.5" hidden="false" customHeight="true" outlineLevel="0" collapsed="false">
      <c r="A18" s="42" t="s">
        <v>52</v>
      </c>
      <c r="B18" s="43"/>
      <c r="C18" s="24" t="s">
        <v>53</v>
      </c>
      <c r="D18" s="41"/>
      <c r="E18" s="35"/>
      <c r="F18" s="35"/>
    </row>
    <row r="19" customFormat="false" ht="22.5" hidden="false" customHeight="true" outlineLevel="0" collapsed="false">
      <c r="A19" s="7" t="s">
        <v>54</v>
      </c>
      <c r="B19" s="44"/>
      <c r="C19" s="24" t="s">
        <v>56</v>
      </c>
      <c r="D19" s="45"/>
      <c r="E19" s="35"/>
      <c r="F19" s="35"/>
    </row>
    <row r="20" customFormat="false" ht="22.5" hidden="false" customHeight="true" outlineLevel="0" collapsed="false">
      <c r="A20" s="7" t="s">
        <v>57</v>
      </c>
      <c r="B20" s="46"/>
      <c r="C20" s="24" t="s">
        <v>59</v>
      </c>
      <c r="D20" s="45"/>
      <c r="E20" s="35"/>
      <c r="F20" s="35"/>
    </row>
    <row r="21" customFormat="false" ht="22.5" hidden="false" customHeight="true" outlineLevel="0" collapsed="false">
      <c r="A21" s="7" t="s">
        <v>60</v>
      </c>
      <c r="B21" s="43"/>
      <c r="C21" s="24" t="s">
        <v>61</v>
      </c>
      <c r="D21" s="47"/>
      <c r="E21" s="35"/>
      <c r="F21" s="35"/>
    </row>
    <row r="22" customFormat="false" ht="22.5" hidden="false" customHeight="true" outlineLevel="0" collapsed="false">
      <c r="A22" s="7" t="s">
        <v>62</v>
      </c>
      <c r="B22" s="43"/>
      <c r="C22" s="48"/>
      <c r="D22" s="47" t="s">
        <v>32</v>
      </c>
      <c r="E22" s="35"/>
      <c r="F22" s="35"/>
    </row>
    <row r="23" customFormat="false" ht="22.5" hidden="false" customHeight="true" outlineLevel="0" collapsed="false">
      <c r="A23" s="7" t="s">
        <v>63</v>
      </c>
      <c r="B23" s="43"/>
      <c r="C23" s="49" t="s">
        <v>32</v>
      </c>
      <c r="D23" s="50"/>
      <c r="E23" s="35"/>
      <c r="F23" s="35"/>
    </row>
  </sheetData>
  <mergeCells count="19">
    <mergeCell ref="C9:D9"/>
    <mergeCell ref="E9:F9"/>
    <mergeCell ref="E10:F10"/>
    <mergeCell ref="E11:F11"/>
    <mergeCell ref="E12:F12"/>
    <mergeCell ref="E13:F13"/>
    <mergeCell ref="E14:F14"/>
    <mergeCell ref="E15:F15"/>
    <mergeCell ref="N15:O15"/>
    <mergeCell ref="P15:Q15"/>
    <mergeCell ref="B16:D16"/>
    <mergeCell ref="E16:F16"/>
    <mergeCell ref="E17:F17"/>
    <mergeCell ref="E18:F18"/>
    <mergeCell ref="E19:F19"/>
    <mergeCell ref="E20:F20"/>
    <mergeCell ref="E21:F21"/>
    <mergeCell ref="E22:F22"/>
    <mergeCell ref="E23:F23"/>
  </mergeCells>
  <printOptions headings="false" gridLines="false" gridLinesSet="true" horizontalCentered="false" verticalCentered="false"/>
  <pageMargins left="0.7" right="0.7" top="0.75" bottom="0.75"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33"/>
  <sheetViews>
    <sheetView showFormulas="false" showGridLines="true" showRowColHeaders="true" showZeros="false" rightToLeft="false" tabSelected="false" showOutlineSymbols="true" defaultGridColor="true" view="normal" topLeftCell="A22" colorId="64" zoomScale="100" zoomScaleNormal="100" zoomScalePageLayoutView="100" workbookViewId="0">
      <selection pane="topLeft" activeCell="D39" activeCellId="0" sqref="D39"/>
    </sheetView>
  </sheetViews>
  <sheetFormatPr defaultColWidth="8.88671875" defaultRowHeight="13.5" customHeight="false" zeroHeight="false" outlineLevelRow="0" outlineLevelCol="0"/>
  <cols>
    <col collapsed="false" customWidth="true" hidden="false" outlineLevel="0" max="1" min="1" style="51" width="11.55"/>
    <col collapsed="false" customWidth="true" hidden="false" outlineLevel="0" max="2" min="2" style="51" width="13.99"/>
    <col collapsed="false" customWidth="true" hidden="false" outlineLevel="0" max="3" min="3" style="51" width="15.1"/>
    <col collapsed="false" customWidth="true" hidden="false" outlineLevel="0" max="4" min="4" style="51" width="17.88"/>
    <col collapsed="false" customWidth="true" hidden="false" outlineLevel="0" max="6" min="5" style="51" width="15.88"/>
    <col collapsed="false" customWidth="false" hidden="false" outlineLevel="0" max="257" min="7" style="51" width="8.88"/>
  </cols>
  <sheetData>
    <row r="1" customFormat="false" ht="13.5" hidden="false" customHeight="false" outlineLevel="0" collapsed="false">
      <c r="A1" s="52" t="s">
        <v>64</v>
      </c>
      <c r="F1" s="53" t="s">
        <v>65</v>
      </c>
    </row>
    <row r="2" customFormat="false" ht="45" hidden="false" customHeight="true" outlineLevel="0" collapsed="false">
      <c r="A2" s="54" t="s">
        <v>66</v>
      </c>
      <c r="B2" s="54"/>
      <c r="C2" s="54"/>
      <c r="D2" s="54"/>
      <c r="E2" s="54"/>
      <c r="F2" s="54"/>
    </row>
    <row r="3" customFormat="false" ht="15.75" hidden="false" customHeight="true" outlineLevel="0" collapsed="false">
      <c r="A3" s="55" t="s">
        <v>67</v>
      </c>
      <c r="B3" s="55"/>
      <c r="C3" s="55"/>
      <c r="D3" s="55"/>
      <c r="E3" s="55"/>
      <c r="F3" s="55"/>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c r="FS3" s="56"/>
      <c r="FT3" s="56"/>
      <c r="FU3" s="56"/>
      <c r="FV3" s="56"/>
      <c r="FW3" s="56"/>
      <c r="FX3" s="56"/>
      <c r="FY3" s="56"/>
      <c r="FZ3" s="56"/>
      <c r="GA3" s="56"/>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c r="IH3" s="56"/>
      <c r="II3" s="56"/>
      <c r="IJ3" s="56"/>
      <c r="IK3" s="56"/>
      <c r="IL3" s="56"/>
      <c r="IM3" s="56"/>
      <c r="IN3" s="56"/>
      <c r="IO3" s="56"/>
      <c r="IP3" s="56"/>
      <c r="IQ3" s="56"/>
      <c r="IR3" s="56"/>
      <c r="IS3" s="56"/>
      <c r="IT3" s="56"/>
      <c r="IU3" s="56"/>
      <c r="IV3" s="56"/>
      <c r="IW3" s="56"/>
    </row>
    <row r="4" customFormat="false" ht="20.25" hidden="false" customHeight="true" outlineLevel="0" collapsed="false">
      <c r="A4" s="57" t="s">
        <v>68</v>
      </c>
      <c r="B4" s="58" t="s">
        <v>69</v>
      </c>
      <c r="C4" s="59">
        <f aca="false">개요!B14</f>
      </c>
      <c r="D4" s="59"/>
      <c r="E4" s="60" t="s">
        <v>41</v>
      </c>
      <c r="F4" s="60"/>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c r="GP4" s="56"/>
      <c r="GQ4" s="56"/>
      <c r="GR4" s="56"/>
      <c r="GS4" s="56"/>
      <c r="GT4" s="56"/>
      <c r="GU4" s="56"/>
      <c r="GV4" s="56"/>
      <c r="GW4" s="56"/>
      <c r="GX4" s="56"/>
      <c r="GY4" s="56"/>
      <c r="GZ4" s="56"/>
      <c r="HA4" s="56"/>
      <c r="HB4" s="56"/>
      <c r="HC4" s="56"/>
      <c r="HD4" s="56"/>
      <c r="HE4" s="56"/>
      <c r="HF4" s="56"/>
      <c r="HG4" s="56"/>
      <c r="HH4" s="56"/>
      <c r="HI4" s="56"/>
      <c r="HJ4" s="56"/>
      <c r="HK4" s="56"/>
      <c r="HL4" s="56"/>
      <c r="HM4" s="56"/>
      <c r="HN4" s="56"/>
      <c r="HO4" s="56"/>
      <c r="HP4" s="56"/>
      <c r="HQ4" s="56"/>
      <c r="HR4" s="56"/>
      <c r="HS4" s="56"/>
      <c r="HT4" s="56"/>
      <c r="HU4" s="56"/>
      <c r="HV4" s="56"/>
      <c r="HW4" s="56"/>
      <c r="HX4" s="56"/>
      <c r="HY4" s="56"/>
      <c r="HZ4" s="56"/>
      <c r="IA4" s="56"/>
      <c r="IB4" s="56"/>
      <c r="IC4" s="56"/>
      <c r="ID4" s="56"/>
      <c r="IE4" s="56"/>
      <c r="IF4" s="56"/>
      <c r="IG4" s="56"/>
      <c r="IH4" s="56"/>
      <c r="II4" s="56"/>
      <c r="IJ4" s="56"/>
      <c r="IK4" s="56"/>
      <c r="IL4" s="56"/>
      <c r="IM4" s="56"/>
      <c r="IN4" s="56"/>
      <c r="IO4" s="56"/>
      <c r="IP4" s="56"/>
      <c r="IQ4" s="56"/>
      <c r="IR4" s="56"/>
      <c r="IS4" s="56"/>
      <c r="IT4" s="56"/>
      <c r="IU4" s="56"/>
      <c r="IV4" s="56"/>
      <c r="IW4" s="56"/>
    </row>
    <row r="5" customFormat="false" ht="20.25" hidden="false" customHeight="true" outlineLevel="0" collapsed="false">
      <c r="A5" s="57"/>
      <c r="B5" s="58"/>
      <c r="C5" s="59"/>
      <c r="D5" s="59"/>
      <c r="E5" s="61">
        <f aca="false">개요!B15</f>
      </c>
      <c r="F5" s="61"/>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customFormat="false" ht="29.25" hidden="false" customHeight="true" outlineLevel="0" collapsed="false">
      <c r="A6" s="57"/>
      <c r="B6" s="62" t="s">
        <v>46</v>
      </c>
      <c r="C6" s="63">
        <f aca="false">개요!B16</f>
      </c>
      <c r="D6" s="63"/>
      <c r="E6" s="63"/>
      <c r="F6" s="63"/>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customFormat="false" ht="11.25" hidden="false" customHeight="true" outlineLevel="0" collapsed="false">
      <c r="A7" s="64"/>
      <c r="B7" s="64"/>
      <c r="C7" s="64"/>
      <c r="D7" s="64"/>
      <c r="E7" s="64"/>
      <c r="F7" s="64"/>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24.75" hidden="false" customHeight="true" outlineLevel="0" collapsed="false">
      <c r="A8" s="65" t="s">
        <v>70</v>
      </c>
      <c r="B8" s="66">
        <f aca="false">개요!E1</f>
      </c>
      <c r="C8" s="66"/>
      <c r="D8" s="66"/>
      <c r="E8" s="66" t="s">
        <v>71</v>
      </c>
      <c r="F8" s="67">
        <f aca="false">개요!F1</f>
      </c>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6"/>
      <c r="GO8" s="56"/>
      <c r="GP8" s="56"/>
      <c r="GQ8" s="56"/>
      <c r="GR8" s="56"/>
      <c r="GS8" s="56"/>
      <c r="GT8" s="56"/>
      <c r="GU8" s="56"/>
      <c r="GV8" s="56"/>
      <c r="GW8" s="56"/>
      <c r="GX8" s="56"/>
      <c r="GY8" s="56"/>
      <c r="GZ8" s="56"/>
      <c r="HA8" s="56"/>
      <c r="HB8" s="56"/>
      <c r="HC8" s="56"/>
      <c r="HD8" s="56"/>
      <c r="HE8" s="56"/>
      <c r="HF8" s="56"/>
      <c r="HG8" s="56"/>
      <c r="HH8" s="56"/>
      <c r="HI8" s="56"/>
      <c r="HJ8" s="56"/>
      <c r="HK8" s="56"/>
      <c r="HL8" s="56"/>
      <c r="HM8" s="56"/>
      <c r="HN8" s="56"/>
      <c r="HO8" s="56"/>
      <c r="HP8" s="56"/>
      <c r="HQ8" s="56"/>
      <c r="HR8" s="56"/>
      <c r="HS8" s="56"/>
      <c r="HT8" s="56"/>
      <c r="HU8" s="56"/>
      <c r="HV8" s="56"/>
      <c r="HW8" s="56"/>
      <c r="HX8" s="56"/>
      <c r="HY8" s="56"/>
      <c r="HZ8" s="56"/>
      <c r="IA8" s="56"/>
      <c r="IB8" s="56"/>
      <c r="IC8" s="56"/>
      <c r="ID8" s="56"/>
      <c r="IE8" s="56"/>
      <c r="IF8" s="56"/>
      <c r="IG8" s="56"/>
      <c r="IH8" s="56"/>
      <c r="II8" s="56"/>
      <c r="IJ8" s="56"/>
      <c r="IK8" s="56"/>
      <c r="IL8" s="56"/>
      <c r="IM8" s="56"/>
      <c r="IN8" s="56"/>
      <c r="IO8" s="56"/>
      <c r="IP8" s="56"/>
      <c r="IQ8" s="56"/>
      <c r="IR8" s="56"/>
      <c r="IS8" s="56"/>
      <c r="IT8" s="56"/>
      <c r="IU8" s="56"/>
      <c r="IV8" s="56"/>
      <c r="IW8" s="56"/>
    </row>
    <row r="9" customFormat="false" ht="24" hidden="false" customHeight="true" outlineLevel="0" collapsed="false">
      <c r="A9" s="68" t="s">
        <v>72</v>
      </c>
      <c r="B9" s="69" t="s">
        <v>73</v>
      </c>
      <c r="C9" s="69"/>
      <c r="D9" s="70" t="s">
        <v>32</v>
      </c>
      <c r="E9" s="71" t="s">
        <v>74</v>
      </c>
      <c r="F9" s="71"/>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customFormat="false" ht="24" hidden="false" customHeight="true" outlineLevel="0" collapsed="false">
      <c r="A10" s="68"/>
      <c r="B10" s="72" t="s">
        <v>75</v>
      </c>
      <c r="C10" s="72"/>
      <c r="E10" s="51" t="s">
        <v>74</v>
      </c>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customFormat="false" ht="24" hidden="false" customHeight="true" outlineLevel="0" collapsed="false">
      <c r="A11" s="68"/>
      <c r="B11" s="73" t="s">
        <v>76</v>
      </c>
      <c r="C11" s="73"/>
      <c r="D11" s="74" t="s">
        <v>77</v>
      </c>
      <c r="E11" s="51" t="s">
        <v>78</v>
      </c>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customFormat="false" ht="21.75" hidden="false" customHeight="true" outlineLevel="0" collapsed="false">
      <c r="A12" s="68"/>
      <c r="B12" s="75" t="s">
        <v>79</v>
      </c>
      <c r="C12" s="76" t="s">
        <v>80</v>
      </c>
      <c r="D12" s="76"/>
      <c r="E12" s="76"/>
      <c r="F12" s="7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customFormat="false" ht="21.75" hidden="false" customHeight="true" outlineLevel="0" collapsed="false">
      <c r="A13" s="68"/>
      <c r="B13" s="75"/>
      <c r="C13" s="77" t="s">
        <v>81</v>
      </c>
      <c r="D13" s="77"/>
      <c r="E13" s="77"/>
      <c r="F13" s="77"/>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customFormat="false" ht="21.75" hidden="false" customHeight="true" outlineLevel="0" collapsed="false">
      <c r="A14" s="68"/>
      <c r="B14" s="75"/>
      <c r="C14" s="78" t="s">
        <v>82</v>
      </c>
      <c r="D14" s="79" t="s">
        <v>27</v>
      </c>
      <c r="E14" s="79">
        <f aca="false">개요!B17</f>
      </c>
      <c r="F14" s="79" t="s">
        <v>83</v>
      </c>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customFormat="false" ht="21.75" hidden="false" customHeight="true" outlineLevel="0" collapsed="false">
      <c r="A15" s="68"/>
      <c r="B15" s="75"/>
      <c r="C15" s="80" t="s">
        <v>84</v>
      </c>
      <c r="D15" s="80"/>
      <c r="E15" s="80"/>
      <c r="F15" s="80"/>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customFormat="false" ht="24.75" hidden="false" customHeight="true" outlineLevel="0" collapsed="false">
      <c r="A16" s="81" t="s">
        <v>85</v>
      </c>
      <c r="B16" s="82" t="s">
        <v>86</v>
      </c>
      <c r="C16" s="75" t="s">
        <v>87</v>
      </c>
      <c r="D16" s="75" t="s">
        <v>88</v>
      </c>
      <c r="E16" s="75" t="s">
        <v>89</v>
      </c>
      <c r="F16" s="77" t="s">
        <v>90</v>
      </c>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customFormat="false" ht="24.75" hidden="false" customHeight="true" outlineLevel="0" collapsed="false">
      <c r="A17" s="81"/>
      <c r="B17" s="82" t="str">
        <f aca="false">개요!A1</f>
        <v>주된 점검인력</v>
      </c>
      <c r="C17" s="2" t="s">
        <v>1</v>
      </c>
      <c r="D17" s="2" t="s">
        <v>91</v>
      </c>
      <c r="E17" s="2" t="s">
        <v>92</v>
      </c>
      <c r="F17" s="83">
        <f aca="false">개요!E1</f>
      </c>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c r="IN17" s="56"/>
      <c r="IO17" s="56"/>
      <c r="IP17" s="56"/>
      <c r="IQ17" s="56"/>
      <c r="IR17" s="56"/>
      <c r="IS17" s="56"/>
      <c r="IT17" s="56"/>
      <c r="IU17" s="56"/>
      <c r="IV17" s="56"/>
      <c r="IW17" s="56"/>
    </row>
    <row r="18" customFormat="false" ht="24.75" hidden="false" customHeight="true" outlineLevel="0" collapsed="false">
      <c r="A18" s="81"/>
      <c r="B18" s="82" t="str">
        <f aca="false">개요!A2</f>
        <v>보조 점검인력</v>
      </c>
      <c r="C18" s="84">
        <f aca="false">개요!B2</f>
      </c>
      <c r="D18" s="84" t="str">
        <f aca="false">개요!C2</f>
        <v>점검자경력수첩</v>
      </c>
      <c r="E18" s="84">
        <f aca="false">개요!D2</f>
      </c>
      <c r="F18" s="83">
        <f aca="false">개요!E2</f>
      </c>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customFormat="false" ht="24.75" hidden="false" customHeight="true" outlineLevel="0" collapsed="false">
      <c r="A19" s="81"/>
      <c r="B19" s="82" t="str">
        <f aca="false">개요!A3</f>
        <v>보조 점검인력</v>
      </c>
      <c r="C19" s="84">
        <f aca="false">개요!B3</f>
      </c>
      <c r="D19" s="84" t="str">
        <f aca="false">개요!C3</f>
        <v>점검자경력수첩</v>
      </c>
      <c r="E19" s="84">
        <f aca="false">개요!D3</f>
      </c>
      <c r="F19" s="83">
        <f aca="false">개요!E3</f>
      </c>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customFormat="false" ht="24.75" hidden="false" customHeight="true" outlineLevel="0" collapsed="false">
      <c r="A20" s="81"/>
      <c r="B20" s="82" t="str">
        <f aca="false">개요!A4</f>
        <v>보조 점검인력</v>
      </c>
      <c r="C20" s="84">
        <f aca="false">개요!B4</f>
      </c>
      <c r="D20" s="84" t="str">
        <f aca="false">개요!C4</f>
        <v>점검자경력수첩</v>
      </c>
      <c r="E20" s="84">
        <f aca="false">개요!D4</f>
      </c>
      <c r="F20" s="83">
        <f aca="false">개요!E4</f>
      </c>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customFormat="false" ht="24.75" hidden="false" customHeight="true" outlineLevel="0" collapsed="false">
      <c r="A21" s="81"/>
      <c r="B21" s="82" t="str">
        <f aca="false">개요!A5</f>
        <v>보조 점검인력</v>
      </c>
      <c r="C21" s="84">
        <f aca="false">개요!B5</f>
      </c>
      <c r="D21" s="84" t="str">
        <f aca="false">개요!C5</f>
        <v>점검자경력수첩</v>
      </c>
      <c r="E21" s="84">
        <f aca="false">개요!D5</f>
      </c>
      <c r="F21" s="83">
        <f aca="false">개요!E5</f>
      </c>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customFormat="false" ht="24.75" hidden="false" customHeight="true" outlineLevel="0" collapsed="false">
      <c r="A22" s="81"/>
      <c r="B22" s="82" t="str">
        <f aca="false">개요!A6</f>
        <v>보조 점검인력</v>
      </c>
      <c r="C22" s="84">
        <f aca="false">개요!B6</f>
      </c>
      <c r="D22" s="84" t="str">
        <f aca="false">개요!C6</f>
        <v>점검자경력수첩</v>
      </c>
      <c r="E22" s="84">
        <f aca="false">개요!D6</f>
      </c>
      <c r="F22" s="83">
        <f aca="false">개요!E6</f>
      </c>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customFormat="false" ht="24.75" hidden="false" customHeight="true" outlineLevel="0" collapsed="false">
      <c r="A23" s="81"/>
      <c r="B23" s="82" t="str">
        <f aca="false">개요!A7</f>
        <v>보조 점검인력</v>
      </c>
      <c r="C23" s="84">
        <f aca="false">개요!B7</f>
      </c>
      <c r="D23" s="84" t="str">
        <f aca="false">개요!C7</f>
        <v>점검자경력수첩</v>
      </c>
      <c r="E23" s="84">
        <f aca="false">개요!D7</f>
      </c>
      <c r="F23" s="83">
        <f aca="false">개요!E7</f>
      </c>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customFormat="false" ht="24.75" hidden="false" customHeight="true" outlineLevel="0" collapsed="false">
      <c r="A24" s="81"/>
      <c r="B24" s="82" t="str">
        <f aca="false">개요!A8</f>
        <v>보조 점검인력</v>
      </c>
      <c r="C24" s="84">
        <f aca="false">개요!B8</f>
      </c>
      <c r="D24" s="84" t="str">
        <f aca="false">개요!C8</f>
        <v>점검자경력수첩</v>
      </c>
      <c r="E24" s="84">
        <f aca="false">개요!D8</f>
      </c>
      <c r="F24" s="83">
        <f aca="false">개요!E8</f>
      </c>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customFormat="false" ht="36" hidden="false" customHeight="true" outlineLevel="0" collapsed="false">
      <c r="A25" s="85" t="s">
        <v>93</v>
      </c>
      <c r="B25" s="85"/>
      <c r="C25" s="85"/>
      <c r="D25" s="85"/>
      <c r="E25" s="85"/>
      <c r="F25" s="85"/>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customFormat="false" ht="19.5" hidden="false" customHeight="true" outlineLevel="0" collapsed="false">
      <c r="A26" s="86"/>
      <c r="B26" s="86"/>
      <c r="C26" s="86"/>
      <c r="D26" s="87">
        <f aca="false">개요!B10</f>
      </c>
      <c r="E26" s="87"/>
      <c r="F26" s="87"/>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row>
    <row r="27" customFormat="false" ht="19.5" hidden="false" customHeight="true" outlineLevel="0" collapsed="false">
      <c r="A27" s="88" t="s">
        <v>94</v>
      </c>
      <c r="B27" s="88"/>
      <c r="C27" s="88"/>
      <c r="D27" s="88"/>
      <c r="E27" s="89">
        <f aca="false">개요!B17</f>
      </c>
      <c r="F27" s="89" t="s">
        <v>83</v>
      </c>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customFormat="false" ht="19.5" hidden="false" customHeight="true" outlineLevel="0" collapsed="false">
      <c r="A28" s="90">
        <f aca="false">개요!D14</f>
      </c>
      <c r="B28" s="91" t="s">
        <v>95</v>
      </c>
      <c r="C28" s="91"/>
      <c r="D28" s="92"/>
      <c r="E28" s="92"/>
      <c r="F28" s="92"/>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customFormat="false" ht="21.75" hidden="false" customHeight="true" outlineLevel="0" collapsed="false">
      <c r="A29" s="93" t="s">
        <v>96</v>
      </c>
      <c r="B29" s="93"/>
      <c r="C29" s="76" t="s">
        <v>97</v>
      </c>
      <c r="D29" s="76"/>
      <c r="E29" s="76"/>
      <c r="F29" s="7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customFormat="false" ht="31.5" hidden="false" customHeight="true" outlineLevel="0" collapsed="false">
      <c r="A30" s="94" t="s">
        <v>98</v>
      </c>
      <c r="B30" s="94"/>
      <c r="C30" s="95" t="s">
        <v>99</v>
      </c>
      <c r="D30" s="95"/>
      <c r="E30" s="95"/>
      <c r="F30" s="95"/>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customFormat="false" ht="30.75" hidden="false" customHeight="true" outlineLevel="0" collapsed="false">
      <c r="A31" s="94" t="s">
        <v>100</v>
      </c>
      <c r="B31" s="94"/>
      <c r="C31" s="95" t="s">
        <v>101</v>
      </c>
      <c r="D31" s="95"/>
      <c r="E31" s="95"/>
      <c r="F31" s="95"/>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customFormat="false" ht="22.5" hidden="false" customHeight="true" outlineLevel="0" collapsed="false">
      <c r="A32" s="96" t="s">
        <v>102</v>
      </c>
      <c r="B32" s="96"/>
      <c r="C32" s="96"/>
      <c r="D32" s="96"/>
      <c r="E32" s="96"/>
      <c r="F32" s="9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customFormat="false" ht="72" hidden="false" customHeight="true" outlineLevel="0" collapsed="false">
      <c r="A33" s="97" t="s">
        <v>103</v>
      </c>
      <c r="B33" s="97"/>
      <c r="C33" s="98" t="s">
        <v>104</v>
      </c>
      <c r="D33" s="98"/>
      <c r="E33" s="98"/>
      <c r="F33" s="98"/>
    </row>
  </sheetData>
  <mergeCells count="32">
    <mergeCell ref="A2:F2"/>
    <mergeCell ref="A3:F3"/>
    <mergeCell ref="A4:A6"/>
    <mergeCell ref="B4:B5"/>
    <mergeCell ref="C4:D5"/>
    <mergeCell ref="E4:F4"/>
    <mergeCell ref="E5:F5"/>
    <mergeCell ref="C6:F6"/>
    <mergeCell ref="A7:F7"/>
    <mergeCell ref="B8:D8"/>
    <mergeCell ref="A9:A15"/>
    <mergeCell ref="B9:C9"/>
    <mergeCell ref="B10:C10"/>
    <mergeCell ref="B11:C11"/>
    <mergeCell ref="B12:B15"/>
    <mergeCell ref="C12:F12"/>
    <mergeCell ref="C13:F13"/>
    <mergeCell ref="C15:F15"/>
    <mergeCell ref="A16:A24"/>
    <mergeCell ref="A25:F25"/>
    <mergeCell ref="D26:F26"/>
    <mergeCell ref="A27:D27"/>
    <mergeCell ref="B28:C28"/>
    <mergeCell ref="A29:B29"/>
    <mergeCell ref="C29:F29"/>
    <mergeCell ref="A30:B30"/>
    <mergeCell ref="C30:F30"/>
    <mergeCell ref="A31:B31"/>
    <mergeCell ref="C31:F31"/>
    <mergeCell ref="A32:F32"/>
    <mergeCell ref="A33:B33"/>
    <mergeCell ref="C33:F33"/>
  </mergeCells>
  <printOptions headings="false" gridLines="false" gridLinesSet="true" horizontalCentered="true" verticalCentered="false"/>
  <pageMargins left="0.35433070866141736" right="0.2755905511811024" top="0.47" bottom="0.1968503937007874" header="0.41" footer="0.28"/>
  <pageSetup paperSize="9" scale="9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23"/>
  <sheetViews>
    <sheetView showFormulas="false" showGridLines="true" showRowColHeaders="true" showZeros="false" rightToLeft="false" tabSelected="false" showOutlineSymbols="true" defaultGridColor="true" view="normal" topLeftCell="A13" colorId="64" zoomScale="100" zoomScaleNormal="100" zoomScalePageLayoutView="100" workbookViewId="0">
      <selection pane="topLeft" activeCell="E14" activeCellId="0" sqref="E14:H14"/>
    </sheetView>
  </sheetViews>
  <sheetFormatPr defaultColWidth="8.88671875" defaultRowHeight="13.5" customHeight="false" zeroHeight="false" outlineLevelRow="0" outlineLevelCol="0"/>
  <cols>
    <col collapsed="false" customWidth="true" hidden="false" outlineLevel="0" max="1" min="1" style="99" width="11.88"/>
    <col collapsed="false" customWidth="true" hidden="false" outlineLevel="0" max="2" min="2" style="99" width="8.33"/>
    <col collapsed="false" customWidth="true" hidden="false" outlineLevel="0" max="3" min="3" style="99" width="6.66"/>
    <col collapsed="false" customWidth="true" hidden="false" outlineLevel="0" max="4" min="4" style="99" width="8.65"/>
    <col collapsed="false" customWidth="true" hidden="false" outlineLevel="0" max="5" min="5" style="99" width="8.33"/>
    <col collapsed="false" customWidth="true" hidden="false" outlineLevel="0" max="6" min="6" style="99" width="3.33"/>
    <col collapsed="false" customWidth="true" hidden="false" outlineLevel="0" max="7" min="7" style="99" width="3.99"/>
    <col collapsed="false" customWidth="true" hidden="false" outlineLevel="0" max="8" min="8" style="99" width="5.66"/>
    <col collapsed="false" customWidth="true" hidden="false" outlineLevel="0" max="9" min="9" style="99" width="7.44"/>
    <col collapsed="false" customWidth="true" hidden="false" outlineLevel="0" max="10" min="10" style="99" width="9.33"/>
    <col collapsed="false" customWidth="true" hidden="false" outlineLevel="0" max="11" min="11" style="99" width="8.77"/>
    <col collapsed="false" customWidth="false" hidden="false" outlineLevel="0" max="257" min="12" style="99" width="8.88"/>
  </cols>
  <sheetData>
    <row r="1" customFormat="false" ht="15.75" hidden="false" customHeight="true" outlineLevel="0" collapsed="false">
      <c r="A1" s="100"/>
      <c r="B1" s="100"/>
      <c r="C1" s="100"/>
      <c r="D1" s="100"/>
      <c r="E1" s="100"/>
      <c r="F1" s="100"/>
      <c r="G1" s="100"/>
      <c r="H1" s="100"/>
      <c r="I1" s="101"/>
      <c r="J1" s="100" t="s">
        <v>105</v>
      </c>
      <c r="K1" s="100"/>
    </row>
    <row r="2" customFormat="false" ht="24.75" hidden="false" customHeight="true" outlineLevel="0" collapsed="false">
      <c r="A2" s="102" t="s">
        <v>106</v>
      </c>
      <c r="B2" s="102"/>
      <c r="C2" s="102"/>
      <c r="D2" s="102"/>
      <c r="E2" s="102"/>
      <c r="F2" s="102"/>
      <c r="G2" s="102"/>
      <c r="H2" s="102"/>
      <c r="I2" s="102"/>
      <c r="J2" s="102"/>
      <c r="K2" s="102"/>
    </row>
    <row r="3" customFormat="false" ht="15.75" hidden="false" customHeight="true" outlineLevel="0" collapsed="false">
      <c r="A3" s="103" t="s">
        <v>107</v>
      </c>
      <c r="B3" s="103"/>
      <c r="C3" s="103"/>
      <c r="D3" s="103"/>
      <c r="E3" s="103"/>
      <c r="F3" s="103"/>
      <c r="G3" s="103"/>
      <c r="H3" s="103"/>
      <c r="I3" s="104"/>
      <c r="J3" s="105"/>
      <c r="K3" s="105"/>
    </row>
    <row r="4" customFormat="false" ht="25.5" hidden="false" customHeight="true" outlineLevel="0" collapsed="false">
      <c r="A4" s="106" t="s">
        <v>108</v>
      </c>
      <c r="B4" s="106"/>
      <c r="C4" s="106"/>
      <c r="D4" s="106"/>
      <c r="E4" s="106"/>
      <c r="F4" s="106"/>
      <c r="G4" s="106"/>
      <c r="H4" s="106"/>
      <c r="I4" s="106"/>
      <c r="J4" s="106"/>
      <c r="K4" s="106"/>
    </row>
    <row r="5" customFormat="false" ht="21.75" hidden="false" customHeight="true" outlineLevel="0" collapsed="false">
      <c r="A5" s="107" t="s">
        <v>109</v>
      </c>
      <c r="B5" s="108" t="s">
        <v>110</v>
      </c>
      <c r="C5" s="108"/>
      <c r="D5" s="108"/>
      <c r="E5" s="108"/>
      <c r="F5" s="108"/>
      <c r="G5" s="108"/>
      <c r="H5" s="108"/>
      <c r="I5" s="108"/>
      <c r="J5" s="108"/>
      <c r="K5" s="108"/>
    </row>
    <row r="6" customFormat="false" ht="21.75" hidden="false" customHeight="true" outlineLevel="0" collapsed="false">
      <c r="A6" s="107"/>
      <c r="B6" s="109" t="s">
        <v>111</v>
      </c>
      <c r="C6" s="110">
        <f aca="false">개요!B17</f>
      </c>
      <c r="D6" s="110"/>
      <c r="E6" s="110" t="s">
        <v>112</v>
      </c>
      <c r="F6" s="110"/>
      <c r="G6" s="111">
        <f aca="false">개요!B19</f>
      </c>
      <c r="H6" s="111"/>
      <c r="I6" s="111"/>
      <c r="J6" s="111"/>
      <c r="K6" s="111"/>
    </row>
    <row r="7" customFormat="false" ht="36.75" hidden="false" customHeight="true" outlineLevel="0" collapsed="false">
      <c r="A7" s="107" t="s">
        <v>113</v>
      </c>
      <c r="B7" s="112">
        <f aca="false">개요!B18</f>
      </c>
      <c r="C7" s="113" t="s">
        <v>32</v>
      </c>
      <c r="D7" s="113"/>
      <c r="E7" s="113"/>
      <c r="F7" s="113"/>
      <c r="G7" s="113"/>
      <c r="H7" s="113"/>
      <c r="I7" s="113"/>
      <c r="J7" s="113"/>
      <c r="K7" s="113"/>
    </row>
    <row r="8" customFormat="false" ht="29.25" hidden="false" customHeight="true" outlineLevel="0" collapsed="false">
      <c r="A8" s="114" t="s">
        <v>114</v>
      </c>
      <c r="B8" s="115" t="s">
        <v>115</v>
      </c>
      <c r="C8" s="115"/>
      <c r="D8" s="115"/>
      <c r="E8" s="115"/>
      <c r="F8" s="115"/>
      <c r="G8" s="115"/>
      <c r="H8" s="115"/>
      <c r="I8" s="115"/>
      <c r="J8" s="115"/>
      <c r="K8" s="115"/>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c r="DU8" s="116"/>
      <c r="DV8" s="116"/>
      <c r="DW8" s="116"/>
      <c r="DX8" s="116"/>
      <c r="DY8" s="116"/>
      <c r="DZ8" s="116"/>
      <c r="EA8" s="116"/>
      <c r="EB8" s="116"/>
      <c r="EC8" s="116"/>
      <c r="ED8" s="116"/>
      <c r="EE8" s="116"/>
      <c r="EF8" s="116"/>
      <c r="EG8" s="116"/>
      <c r="EH8" s="116"/>
      <c r="EI8" s="116"/>
      <c r="EJ8" s="116"/>
      <c r="EK8" s="116"/>
      <c r="EL8" s="116"/>
      <c r="EM8" s="116"/>
      <c r="EN8" s="116"/>
      <c r="EO8" s="116"/>
      <c r="EP8" s="116"/>
      <c r="EQ8" s="116"/>
      <c r="ER8" s="116"/>
      <c r="ES8" s="116"/>
      <c r="ET8" s="116"/>
      <c r="EU8" s="116"/>
      <c r="EV8" s="116"/>
      <c r="EW8" s="116"/>
      <c r="EX8" s="116"/>
      <c r="EY8" s="116"/>
      <c r="EZ8" s="116"/>
      <c r="FA8" s="116"/>
      <c r="FB8" s="116"/>
      <c r="FC8" s="116"/>
      <c r="FD8" s="116"/>
      <c r="FE8" s="116"/>
      <c r="FF8" s="116"/>
      <c r="FG8" s="116"/>
      <c r="FH8" s="116"/>
      <c r="FI8" s="116"/>
      <c r="FJ8" s="116"/>
      <c r="FK8" s="116"/>
      <c r="FL8" s="116"/>
      <c r="FM8" s="116"/>
      <c r="FN8" s="116"/>
      <c r="FO8" s="116"/>
      <c r="FP8" s="116"/>
      <c r="FQ8" s="116"/>
      <c r="FR8" s="116"/>
      <c r="FS8" s="116"/>
      <c r="FT8" s="116"/>
      <c r="FU8" s="116"/>
      <c r="FV8" s="116"/>
      <c r="FW8" s="116"/>
      <c r="FX8" s="116"/>
      <c r="FY8" s="116"/>
      <c r="FZ8" s="116"/>
      <c r="GA8" s="116"/>
      <c r="GB8" s="116"/>
      <c r="GC8" s="116"/>
      <c r="GD8" s="116"/>
      <c r="GE8" s="116"/>
      <c r="GF8" s="116"/>
      <c r="GG8" s="116"/>
      <c r="GH8" s="116"/>
      <c r="GI8" s="116"/>
      <c r="GJ8" s="116"/>
      <c r="GK8" s="116"/>
      <c r="GL8" s="116"/>
      <c r="GM8" s="116"/>
      <c r="GN8" s="116"/>
      <c r="GO8" s="116"/>
      <c r="GP8" s="116"/>
      <c r="GQ8" s="116"/>
      <c r="GR8" s="116"/>
      <c r="GS8" s="116"/>
      <c r="GT8" s="116"/>
      <c r="GU8" s="116"/>
      <c r="GV8" s="116"/>
      <c r="GW8" s="116"/>
      <c r="GX8" s="116"/>
      <c r="GY8" s="116"/>
      <c r="GZ8" s="116"/>
      <c r="HA8" s="116"/>
      <c r="HB8" s="116"/>
      <c r="HC8" s="116"/>
      <c r="HD8" s="116"/>
      <c r="HE8" s="116"/>
      <c r="HF8" s="116"/>
      <c r="HG8" s="116"/>
      <c r="HH8" s="116"/>
      <c r="HI8" s="116"/>
      <c r="HJ8" s="116"/>
      <c r="HK8" s="116"/>
      <c r="HL8" s="116"/>
      <c r="HM8" s="116"/>
      <c r="HN8" s="116"/>
      <c r="HO8" s="116"/>
      <c r="HP8" s="116"/>
      <c r="HQ8" s="116"/>
      <c r="HR8" s="116"/>
      <c r="HS8" s="116"/>
      <c r="HT8" s="116"/>
      <c r="HU8" s="116"/>
      <c r="HV8" s="116"/>
      <c r="HW8" s="116"/>
      <c r="HX8" s="116"/>
      <c r="HY8" s="116"/>
      <c r="HZ8" s="116"/>
      <c r="IA8" s="116"/>
      <c r="IB8" s="116"/>
      <c r="IC8" s="116"/>
      <c r="ID8" s="116"/>
      <c r="IE8" s="116"/>
      <c r="IF8" s="116"/>
      <c r="IG8" s="116"/>
      <c r="IH8" s="116"/>
      <c r="II8" s="116"/>
      <c r="IJ8" s="116"/>
      <c r="IK8" s="116"/>
      <c r="IL8" s="116"/>
      <c r="IM8" s="116"/>
      <c r="IN8" s="116"/>
      <c r="IO8" s="116"/>
      <c r="IP8" s="116"/>
      <c r="IQ8" s="116"/>
      <c r="IR8" s="116"/>
      <c r="IS8" s="116"/>
      <c r="IT8" s="116"/>
      <c r="IU8" s="116"/>
      <c r="IV8" s="116"/>
      <c r="IW8" s="116"/>
    </row>
    <row r="9" customFormat="false" ht="29.25" hidden="false" customHeight="true" outlineLevel="0" collapsed="false">
      <c r="A9" s="114"/>
      <c r="B9" s="117" t="s">
        <v>111</v>
      </c>
      <c r="C9" s="118">
        <f aca="false">개요!B17</f>
      </c>
      <c r="D9" s="119" t="s">
        <v>54</v>
      </c>
      <c r="E9" s="119">
        <f aca="false">개요!B19</f>
      </c>
      <c r="F9" s="119"/>
      <c r="G9" s="119"/>
      <c r="H9" s="120" t="s">
        <v>116</v>
      </c>
      <c r="I9" s="120"/>
      <c r="J9" s="121">
        <f aca="false">개요!B20</f>
      </c>
      <c r="K9" s="121"/>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c r="DU9" s="116"/>
      <c r="DV9" s="116"/>
      <c r="DW9" s="116"/>
      <c r="DX9" s="116"/>
      <c r="DY9" s="116"/>
      <c r="DZ9" s="116"/>
      <c r="EA9" s="116"/>
      <c r="EB9" s="116"/>
      <c r="EC9" s="116"/>
      <c r="ED9" s="116"/>
      <c r="EE9" s="116"/>
      <c r="EF9" s="116"/>
      <c r="EG9" s="116"/>
      <c r="EH9" s="116"/>
      <c r="EI9" s="116"/>
      <c r="EJ9" s="116"/>
      <c r="EK9" s="116"/>
      <c r="EL9" s="116"/>
      <c r="EM9" s="116"/>
      <c r="EN9" s="116"/>
      <c r="EO9" s="116"/>
      <c r="EP9" s="116"/>
      <c r="EQ9" s="116"/>
      <c r="ER9" s="116"/>
      <c r="ES9" s="116"/>
      <c r="ET9" s="116"/>
      <c r="EU9" s="116"/>
      <c r="EV9" s="116"/>
      <c r="EW9" s="116"/>
      <c r="EX9" s="116"/>
      <c r="EY9" s="116"/>
      <c r="EZ9" s="116"/>
      <c r="FA9" s="116"/>
      <c r="FB9" s="116"/>
      <c r="FC9" s="116"/>
      <c r="FD9" s="116"/>
      <c r="FE9" s="116"/>
      <c r="FF9" s="116"/>
      <c r="FG9" s="116"/>
      <c r="FH9" s="116"/>
      <c r="FI9" s="116"/>
      <c r="FJ9" s="116"/>
      <c r="FK9" s="116"/>
      <c r="FL9" s="116"/>
      <c r="FM9" s="116"/>
      <c r="FN9" s="116"/>
      <c r="FO9" s="116"/>
      <c r="FP9" s="116"/>
      <c r="FQ9" s="116"/>
      <c r="FR9" s="116"/>
      <c r="FS9" s="116"/>
      <c r="FT9" s="116"/>
      <c r="FU9" s="116"/>
      <c r="FV9" s="116"/>
      <c r="FW9" s="116"/>
      <c r="FX9" s="116"/>
      <c r="FY9" s="116"/>
      <c r="FZ9" s="116"/>
      <c r="GA9" s="116"/>
      <c r="GB9" s="116"/>
      <c r="GC9" s="116"/>
      <c r="GD9" s="116"/>
      <c r="GE9" s="116"/>
      <c r="GF9" s="116"/>
      <c r="GG9" s="116"/>
      <c r="GH9" s="116"/>
      <c r="GI9" s="116"/>
      <c r="GJ9" s="116"/>
      <c r="GK9" s="116"/>
      <c r="GL9" s="116"/>
      <c r="GM9" s="116"/>
      <c r="GN9" s="116"/>
      <c r="GO9" s="116"/>
      <c r="GP9" s="116"/>
      <c r="GQ9" s="116"/>
      <c r="GR9" s="116"/>
      <c r="GS9" s="116"/>
      <c r="GT9" s="116"/>
      <c r="GU9" s="116"/>
      <c r="GV9" s="116"/>
      <c r="GW9" s="116"/>
      <c r="GX9" s="116"/>
      <c r="GY9" s="116"/>
      <c r="GZ9" s="116"/>
      <c r="HA9" s="116"/>
      <c r="HB9" s="116"/>
      <c r="HC9" s="116"/>
      <c r="HD9" s="116"/>
      <c r="HE9" s="116"/>
      <c r="HF9" s="116"/>
      <c r="HG9" s="116"/>
      <c r="HH9" s="116"/>
      <c r="HI9" s="116"/>
      <c r="HJ9" s="116"/>
      <c r="HK9" s="116"/>
      <c r="HL9" s="116"/>
      <c r="HM9" s="116"/>
      <c r="HN9" s="116"/>
      <c r="HO9" s="116"/>
      <c r="HP9" s="116"/>
      <c r="HQ9" s="116"/>
      <c r="HR9" s="116"/>
      <c r="HS9" s="116"/>
      <c r="HT9" s="116"/>
      <c r="HU9" s="116"/>
      <c r="HV9" s="116"/>
      <c r="HW9" s="116"/>
      <c r="HX9" s="116"/>
      <c r="HY9" s="116"/>
      <c r="HZ9" s="116"/>
      <c r="IA9" s="116"/>
      <c r="IB9" s="116"/>
      <c r="IC9" s="116"/>
      <c r="ID9" s="116"/>
      <c r="IE9" s="116"/>
      <c r="IF9" s="116"/>
      <c r="IG9" s="116"/>
      <c r="IH9" s="116"/>
      <c r="II9" s="116"/>
      <c r="IJ9" s="116"/>
      <c r="IK9" s="116"/>
      <c r="IL9" s="116"/>
      <c r="IM9" s="116"/>
      <c r="IN9" s="116"/>
      <c r="IO9" s="116"/>
      <c r="IP9" s="116"/>
      <c r="IQ9" s="116"/>
      <c r="IR9" s="116"/>
      <c r="IS9" s="116"/>
      <c r="IT9" s="116"/>
      <c r="IU9" s="116"/>
      <c r="IV9" s="116"/>
      <c r="IW9" s="116"/>
    </row>
    <row r="10" customFormat="false" ht="33" hidden="false" customHeight="true" outlineLevel="0" collapsed="false">
      <c r="A10" s="122" t="s">
        <v>117</v>
      </c>
      <c r="B10" s="123" t="s">
        <v>118</v>
      </c>
      <c r="C10" s="123"/>
      <c r="D10" s="123"/>
      <c r="E10" s="123"/>
      <c r="F10" s="123"/>
      <c r="G10" s="123"/>
      <c r="H10" s="123"/>
      <c r="I10" s="123"/>
      <c r="J10" s="123"/>
      <c r="K10" s="123"/>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c r="DU10" s="116"/>
      <c r="DV10" s="116"/>
      <c r="DW10" s="116"/>
      <c r="DX10" s="116"/>
      <c r="DY10" s="116"/>
      <c r="DZ10" s="116"/>
      <c r="EA10" s="116"/>
      <c r="EB10" s="116"/>
      <c r="EC10" s="116"/>
      <c r="ED10" s="116"/>
      <c r="EE10" s="116"/>
      <c r="EF10" s="116"/>
      <c r="EG10" s="116"/>
      <c r="EH10" s="116"/>
      <c r="EI10" s="116"/>
      <c r="EJ10" s="116"/>
      <c r="EK10" s="116"/>
      <c r="EL10" s="116"/>
      <c r="EM10" s="116"/>
      <c r="EN10" s="116"/>
      <c r="EO10" s="116"/>
      <c r="EP10" s="116"/>
      <c r="EQ10" s="116"/>
      <c r="ER10" s="116"/>
      <c r="ES10" s="116"/>
      <c r="ET10" s="116"/>
      <c r="EU10" s="116"/>
      <c r="EV10" s="116"/>
      <c r="EW10" s="116"/>
      <c r="EX10" s="116"/>
      <c r="EY10" s="116"/>
      <c r="EZ10" s="116"/>
      <c r="FA10" s="116"/>
      <c r="FB10" s="116"/>
      <c r="FC10" s="116"/>
      <c r="FD10" s="116"/>
      <c r="FE10" s="116"/>
      <c r="FF10" s="116"/>
      <c r="FG10" s="116"/>
      <c r="FH10" s="116"/>
      <c r="FI10" s="116"/>
      <c r="FJ10" s="116"/>
      <c r="FK10" s="116"/>
      <c r="FL10" s="116"/>
      <c r="FM10" s="116"/>
      <c r="FN10" s="116"/>
      <c r="FO10" s="116"/>
      <c r="FP10" s="116"/>
      <c r="FQ10" s="116"/>
      <c r="FR10" s="116"/>
      <c r="FS10" s="116"/>
      <c r="FT10" s="116"/>
      <c r="FU10" s="116"/>
      <c r="FV10" s="116"/>
      <c r="FW10" s="116"/>
      <c r="FX10" s="116"/>
      <c r="FY10" s="116"/>
      <c r="FZ10" s="116"/>
      <c r="GA10" s="116"/>
      <c r="GB10" s="116"/>
      <c r="GC10" s="116"/>
      <c r="GD10" s="116"/>
      <c r="GE10" s="116"/>
      <c r="GF10" s="116"/>
      <c r="GG10" s="116"/>
      <c r="GH10" s="116"/>
      <c r="GI10" s="116"/>
      <c r="GJ10" s="116"/>
      <c r="GK10" s="116"/>
      <c r="GL10" s="116"/>
      <c r="GM10" s="116"/>
      <c r="GN10" s="116"/>
      <c r="GO10" s="116"/>
      <c r="GP10" s="116"/>
      <c r="GQ10" s="116"/>
      <c r="GR10" s="116"/>
      <c r="GS10" s="116"/>
      <c r="GT10" s="116"/>
      <c r="GU10" s="116"/>
      <c r="GV10" s="116"/>
      <c r="GW10" s="116"/>
      <c r="GX10" s="116"/>
      <c r="GY10" s="116"/>
      <c r="GZ10" s="116"/>
      <c r="HA10" s="116"/>
      <c r="HB10" s="116"/>
      <c r="HC10" s="116"/>
      <c r="HD10" s="116"/>
      <c r="HE10" s="116"/>
      <c r="HF10" s="116"/>
      <c r="HG10" s="116"/>
      <c r="HH10" s="116"/>
      <c r="HI10" s="116"/>
      <c r="HJ10" s="116"/>
      <c r="HK10" s="116"/>
      <c r="HL10" s="116"/>
      <c r="HM10" s="116"/>
      <c r="HN10" s="116"/>
      <c r="HO10" s="116"/>
      <c r="HP10" s="116"/>
      <c r="HQ10" s="116"/>
      <c r="HR10" s="116"/>
      <c r="HS10" s="116"/>
      <c r="HT10" s="116"/>
      <c r="HU10" s="116"/>
      <c r="HV10" s="116"/>
      <c r="HW10" s="116"/>
      <c r="HX10" s="116"/>
      <c r="HY10" s="116"/>
      <c r="HZ10" s="116"/>
      <c r="IA10" s="116"/>
      <c r="IB10" s="116"/>
      <c r="IC10" s="116"/>
      <c r="ID10" s="116"/>
      <c r="IE10" s="116"/>
      <c r="IF10" s="116"/>
      <c r="IG10" s="116"/>
      <c r="IH10" s="116"/>
      <c r="II10" s="116"/>
      <c r="IJ10" s="116"/>
      <c r="IK10" s="116"/>
      <c r="IL10" s="116"/>
      <c r="IM10" s="116"/>
      <c r="IN10" s="116"/>
      <c r="IO10" s="116"/>
      <c r="IP10" s="116"/>
      <c r="IQ10" s="116"/>
      <c r="IR10" s="116"/>
      <c r="IS10" s="116"/>
      <c r="IT10" s="116"/>
      <c r="IU10" s="116"/>
      <c r="IV10" s="116"/>
      <c r="IW10" s="116"/>
    </row>
    <row r="11" customFormat="false" ht="32.25" hidden="false" customHeight="true" outlineLevel="0" collapsed="false">
      <c r="A11" s="114" t="s">
        <v>119</v>
      </c>
      <c r="B11" s="124" t="s">
        <v>120</v>
      </c>
      <c r="C11" s="124"/>
      <c r="D11" s="124"/>
      <c r="E11" s="124"/>
      <c r="F11" s="124"/>
      <c r="G11" s="124"/>
      <c r="H11" s="124"/>
      <c r="I11" s="124"/>
      <c r="J11" s="124"/>
      <c r="K11" s="124"/>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c r="DU11" s="116"/>
      <c r="DV11" s="116"/>
      <c r="DW11" s="116"/>
      <c r="DX11" s="116"/>
      <c r="DY11" s="116"/>
      <c r="DZ11" s="116"/>
      <c r="EA11" s="116"/>
      <c r="EB11" s="116"/>
      <c r="EC11" s="116"/>
      <c r="ED11" s="116"/>
      <c r="EE11" s="116"/>
      <c r="EF11" s="116"/>
      <c r="EG11" s="116"/>
      <c r="EH11" s="116"/>
      <c r="EI11" s="116"/>
      <c r="EJ11" s="116"/>
      <c r="EK11" s="116"/>
      <c r="EL11" s="116"/>
      <c r="EM11" s="116"/>
      <c r="EN11" s="116"/>
      <c r="EO11" s="116"/>
      <c r="EP11" s="116"/>
      <c r="EQ11" s="116"/>
      <c r="ER11" s="116"/>
      <c r="ES11" s="116"/>
      <c r="ET11" s="116"/>
      <c r="EU11" s="116"/>
      <c r="EV11" s="116"/>
      <c r="EW11" s="116"/>
      <c r="EX11" s="116"/>
      <c r="EY11" s="116"/>
      <c r="EZ11" s="116"/>
      <c r="FA11" s="116"/>
      <c r="FB11" s="116"/>
      <c r="FC11" s="116"/>
      <c r="FD11" s="116"/>
      <c r="FE11" s="116"/>
      <c r="FF11" s="116"/>
      <c r="FG11" s="116"/>
      <c r="FH11" s="116"/>
      <c r="FI11" s="116"/>
      <c r="FJ11" s="116"/>
      <c r="FK11" s="116"/>
      <c r="FL11" s="116"/>
      <c r="FM11" s="116"/>
      <c r="FN11" s="116"/>
      <c r="FO11" s="116"/>
      <c r="FP11" s="116"/>
      <c r="FQ11" s="116"/>
      <c r="FR11" s="116"/>
      <c r="FS11" s="116"/>
      <c r="FT11" s="116"/>
      <c r="FU11" s="116"/>
      <c r="FV11" s="116"/>
      <c r="FW11" s="116"/>
      <c r="FX11" s="116"/>
      <c r="FY11" s="116"/>
      <c r="FZ11" s="116"/>
      <c r="GA11" s="116"/>
      <c r="GB11" s="116"/>
      <c r="GC11" s="116"/>
      <c r="GD11" s="116"/>
      <c r="GE11" s="116"/>
      <c r="GF11" s="116"/>
      <c r="GG11" s="116"/>
      <c r="GH11" s="116"/>
      <c r="GI11" s="116"/>
      <c r="GJ11" s="116"/>
      <c r="GK11" s="116"/>
      <c r="GL11" s="116"/>
      <c r="GM11" s="116"/>
      <c r="GN11" s="116"/>
      <c r="GO11" s="116"/>
      <c r="GP11" s="116"/>
      <c r="GQ11" s="116"/>
      <c r="GR11" s="116"/>
      <c r="GS11" s="116"/>
      <c r="GT11" s="116"/>
      <c r="GU11" s="116"/>
      <c r="GV11" s="116"/>
      <c r="GW11" s="116"/>
      <c r="GX11" s="116"/>
      <c r="GY11" s="116"/>
      <c r="GZ11" s="116"/>
      <c r="HA11" s="116"/>
      <c r="HB11" s="116"/>
      <c r="HC11" s="116"/>
      <c r="HD11" s="116"/>
      <c r="HE11" s="116"/>
      <c r="HF11" s="116"/>
      <c r="HG11" s="116"/>
      <c r="HH11" s="116"/>
      <c r="HI11" s="116"/>
      <c r="HJ11" s="116"/>
      <c r="HK11" s="116"/>
      <c r="HL11" s="116"/>
      <c r="HM11" s="116"/>
      <c r="HN11" s="116"/>
      <c r="HO11" s="116"/>
      <c r="HP11" s="116"/>
      <c r="HQ11" s="116"/>
      <c r="HR11" s="116"/>
      <c r="HS11" s="116"/>
      <c r="HT11" s="116"/>
      <c r="HU11" s="116"/>
      <c r="HV11" s="116"/>
      <c r="HW11" s="116"/>
      <c r="HX11" s="116"/>
      <c r="HY11" s="116"/>
      <c r="HZ11" s="116"/>
      <c r="IA11" s="116"/>
      <c r="IB11" s="116"/>
      <c r="IC11" s="116"/>
      <c r="ID11" s="116"/>
      <c r="IE11" s="116"/>
      <c r="IF11" s="116"/>
      <c r="IG11" s="116"/>
      <c r="IH11" s="116"/>
      <c r="II11" s="116"/>
      <c r="IJ11" s="116"/>
      <c r="IK11" s="116"/>
      <c r="IL11" s="116"/>
      <c r="IM11" s="116"/>
      <c r="IN11" s="116"/>
      <c r="IO11" s="116"/>
      <c r="IP11" s="116"/>
      <c r="IQ11" s="116"/>
      <c r="IR11" s="116"/>
      <c r="IS11" s="116"/>
      <c r="IT11" s="116"/>
      <c r="IU11" s="116"/>
      <c r="IV11" s="116"/>
      <c r="IW11" s="116"/>
    </row>
    <row r="12" customFormat="false" ht="27.75" hidden="false" customHeight="true" outlineLevel="0" collapsed="false">
      <c r="A12" s="122" t="s">
        <v>121</v>
      </c>
      <c r="B12" s="124" t="s">
        <v>122</v>
      </c>
      <c r="C12" s="124"/>
      <c r="D12" s="124"/>
      <c r="E12" s="124"/>
      <c r="F12" s="124"/>
      <c r="G12" s="124"/>
      <c r="H12" s="124"/>
      <c r="I12" s="124"/>
      <c r="J12" s="124"/>
      <c r="K12" s="124"/>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c r="DU12" s="116"/>
      <c r="DV12" s="116"/>
      <c r="DW12" s="116"/>
      <c r="DX12" s="116"/>
      <c r="DY12" s="116"/>
      <c r="DZ12" s="116"/>
      <c r="EA12" s="116"/>
      <c r="EB12" s="116"/>
      <c r="EC12" s="116"/>
      <c r="ED12" s="116"/>
      <c r="EE12" s="116"/>
      <c r="EF12" s="116"/>
      <c r="EG12" s="116"/>
      <c r="EH12" s="116"/>
      <c r="EI12" s="116"/>
      <c r="EJ12" s="116"/>
      <c r="EK12" s="116"/>
      <c r="EL12" s="116"/>
      <c r="EM12" s="116"/>
      <c r="EN12" s="116"/>
      <c r="EO12" s="116"/>
      <c r="EP12" s="116"/>
      <c r="EQ12" s="116"/>
      <c r="ER12" s="116"/>
      <c r="ES12" s="116"/>
      <c r="ET12" s="116"/>
      <c r="EU12" s="116"/>
      <c r="EV12" s="116"/>
      <c r="EW12" s="116"/>
      <c r="EX12" s="116"/>
      <c r="EY12" s="116"/>
      <c r="EZ12" s="116"/>
      <c r="FA12" s="116"/>
      <c r="FB12" s="116"/>
      <c r="FC12" s="116"/>
      <c r="FD12" s="116"/>
      <c r="FE12" s="116"/>
      <c r="FF12" s="116"/>
      <c r="FG12" s="116"/>
      <c r="FH12" s="116"/>
      <c r="FI12" s="116"/>
      <c r="FJ12" s="116"/>
      <c r="FK12" s="116"/>
      <c r="FL12" s="116"/>
      <c r="FM12" s="116"/>
      <c r="FN12" s="116"/>
      <c r="FO12" s="116"/>
      <c r="FP12" s="116"/>
      <c r="FQ12" s="116"/>
      <c r="FR12" s="116"/>
      <c r="FS12" s="116"/>
      <c r="FT12" s="116"/>
      <c r="FU12" s="116"/>
      <c r="FV12" s="116"/>
      <c r="FW12" s="116"/>
      <c r="FX12" s="116"/>
      <c r="FY12" s="116"/>
      <c r="FZ12" s="116"/>
      <c r="GA12" s="116"/>
      <c r="GB12" s="116"/>
      <c r="GC12" s="116"/>
      <c r="GD12" s="116"/>
      <c r="GE12" s="116"/>
      <c r="GF12" s="116"/>
      <c r="GG12" s="116"/>
      <c r="GH12" s="116"/>
      <c r="GI12" s="116"/>
      <c r="GJ12" s="116"/>
      <c r="GK12" s="116"/>
      <c r="GL12" s="116"/>
      <c r="GM12" s="116"/>
      <c r="GN12" s="116"/>
      <c r="GO12" s="116"/>
      <c r="GP12" s="116"/>
      <c r="GQ12" s="116"/>
      <c r="GR12" s="116"/>
      <c r="GS12" s="116"/>
      <c r="GT12" s="116"/>
      <c r="GU12" s="116"/>
      <c r="GV12" s="116"/>
      <c r="GW12" s="116"/>
      <c r="GX12" s="116"/>
      <c r="GY12" s="116"/>
      <c r="GZ12" s="116"/>
      <c r="HA12" s="116"/>
      <c r="HB12" s="116"/>
      <c r="HC12" s="116"/>
      <c r="HD12" s="116"/>
      <c r="HE12" s="116"/>
      <c r="HF12" s="116"/>
      <c r="HG12" s="116"/>
      <c r="HH12" s="116"/>
      <c r="HI12" s="116"/>
      <c r="HJ12" s="116"/>
      <c r="HK12" s="116"/>
      <c r="HL12" s="116"/>
      <c r="HM12" s="116"/>
      <c r="HN12" s="116"/>
      <c r="HO12" s="116"/>
      <c r="HP12" s="116"/>
      <c r="HQ12" s="116"/>
      <c r="HR12" s="116"/>
      <c r="HS12" s="116"/>
      <c r="HT12" s="116"/>
      <c r="HU12" s="116"/>
      <c r="HV12" s="116"/>
      <c r="HW12" s="116"/>
      <c r="HX12" s="116"/>
      <c r="HY12" s="116"/>
      <c r="HZ12" s="116"/>
      <c r="IA12" s="116"/>
      <c r="IB12" s="116"/>
      <c r="IC12" s="116"/>
      <c r="ID12" s="116"/>
      <c r="IE12" s="116"/>
      <c r="IF12" s="116"/>
      <c r="IG12" s="116"/>
      <c r="IH12" s="116"/>
      <c r="II12" s="116"/>
      <c r="IJ12" s="116"/>
      <c r="IK12" s="116"/>
      <c r="IL12" s="116"/>
      <c r="IM12" s="116"/>
      <c r="IN12" s="116"/>
      <c r="IO12" s="116"/>
      <c r="IP12" s="116"/>
      <c r="IQ12" s="116"/>
      <c r="IR12" s="116"/>
      <c r="IS12" s="116"/>
      <c r="IT12" s="116"/>
      <c r="IU12" s="116"/>
      <c r="IV12" s="116"/>
      <c r="IW12" s="116"/>
    </row>
    <row r="13" customFormat="false" ht="52.5" hidden="false" customHeight="true" outlineLevel="0" collapsed="false">
      <c r="A13" s="122" t="s">
        <v>123</v>
      </c>
      <c r="B13" s="115" t="s">
        <v>124</v>
      </c>
      <c r="C13" s="115"/>
      <c r="D13" s="115"/>
      <c r="E13" s="115"/>
      <c r="F13" s="115"/>
      <c r="G13" s="115"/>
      <c r="H13" s="115"/>
      <c r="I13" s="115"/>
      <c r="J13" s="115"/>
      <c r="K13" s="115"/>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c r="DU13" s="116"/>
      <c r="DV13" s="116"/>
      <c r="DW13" s="116"/>
      <c r="DX13" s="116"/>
      <c r="DY13" s="116"/>
      <c r="DZ13" s="116"/>
      <c r="EA13" s="116"/>
      <c r="EB13" s="116"/>
      <c r="EC13" s="116"/>
      <c r="ED13" s="116"/>
      <c r="EE13" s="116"/>
      <c r="EF13" s="116"/>
      <c r="EG13" s="116"/>
      <c r="EH13" s="116"/>
      <c r="EI13" s="116"/>
      <c r="EJ13" s="116"/>
      <c r="EK13" s="116"/>
      <c r="EL13" s="116"/>
      <c r="EM13" s="116"/>
      <c r="EN13" s="116"/>
      <c r="EO13" s="116"/>
      <c r="EP13" s="116"/>
      <c r="EQ13" s="116"/>
      <c r="ER13" s="116"/>
      <c r="ES13" s="116"/>
      <c r="ET13" s="116"/>
      <c r="EU13" s="116"/>
      <c r="EV13" s="116"/>
      <c r="EW13" s="116"/>
      <c r="EX13" s="116"/>
      <c r="EY13" s="116"/>
      <c r="EZ13" s="116"/>
      <c r="FA13" s="116"/>
      <c r="FB13" s="116"/>
      <c r="FC13" s="116"/>
      <c r="FD13" s="116"/>
      <c r="FE13" s="116"/>
      <c r="FF13" s="116"/>
      <c r="FG13" s="116"/>
      <c r="FH13" s="116"/>
      <c r="FI13" s="116"/>
      <c r="FJ13" s="116"/>
      <c r="FK13" s="116"/>
      <c r="FL13" s="116"/>
      <c r="FM13" s="116"/>
      <c r="FN13" s="116"/>
      <c r="FO13" s="116"/>
      <c r="FP13" s="116"/>
      <c r="FQ13" s="116"/>
      <c r="FR13" s="116"/>
      <c r="FS13" s="116"/>
      <c r="FT13" s="116"/>
      <c r="FU13" s="116"/>
      <c r="FV13" s="116"/>
      <c r="FW13" s="116"/>
      <c r="FX13" s="116"/>
      <c r="FY13" s="116"/>
      <c r="FZ13" s="116"/>
      <c r="GA13" s="116"/>
      <c r="GB13" s="116"/>
      <c r="GC13" s="116"/>
      <c r="GD13" s="116"/>
      <c r="GE13" s="116"/>
      <c r="GF13" s="116"/>
      <c r="GG13" s="116"/>
      <c r="GH13" s="116"/>
      <c r="GI13" s="116"/>
      <c r="GJ13" s="116"/>
      <c r="GK13" s="116"/>
      <c r="GL13" s="116"/>
      <c r="GM13" s="116"/>
      <c r="GN13" s="116"/>
      <c r="GO13" s="116"/>
      <c r="GP13" s="116"/>
      <c r="GQ13" s="116"/>
      <c r="GR13" s="116"/>
      <c r="GS13" s="116"/>
      <c r="GT13" s="116"/>
      <c r="GU13" s="116"/>
      <c r="GV13" s="116"/>
      <c r="GW13" s="116"/>
      <c r="GX13" s="116"/>
      <c r="GY13" s="116"/>
      <c r="GZ13" s="116"/>
      <c r="HA13" s="116"/>
      <c r="HB13" s="116"/>
      <c r="HC13" s="116"/>
      <c r="HD13" s="116"/>
      <c r="HE13" s="116"/>
      <c r="HF13" s="116"/>
      <c r="HG13" s="116"/>
      <c r="HH13" s="116"/>
      <c r="HI13" s="116"/>
      <c r="HJ13" s="116"/>
      <c r="HK13" s="116"/>
      <c r="HL13" s="116"/>
      <c r="HM13" s="116"/>
      <c r="HN13" s="116"/>
      <c r="HO13" s="116"/>
      <c r="HP13" s="116"/>
      <c r="HQ13" s="116"/>
      <c r="HR13" s="116"/>
      <c r="HS13" s="116"/>
      <c r="HT13" s="116"/>
      <c r="HU13" s="116"/>
      <c r="HV13" s="116"/>
      <c r="HW13" s="116"/>
      <c r="HX13" s="116"/>
      <c r="HY13" s="116"/>
      <c r="HZ13" s="116"/>
      <c r="IA13" s="116"/>
      <c r="IB13" s="116"/>
      <c r="IC13" s="116"/>
      <c r="ID13" s="116"/>
      <c r="IE13" s="116"/>
      <c r="IF13" s="116"/>
      <c r="IG13" s="116"/>
      <c r="IH13" s="116"/>
      <c r="II13" s="116"/>
      <c r="IJ13" s="116"/>
      <c r="IK13" s="116"/>
      <c r="IL13" s="116"/>
      <c r="IM13" s="116"/>
      <c r="IN13" s="116"/>
      <c r="IO13" s="116"/>
      <c r="IP13" s="116"/>
      <c r="IQ13" s="116"/>
      <c r="IR13" s="116"/>
      <c r="IS13" s="116"/>
      <c r="IT13" s="116"/>
      <c r="IU13" s="116"/>
      <c r="IV13" s="116"/>
      <c r="IW13" s="116"/>
    </row>
    <row r="14" customFormat="false" ht="168" hidden="false" customHeight="true" outlineLevel="0" collapsed="false">
      <c r="A14" s="125" t="s">
        <v>125</v>
      </c>
      <c r="B14" s="126" t="s">
        <v>126</v>
      </c>
      <c r="C14" s="126"/>
      <c r="D14" s="126"/>
      <c r="E14" s="126" t="s">
        <v>127</v>
      </c>
      <c r="F14" s="126"/>
      <c r="G14" s="126"/>
      <c r="H14" s="126"/>
      <c r="I14" s="127" t="s">
        <v>128</v>
      </c>
      <c r="J14" s="127"/>
      <c r="K14" s="127"/>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c r="DU14" s="116"/>
      <c r="DV14" s="116"/>
      <c r="DW14" s="116"/>
      <c r="DX14" s="116"/>
      <c r="DY14" s="116"/>
      <c r="DZ14" s="116"/>
      <c r="EA14" s="116"/>
      <c r="EB14" s="116"/>
      <c r="EC14" s="116"/>
      <c r="ED14" s="116"/>
      <c r="EE14" s="116"/>
      <c r="EF14" s="116"/>
      <c r="EG14" s="116"/>
      <c r="EH14" s="116"/>
      <c r="EI14" s="116"/>
      <c r="EJ14" s="116"/>
      <c r="EK14" s="116"/>
      <c r="EL14" s="116"/>
      <c r="EM14" s="116"/>
      <c r="EN14" s="116"/>
      <c r="EO14" s="116"/>
      <c r="EP14" s="116"/>
      <c r="EQ14" s="116"/>
      <c r="ER14" s="116"/>
      <c r="ES14" s="116"/>
      <c r="ET14" s="116"/>
      <c r="EU14" s="116"/>
      <c r="EV14" s="116"/>
      <c r="EW14" s="116"/>
      <c r="EX14" s="116"/>
      <c r="EY14" s="116"/>
      <c r="EZ14" s="116"/>
      <c r="FA14" s="116"/>
      <c r="FB14" s="116"/>
      <c r="FC14" s="116"/>
      <c r="FD14" s="116"/>
      <c r="FE14" s="116"/>
      <c r="FF14" s="116"/>
      <c r="FG14" s="116"/>
      <c r="FH14" s="116"/>
      <c r="FI14" s="116"/>
      <c r="FJ14" s="116"/>
      <c r="FK14" s="116"/>
      <c r="FL14" s="116"/>
      <c r="FM14" s="116"/>
      <c r="FN14" s="116"/>
      <c r="FO14" s="116"/>
      <c r="FP14" s="116"/>
      <c r="FQ14" s="116"/>
      <c r="FR14" s="116"/>
      <c r="FS14" s="116"/>
      <c r="FT14" s="116"/>
      <c r="FU14" s="116"/>
      <c r="FV14" s="116"/>
      <c r="FW14" s="116"/>
      <c r="FX14" s="116"/>
      <c r="FY14" s="116"/>
      <c r="FZ14" s="116"/>
      <c r="GA14" s="116"/>
      <c r="GB14" s="116"/>
      <c r="GC14" s="116"/>
      <c r="GD14" s="116"/>
      <c r="GE14" s="116"/>
      <c r="GF14" s="116"/>
      <c r="GG14" s="116"/>
      <c r="GH14" s="116"/>
      <c r="GI14" s="116"/>
      <c r="GJ14" s="116"/>
      <c r="GK14" s="116"/>
      <c r="GL14" s="116"/>
      <c r="GM14" s="116"/>
      <c r="GN14" s="116"/>
      <c r="GO14" s="116"/>
      <c r="GP14" s="116"/>
      <c r="GQ14" s="116"/>
      <c r="GR14" s="116"/>
      <c r="GS14" s="116"/>
      <c r="GT14" s="116"/>
      <c r="GU14" s="116"/>
      <c r="GV14" s="116"/>
      <c r="GW14" s="116"/>
      <c r="GX14" s="116"/>
      <c r="GY14" s="116"/>
      <c r="GZ14" s="116"/>
      <c r="HA14" s="116"/>
      <c r="HB14" s="116"/>
      <c r="HC14" s="116"/>
      <c r="HD14" s="116"/>
      <c r="HE14" s="116"/>
      <c r="HF14" s="116"/>
      <c r="HG14" s="116"/>
      <c r="HH14" s="116"/>
      <c r="HI14" s="116"/>
      <c r="HJ14" s="116"/>
      <c r="HK14" s="116"/>
      <c r="HL14" s="116"/>
      <c r="HM14" s="116"/>
      <c r="HN14" s="116"/>
      <c r="HO14" s="116"/>
      <c r="HP14" s="116"/>
      <c r="HQ14" s="116"/>
      <c r="HR14" s="116"/>
      <c r="HS14" s="116"/>
      <c r="HT14" s="116"/>
      <c r="HU14" s="116"/>
      <c r="HV14" s="116"/>
      <c r="HW14" s="116"/>
      <c r="HX14" s="116"/>
      <c r="HY14" s="116"/>
      <c r="HZ14" s="116"/>
      <c r="IA14" s="116"/>
      <c r="IB14" s="116"/>
      <c r="IC14" s="116"/>
      <c r="ID14" s="116"/>
      <c r="IE14" s="116"/>
      <c r="IF14" s="116"/>
      <c r="IG14" s="116"/>
      <c r="IH14" s="116"/>
      <c r="II14" s="116"/>
      <c r="IJ14" s="116"/>
      <c r="IK14" s="116"/>
      <c r="IL14" s="116"/>
      <c r="IM14" s="116"/>
      <c r="IN14" s="116"/>
      <c r="IO14" s="116"/>
      <c r="IP14" s="116"/>
      <c r="IQ14" s="116"/>
      <c r="IR14" s="116"/>
      <c r="IS14" s="116"/>
      <c r="IT14" s="116"/>
      <c r="IU14" s="116"/>
      <c r="IV14" s="116"/>
      <c r="IW14" s="116"/>
    </row>
    <row r="15" customFormat="false" ht="25.5" hidden="false" customHeight="true" outlineLevel="0" collapsed="false">
      <c r="A15" s="128" t="s">
        <v>129</v>
      </c>
      <c r="B15" s="128"/>
      <c r="C15" s="128"/>
      <c r="D15" s="128"/>
      <c r="E15" s="128"/>
      <c r="F15" s="128"/>
      <c r="G15" s="128"/>
      <c r="H15" s="128"/>
      <c r="I15" s="128"/>
      <c r="J15" s="128"/>
      <c r="K15" s="128"/>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c r="DU15" s="116"/>
      <c r="DV15" s="116"/>
      <c r="DW15" s="116"/>
      <c r="DX15" s="116"/>
      <c r="DY15" s="116"/>
      <c r="DZ15" s="116"/>
      <c r="EA15" s="116"/>
      <c r="EB15" s="116"/>
      <c r="EC15" s="116"/>
      <c r="ED15" s="116"/>
      <c r="EE15" s="116"/>
      <c r="EF15" s="116"/>
      <c r="EG15" s="116"/>
      <c r="EH15" s="116"/>
      <c r="EI15" s="116"/>
      <c r="EJ15" s="116"/>
      <c r="EK15" s="116"/>
      <c r="EL15" s="116"/>
      <c r="EM15" s="116"/>
      <c r="EN15" s="116"/>
      <c r="EO15" s="116"/>
      <c r="EP15" s="116"/>
      <c r="EQ15" s="116"/>
      <c r="ER15" s="116"/>
      <c r="ES15" s="116"/>
      <c r="ET15" s="116"/>
      <c r="EU15" s="116"/>
      <c r="EV15" s="116"/>
      <c r="EW15" s="116"/>
      <c r="EX15" s="116"/>
      <c r="EY15" s="116"/>
      <c r="EZ15" s="116"/>
      <c r="FA15" s="116"/>
      <c r="FB15" s="116"/>
      <c r="FC15" s="116"/>
      <c r="FD15" s="116"/>
      <c r="FE15" s="116"/>
      <c r="FF15" s="116"/>
      <c r="FG15" s="116"/>
      <c r="FH15" s="116"/>
      <c r="FI15" s="116"/>
      <c r="FJ15" s="116"/>
      <c r="FK15" s="116"/>
      <c r="FL15" s="116"/>
      <c r="FM15" s="116"/>
      <c r="FN15" s="116"/>
      <c r="FO15" s="116"/>
      <c r="FP15" s="116"/>
      <c r="FQ15" s="116"/>
      <c r="FR15" s="116"/>
      <c r="FS15" s="116"/>
      <c r="FT15" s="116"/>
      <c r="FU15" s="116"/>
      <c r="FV15" s="116"/>
      <c r="FW15" s="116"/>
      <c r="FX15" s="116"/>
      <c r="FY15" s="116"/>
      <c r="FZ15" s="116"/>
      <c r="GA15" s="116"/>
      <c r="GB15" s="116"/>
      <c r="GC15" s="116"/>
      <c r="GD15" s="116"/>
      <c r="GE15" s="116"/>
      <c r="GF15" s="116"/>
      <c r="GG15" s="116"/>
      <c r="GH15" s="116"/>
      <c r="GI15" s="116"/>
      <c r="GJ15" s="116"/>
      <c r="GK15" s="116"/>
      <c r="GL15" s="116"/>
      <c r="GM15" s="116"/>
      <c r="GN15" s="116"/>
      <c r="GO15" s="116"/>
      <c r="GP15" s="116"/>
      <c r="GQ15" s="116"/>
      <c r="GR15" s="116"/>
      <c r="GS15" s="116"/>
      <c r="GT15" s="116"/>
      <c r="GU15" s="116"/>
      <c r="GV15" s="116"/>
      <c r="GW15" s="116"/>
      <c r="GX15" s="116"/>
      <c r="GY15" s="116"/>
      <c r="GZ15" s="116"/>
      <c r="HA15" s="116"/>
      <c r="HB15" s="116"/>
      <c r="HC15" s="116"/>
      <c r="HD15" s="116"/>
      <c r="HE15" s="116"/>
      <c r="HF15" s="116"/>
      <c r="HG15" s="116"/>
      <c r="HH15" s="116"/>
      <c r="HI15" s="116"/>
      <c r="HJ15" s="116"/>
      <c r="HK15" s="116"/>
      <c r="HL15" s="116"/>
      <c r="HM15" s="116"/>
      <c r="HN15" s="116"/>
      <c r="HO15" s="116"/>
      <c r="HP15" s="116"/>
      <c r="HQ15" s="116"/>
      <c r="HR15" s="116"/>
      <c r="HS15" s="116"/>
      <c r="HT15" s="116"/>
      <c r="HU15" s="116"/>
      <c r="HV15" s="116"/>
      <c r="HW15" s="116"/>
      <c r="HX15" s="116"/>
      <c r="HY15" s="116"/>
      <c r="HZ15" s="116"/>
      <c r="IA15" s="116"/>
      <c r="IB15" s="116"/>
      <c r="IC15" s="116"/>
      <c r="ID15" s="116"/>
      <c r="IE15" s="116"/>
      <c r="IF15" s="116"/>
      <c r="IG15" s="116"/>
      <c r="IH15" s="116"/>
      <c r="II15" s="116"/>
      <c r="IJ15" s="116"/>
      <c r="IK15" s="116"/>
      <c r="IL15" s="116"/>
      <c r="IM15" s="116"/>
      <c r="IN15" s="116"/>
      <c r="IO15" s="116"/>
      <c r="IP15" s="116"/>
      <c r="IQ15" s="116"/>
      <c r="IR15" s="116"/>
      <c r="IS15" s="116"/>
      <c r="IT15" s="116"/>
      <c r="IU15" s="116"/>
      <c r="IV15" s="116"/>
      <c r="IW15" s="116"/>
    </row>
    <row r="16" customFormat="false" ht="23.25" hidden="false" customHeight="true" outlineLevel="0" collapsed="false">
      <c r="A16" s="129" t="s">
        <v>130</v>
      </c>
      <c r="B16" s="130">
        <f aca="false">개요!D20</f>
      </c>
      <c r="C16" s="130"/>
      <c r="D16" s="130"/>
      <c r="E16" s="130"/>
      <c r="F16" s="131" t="s">
        <v>131</v>
      </c>
      <c r="G16" s="131"/>
      <c r="H16" s="131"/>
      <c r="I16" s="132">
        <f aca="false">개요!D19 개요!D19</f>
      </c>
      <c r="J16" s="132"/>
      <c r="K16" s="132"/>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c r="DU16" s="116"/>
      <c r="DV16" s="116"/>
      <c r="DW16" s="116"/>
      <c r="DX16" s="116"/>
      <c r="DY16" s="116"/>
      <c r="DZ16" s="116"/>
      <c r="EA16" s="116"/>
      <c r="EB16" s="116"/>
      <c r="EC16" s="116"/>
      <c r="ED16" s="116"/>
      <c r="EE16" s="116"/>
      <c r="EF16" s="116"/>
      <c r="EG16" s="116"/>
      <c r="EH16" s="116"/>
      <c r="EI16" s="116"/>
      <c r="EJ16" s="116"/>
      <c r="EK16" s="116"/>
      <c r="EL16" s="116"/>
      <c r="EM16" s="116"/>
      <c r="EN16" s="116"/>
      <c r="EO16" s="116"/>
      <c r="EP16" s="116"/>
      <c r="EQ16" s="116"/>
      <c r="ER16" s="116"/>
      <c r="ES16" s="116"/>
      <c r="ET16" s="116"/>
      <c r="EU16" s="116"/>
      <c r="EV16" s="116"/>
      <c r="EW16" s="116"/>
      <c r="EX16" s="116"/>
      <c r="EY16" s="116"/>
      <c r="EZ16" s="116"/>
      <c r="FA16" s="116"/>
      <c r="FB16" s="116"/>
      <c r="FC16" s="116"/>
      <c r="FD16" s="116"/>
      <c r="FE16" s="116"/>
      <c r="FF16" s="116"/>
      <c r="FG16" s="116"/>
      <c r="FH16" s="116"/>
      <c r="FI16" s="116"/>
      <c r="FJ16" s="116"/>
      <c r="FK16" s="116"/>
      <c r="FL16" s="116"/>
      <c r="FM16" s="116"/>
      <c r="FN16" s="116"/>
      <c r="FO16" s="116"/>
      <c r="FP16" s="116"/>
      <c r="FQ16" s="116"/>
      <c r="FR16" s="116"/>
      <c r="FS16" s="116"/>
      <c r="FT16" s="116"/>
      <c r="FU16" s="116"/>
      <c r="FV16" s="116"/>
      <c r="FW16" s="116"/>
      <c r="FX16" s="116"/>
      <c r="FY16" s="116"/>
      <c r="FZ16" s="116"/>
      <c r="GA16" s="116"/>
      <c r="GB16" s="116"/>
      <c r="GC16" s="116"/>
      <c r="GD16" s="116"/>
      <c r="GE16" s="116"/>
      <c r="GF16" s="116"/>
      <c r="GG16" s="116"/>
      <c r="GH16" s="116"/>
      <c r="GI16" s="116"/>
      <c r="GJ16" s="116"/>
      <c r="GK16" s="116"/>
      <c r="GL16" s="116"/>
      <c r="GM16" s="116"/>
      <c r="GN16" s="116"/>
      <c r="GO16" s="116"/>
      <c r="GP16" s="116"/>
      <c r="GQ16" s="116"/>
      <c r="GR16" s="116"/>
      <c r="GS16" s="116"/>
      <c r="GT16" s="116"/>
      <c r="GU16" s="116"/>
      <c r="GV16" s="116"/>
      <c r="GW16" s="116"/>
      <c r="GX16" s="116"/>
      <c r="GY16" s="116"/>
      <c r="GZ16" s="116"/>
      <c r="HA16" s="116"/>
      <c r="HB16" s="116"/>
      <c r="HC16" s="116"/>
      <c r="HD16" s="116"/>
      <c r="HE16" s="116"/>
      <c r="HF16" s="116"/>
      <c r="HG16" s="116"/>
      <c r="HH16" s="116"/>
      <c r="HI16" s="116"/>
      <c r="HJ16" s="116"/>
      <c r="HK16" s="116"/>
      <c r="HL16" s="116"/>
      <c r="HM16" s="116"/>
      <c r="HN16" s="116"/>
      <c r="HO16" s="116"/>
      <c r="HP16" s="116"/>
      <c r="HQ16" s="116"/>
      <c r="HR16" s="116"/>
      <c r="HS16" s="116"/>
      <c r="HT16" s="116"/>
      <c r="HU16" s="116"/>
      <c r="HV16" s="116"/>
      <c r="HW16" s="116"/>
      <c r="HX16" s="116"/>
      <c r="HY16" s="116"/>
      <c r="HZ16" s="116"/>
      <c r="IA16" s="116"/>
      <c r="IB16" s="116"/>
      <c r="IC16" s="116"/>
      <c r="ID16" s="116"/>
      <c r="IE16" s="116"/>
      <c r="IF16" s="116"/>
      <c r="IG16" s="116"/>
      <c r="IH16" s="116"/>
      <c r="II16" s="116"/>
      <c r="IJ16" s="116"/>
      <c r="IK16" s="116"/>
      <c r="IL16" s="116"/>
      <c r="IM16" s="116"/>
      <c r="IN16" s="116"/>
      <c r="IO16" s="116"/>
      <c r="IP16" s="116"/>
      <c r="IQ16" s="116"/>
      <c r="IR16" s="116"/>
      <c r="IS16" s="116"/>
      <c r="IT16" s="116"/>
      <c r="IU16" s="116"/>
      <c r="IV16" s="116"/>
      <c r="IW16" s="116"/>
    </row>
    <row r="17" customFormat="false" ht="23.25" hidden="false" customHeight="true" outlineLevel="0" collapsed="false">
      <c r="A17" s="133" t="s">
        <v>132</v>
      </c>
      <c r="B17" s="134">
        <f aca="false">개요!D17</f>
      </c>
      <c r="C17" s="135" t="s">
        <v>133</v>
      </c>
      <c r="D17" s="136" t="s">
        <v>134</v>
      </c>
      <c r="E17" s="137">
        <f aca="false">개요!D18</f>
      </c>
      <c r="F17" s="138" t="s">
        <v>133</v>
      </c>
      <c r="G17" s="139" t="s">
        <v>135</v>
      </c>
      <c r="H17" s="139"/>
      <c r="I17" s="139"/>
      <c r="J17" s="140">
        <f aca="false">개요!B13 개요!B13</f>
      </c>
      <c r="K17" s="141" t="s">
        <v>136</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c r="DU17" s="116"/>
      <c r="DV17" s="116"/>
      <c r="DW17" s="116"/>
      <c r="DX17" s="116"/>
      <c r="DY17" s="116"/>
      <c r="DZ17" s="116"/>
      <c r="EA17" s="116"/>
      <c r="EB17" s="116"/>
      <c r="EC17" s="116"/>
      <c r="ED17" s="116"/>
      <c r="EE17" s="116"/>
      <c r="EF17" s="116"/>
      <c r="EG17" s="116"/>
      <c r="EH17" s="116"/>
      <c r="EI17" s="116"/>
      <c r="EJ17" s="116"/>
      <c r="EK17" s="116"/>
      <c r="EL17" s="116"/>
      <c r="EM17" s="116"/>
      <c r="EN17" s="116"/>
      <c r="EO17" s="116"/>
      <c r="EP17" s="116"/>
      <c r="EQ17" s="116"/>
      <c r="ER17" s="116"/>
      <c r="ES17" s="116"/>
      <c r="ET17" s="116"/>
      <c r="EU17" s="116"/>
      <c r="EV17" s="116"/>
      <c r="EW17" s="116"/>
      <c r="EX17" s="116"/>
      <c r="EY17" s="116"/>
      <c r="EZ17" s="116"/>
      <c r="FA17" s="116"/>
      <c r="FB17" s="116"/>
      <c r="FC17" s="116"/>
      <c r="FD17" s="116"/>
      <c r="FE17" s="116"/>
      <c r="FF17" s="116"/>
      <c r="FG17" s="116"/>
      <c r="FH17" s="116"/>
      <c r="FI17" s="116"/>
      <c r="FJ17" s="116"/>
      <c r="FK17" s="116"/>
      <c r="FL17" s="116"/>
      <c r="FM17" s="116"/>
      <c r="FN17" s="116"/>
      <c r="FO17" s="116"/>
      <c r="FP17" s="116"/>
      <c r="FQ17" s="116"/>
      <c r="FR17" s="116"/>
      <c r="FS17" s="116"/>
      <c r="FT17" s="116"/>
      <c r="FU17" s="116"/>
      <c r="FV17" s="116"/>
      <c r="FW17" s="116"/>
      <c r="FX17" s="116"/>
      <c r="FY17" s="116"/>
      <c r="FZ17" s="116"/>
      <c r="GA17" s="116"/>
      <c r="GB17" s="116"/>
      <c r="GC17" s="116"/>
      <c r="GD17" s="116"/>
      <c r="GE17" s="116"/>
      <c r="GF17" s="116"/>
      <c r="GG17" s="116"/>
      <c r="GH17" s="116"/>
      <c r="GI17" s="116"/>
      <c r="GJ17" s="116"/>
      <c r="GK17" s="116"/>
      <c r="GL17" s="116"/>
      <c r="GM17" s="116"/>
      <c r="GN17" s="116"/>
      <c r="GO17" s="116"/>
      <c r="GP17" s="116"/>
      <c r="GQ17" s="116"/>
      <c r="GR17" s="116"/>
      <c r="GS17" s="116"/>
      <c r="GT17" s="116"/>
      <c r="GU17" s="116"/>
      <c r="GV17" s="116"/>
      <c r="GW17" s="116"/>
      <c r="GX17" s="116"/>
      <c r="GY17" s="116"/>
      <c r="GZ17" s="116"/>
      <c r="HA17" s="116"/>
      <c r="HB17" s="116"/>
      <c r="HC17" s="116"/>
      <c r="HD17" s="116"/>
      <c r="HE17" s="116"/>
      <c r="HF17" s="116"/>
      <c r="HG17" s="116"/>
      <c r="HH17" s="116"/>
      <c r="HI17" s="116"/>
      <c r="HJ17" s="116"/>
      <c r="HK17" s="116"/>
      <c r="HL17" s="116"/>
      <c r="HM17" s="116"/>
      <c r="HN17" s="116"/>
      <c r="HO17" s="116"/>
      <c r="HP17" s="116"/>
      <c r="HQ17" s="116"/>
      <c r="HR17" s="116"/>
      <c r="HS17" s="116"/>
      <c r="HT17" s="116"/>
      <c r="HU17" s="116"/>
      <c r="HV17" s="116"/>
      <c r="HW17" s="116"/>
      <c r="HX17" s="116"/>
      <c r="HY17" s="116"/>
      <c r="HZ17" s="116"/>
      <c r="IA17" s="116"/>
      <c r="IB17" s="116"/>
      <c r="IC17" s="116"/>
      <c r="ID17" s="116"/>
      <c r="IE17" s="116"/>
      <c r="IF17" s="116"/>
      <c r="IG17" s="116"/>
      <c r="IH17" s="116"/>
      <c r="II17" s="116"/>
      <c r="IJ17" s="116"/>
      <c r="IK17" s="116"/>
      <c r="IL17" s="116"/>
      <c r="IM17" s="116"/>
      <c r="IN17" s="116"/>
      <c r="IO17" s="116"/>
      <c r="IP17" s="116"/>
      <c r="IQ17" s="116"/>
      <c r="IR17" s="116"/>
      <c r="IS17" s="116"/>
      <c r="IT17" s="116"/>
      <c r="IU17" s="116"/>
      <c r="IV17" s="116"/>
      <c r="IW17" s="116"/>
    </row>
    <row r="18" customFormat="false" ht="23.25" hidden="false" customHeight="true" outlineLevel="0" collapsed="false">
      <c r="A18" s="133" t="s">
        <v>137</v>
      </c>
      <c r="B18" s="140" t="s">
        <v>62</v>
      </c>
      <c r="C18" s="142">
        <f aca="false">개요!B22</f>
      </c>
      <c r="D18" s="143" t="s">
        <v>63</v>
      </c>
      <c r="E18" s="144">
        <f aca="false">개요!B23</f>
      </c>
      <c r="F18" s="145" t="s">
        <v>138</v>
      </c>
      <c r="G18" s="145"/>
      <c r="H18" s="146">
        <f aca="false">개요!B21</f>
      </c>
      <c r="I18" s="138" t="s">
        <v>139</v>
      </c>
      <c r="J18" s="133" t="s">
        <v>140</v>
      </c>
      <c r="K18" s="147">
        <f aca="false">개요!D15</f>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c r="DU18" s="116"/>
      <c r="DV18" s="116"/>
      <c r="DW18" s="116"/>
      <c r="DX18" s="116"/>
      <c r="DY18" s="116"/>
      <c r="DZ18" s="116"/>
      <c r="EA18" s="116"/>
      <c r="EB18" s="116"/>
      <c r="EC18" s="116"/>
      <c r="ED18" s="116"/>
      <c r="EE18" s="116"/>
      <c r="EF18" s="116"/>
      <c r="EG18" s="116"/>
      <c r="EH18" s="116"/>
      <c r="EI18" s="116"/>
      <c r="EJ18" s="116"/>
      <c r="EK18" s="116"/>
      <c r="EL18" s="116"/>
      <c r="EM18" s="116"/>
      <c r="EN18" s="116"/>
      <c r="EO18" s="116"/>
      <c r="EP18" s="116"/>
      <c r="EQ18" s="116"/>
      <c r="ER18" s="116"/>
      <c r="ES18" s="116"/>
      <c r="ET18" s="116"/>
      <c r="EU18" s="116"/>
      <c r="EV18" s="116"/>
      <c r="EW18" s="116"/>
      <c r="EX18" s="116"/>
      <c r="EY18" s="116"/>
      <c r="EZ18" s="116"/>
      <c r="FA18" s="116"/>
      <c r="FB18" s="116"/>
      <c r="FC18" s="116"/>
      <c r="FD18" s="116"/>
      <c r="FE18" s="116"/>
      <c r="FF18" s="116"/>
      <c r="FG18" s="116"/>
      <c r="FH18" s="116"/>
      <c r="FI18" s="116"/>
      <c r="FJ18" s="116"/>
      <c r="FK18" s="116"/>
      <c r="FL18" s="116"/>
      <c r="FM18" s="116"/>
      <c r="FN18" s="116"/>
      <c r="FO18" s="116"/>
      <c r="FP18" s="116"/>
      <c r="FQ18" s="116"/>
      <c r="FR18" s="116"/>
      <c r="FS18" s="116"/>
      <c r="FT18" s="116"/>
      <c r="FU18" s="116"/>
      <c r="FV18" s="116"/>
      <c r="FW18" s="116"/>
      <c r="FX18" s="116"/>
      <c r="FY18" s="116"/>
      <c r="FZ18" s="116"/>
      <c r="GA18" s="116"/>
      <c r="GB18" s="116"/>
      <c r="GC18" s="116"/>
      <c r="GD18" s="116"/>
      <c r="GE18" s="116"/>
      <c r="GF18" s="116"/>
      <c r="GG18" s="116"/>
      <c r="GH18" s="116"/>
      <c r="GI18" s="116"/>
      <c r="GJ18" s="116"/>
      <c r="GK18" s="116"/>
      <c r="GL18" s="116"/>
      <c r="GM18" s="116"/>
      <c r="GN18" s="116"/>
      <c r="GO18" s="116"/>
      <c r="GP18" s="116"/>
      <c r="GQ18" s="116"/>
      <c r="GR18" s="116"/>
      <c r="GS18" s="116"/>
      <c r="GT18" s="116"/>
      <c r="GU18" s="116"/>
      <c r="GV18" s="116"/>
      <c r="GW18" s="116"/>
      <c r="GX18" s="116"/>
      <c r="GY18" s="116"/>
      <c r="GZ18" s="116"/>
      <c r="HA18" s="116"/>
      <c r="HB18" s="116"/>
      <c r="HC18" s="116"/>
      <c r="HD18" s="116"/>
      <c r="HE18" s="116"/>
      <c r="HF18" s="116"/>
      <c r="HG18" s="116"/>
      <c r="HH18" s="116"/>
      <c r="HI18" s="116"/>
      <c r="HJ18" s="116"/>
      <c r="HK18" s="116"/>
      <c r="HL18" s="116"/>
      <c r="HM18" s="116"/>
      <c r="HN18" s="116"/>
      <c r="HO18" s="116"/>
      <c r="HP18" s="116"/>
      <c r="HQ18" s="116"/>
      <c r="HR18" s="116"/>
      <c r="HS18" s="116"/>
      <c r="HT18" s="116"/>
      <c r="HU18" s="116"/>
      <c r="HV18" s="116"/>
      <c r="HW18" s="116"/>
      <c r="HX18" s="116"/>
      <c r="HY18" s="116"/>
      <c r="HZ18" s="116"/>
      <c r="IA18" s="116"/>
      <c r="IB18" s="116"/>
      <c r="IC18" s="116"/>
      <c r="ID18" s="116"/>
      <c r="IE18" s="116"/>
      <c r="IF18" s="116"/>
      <c r="IG18" s="116"/>
      <c r="IH18" s="116"/>
      <c r="II18" s="116"/>
      <c r="IJ18" s="116"/>
      <c r="IK18" s="116"/>
      <c r="IL18" s="116"/>
      <c r="IM18" s="116"/>
      <c r="IN18" s="116"/>
      <c r="IO18" s="116"/>
      <c r="IP18" s="116"/>
      <c r="IQ18" s="116"/>
      <c r="IR18" s="116"/>
      <c r="IS18" s="116"/>
      <c r="IT18" s="116"/>
      <c r="IU18" s="116"/>
      <c r="IV18" s="116"/>
      <c r="IW18" s="116"/>
    </row>
    <row r="19" customFormat="false" ht="23.25" hidden="false" customHeight="true" outlineLevel="0" collapsed="false">
      <c r="A19" s="133" t="s">
        <v>141</v>
      </c>
      <c r="B19" s="124" t="s">
        <v>142</v>
      </c>
      <c r="C19" s="124"/>
      <c r="D19" s="124"/>
      <c r="E19" s="124"/>
      <c r="F19" s="124"/>
      <c r="G19" s="124"/>
      <c r="H19" s="124"/>
      <c r="I19" s="124"/>
      <c r="J19" s="124"/>
      <c r="K19" s="124"/>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c r="DU19" s="116"/>
      <c r="DV19" s="116"/>
      <c r="DW19" s="116"/>
      <c r="DX19" s="116"/>
      <c r="DY19" s="116"/>
      <c r="DZ19" s="116"/>
      <c r="EA19" s="116"/>
      <c r="EB19" s="116"/>
      <c r="EC19" s="116"/>
      <c r="ED19" s="116"/>
      <c r="EE19" s="116"/>
      <c r="EF19" s="116"/>
      <c r="EG19" s="116"/>
      <c r="EH19" s="116"/>
      <c r="EI19" s="116"/>
      <c r="EJ19" s="116"/>
      <c r="EK19" s="116"/>
      <c r="EL19" s="116"/>
      <c r="EM19" s="116"/>
      <c r="EN19" s="116"/>
      <c r="EO19" s="116"/>
      <c r="EP19" s="116"/>
      <c r="EQ19" s="116"/>
      <c r="ER19" s="116"/>
      <c r="ES19" s="116"/>
      <c r="ET19" s="116"/>
      <c r="EU19" s="116"/>
      <c r="EV19" s="116"/>
      <c r="EW19" s="116"/>
      <c r="EX19" s="116"/>
      <c r="EY19" s="116"/>
      <c r="EZ19" s="116"/>
      <c r="FA19" s="116"/>
      <c r="FB19" s="116"/>
      <c r="FC19" s="116"/>
      <c r="FD19" s="116"/>
      <c r="FE19" s="116"/>
      <c r="FF19" s="116"/>
      <c r="FG19" s="116"/>
      <c r="FH19" s="116"/>
      <c r="FI19" s="116"/>
      <c r="FJ19" s="116"/>
      <c r="FK19" s="116"/>
      <c r="FL19" s="116"/>
      <c r="FM19" s="116"/>
      <c r="FN19" s="116"/>
      <c r="FO19" s="116"/>
      <c r="FP19" s="116"/>
      <c r="FQ19" s="116"/>
      <c r="FR19" s="116"/>
      <c r="FS19" s="116"/>
      <c r="FT19" s="116"/>
      <c r="FU19" s="116"/>
      <c r="FV19" s="116"/>
      <c r="FW19" s="116"/>
      <c r="FX19" s="116"/>
      <c r="FY19" s="116"/>
      <c r="FZ19" s="116"/>
      <c r="GA19" s="116"/>
      <c r="GB19" s="116"/>
      <c r="GC19" s="116"/>
      <c r="GD19" s="116"/>
      <c r="GE19" s="116"/>
      <c r="GF19" s="116"/>
      <c r="GG19" s="116"/>
      <c r="GH19" s="116"/>
      <c r="GI19" s="116"/>
      <c r="GJ19" s="116"/>
      <c r="GK19" s="116"/>
      <c r="GL19" s="116"/>
      <c r="GM19" s="116"/>
      <c r="GN19" s="116"/>
      <c r="GO19" s="116"/>
      <c r="GP19" s="116"/>
      <c r="GQ19" s="116"/>
      <c r="GR19" s="116"/>
      <c r="GS19" s="116"/>
      <c r="GT19" s="116"/>
      <c r="GU19" s="116"/>
      <c r="GV19" s="116"/>
      <c r="GW19" s="116"/>
      <c r="GX19" s="116"/>
      <c r="GY19" s="116"/>
      <c r="GZ19" s="116"/>
      <c r="HA19" s="116"/>
      <c r="HB19" s="116"/>
      <c r="HC19" s="116"/>
      <c r="HD19" s="116"/>
      <c r="HE19" s="116"/>
      <c r="HF19" s="116"/>
      <c r="HG19" s="116"/>
      <c r="HH19" s="116"/>
      <c r="HI19" s="116"/>
      <c r="HJ19" s="116"/>
      <c r="HK19" s="116"/>
      <c r="HL19" s="116"/>
      <c r="HM19" s="116"/>
      <c r="HN19" s="116"/>
      <c r="HO19" s="116"/>
      <c r="HP19" s="116"/>
      <c r="HQ19" s="116"/>
      <c r="HR19" s="116"/>
      <c r="HS19" s="116"/>
      <c r="HT19" s="116"/>
      <c r="HU19" s="116"/>
      <c r="HV19" s="116"/>
      <c r="HW19" s="116"/>
      <c r="HX19" s="116"/>
      <c r="HY19" s="116"/>
      <c r="HZ19" s="116"/>
      <c r="IA19" s="116"/>
      <c r="IB19" s="116"/>
      <c r="IC19" s="116"/>
      <c r="ID19" s="116"/>
      <c r="IE19" s="116"/>
      <c r="IF19" s="116"/>
      <c r="IG19" s="116"/>
      <c r="IH19" s="116"/>
      <c r="II19" s="116"/>
      <c r="IJ19" s="116"/>
      <c r="IK19" s="116"/>
      <c r="IL19" s="116"/>
      <c r="IM19" s="116"/>
      <c r="IN19" s="116"/>
      <c r="IO19" s="116"/>
      <c r="IP19" s="116"/>
      <c r="IQ19" s="116"/>
      <c r="IR19" s="116"/>
      <c r="IS19" s="116"/>
      <c r="IT19" s="116"/>
      <c r="IU19" s="116"/>
      <c r="IV19" s="116"/>
      <c r="IW19" s="116"/>
    </row>
    <row r="20" customFormat="false" ht="23.25" hidden="false" customHeight="true" outlineLevel="0" collapsed="false">
      <c r="A20" s="133" t="s">
        <v>143</v>
      </c>
      <c r="B20" s="124" t="s">
        <v>144</v>
      </c>
      <c r="C20" s="124"/>
      <c r="D20" s="124"/>
      <c r="E20" s="124"/>
      <c r="F20" s="124"/>
      <c r="G20" s="124"/>
      <c r="H20" s="124"/>
      <c r="I20" s="148" t="s">
        <v>61</v>
      </c>
      <c r="J20" s="148">
        <f aca="false">개요!D21</f>
      </c>
      <c r="K20" s="149" t="s">
        <v>145</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c r="DU20" s="116"/>
      <c r="DV20" s="116"/>
      <c r="DW20" s="116"/>
      <c r="DX20" s="116"/>
      <c r="DY20" s="116"/>
      <c r="DZ20" s="116"/>
      <c r="EA20" s="116"/>
      <c r="EB20" s="116"/>
      <c r="EC20" s="116"/>
      <c r="ED20" s="116"/>
      <c r="EE20" s="116"/>
      <c r="EF20" s="116"/>
      <c r="EG20" s="116"/>
      <c r="EH20" s="116"/>
      <c r="EI20" s="116"/>
      <c r="EJ20" s="116"/>
      <c r="EK20" s="116"/>
      <c r="EL20" s="116"/>
      <c r="EM20" s="116"/>
      <c r="EN20" s="116"/>
      <c r="EO20" s="116"/>
      <c r="EP20" s="116"/>
      <c r="EQ20" s="116"/>
      <c r="ER20" s="116"/>
      <c r="ES20" s="116"/>
      <c r="ET20" s="116"/>
      <c r="EU20" s="116"/>
      <c r="EV20" s="116"/>
      <c r="EW20" s="116"/>
      <c r="EX20" s="116"/>
      <c r="EY20" s="116"/>
      <c r="EZ20" s="116"/>
      <c r="FA20" s="116"/>
      <c r="FB20" s="116"/>
      <c r="FC20" s="116"/>
      <c r="FD20" s="116"/>
      <c r="FE20" s="116"/>
      <c r="FF20" s="116"/>
      <c r="FG20" s="116"/>
      <c r="FH20" s="116"/>
      <c r="FI20" s="116"/>
      <c r="FJ20" s="116"/>
      <c r="FK20" s="116"/>
      <c r="FL20" s="116"/>
      <c r="FM20" s="116"/>
      <c r="FN20" s="116"/>
      <c r="FO20" s="116"/>
      <c r="FP20" s="116"/>
      <c r="FQ20" s="116"/>
      <c r="FR20" s="116"/>
      <c r="FS20" s="116"/>
      <c r="FT20" s="116"/>
      <c r="FU20" s="116"/>
      <c r="FV20" s="116"/>
      <c r="FW20" s="116"/>
      <c r="FX20" s="116"/>
      <c r="FY20" s="116"/>
      <c r="FZ20" s="116"/>
      <c r="GA20" s="116"/>
      <c r="GB20" s="116"/>
      <c r="GC20" s="116"/>
      <c r="GD20" s="116"/>
      <c r="GE20" s="116"/>
      <c r="GF20" s="116"/>
      <c r="GG20" s="116"/>
      <c r="GH20" s="116"/>
      <c r="GI20" s="116"/>
      <c r="GJ20" s="116"/>
      <c r="GK20" s="116"/>
      <c r="GL20" s="116"/>
      <c r="GM20" s="116"/>
      <c r="GN20" s="116"/>
      <c r="GO20" s="116"/>
      <c r="GP20" s="116"/>
      <c r="GQ20" s="116"/>
      <c r="GR20" s="116"/>
      <c r="GS20" s="116"/>
      <c r="GT20" s="116"/>
      <c r="GU20" s="116"/>
      <c r="GV20" s="116"/>
      <c r="GW20" s="116"/>
      <c r="GX20" s="116"/>
      <c r="GY20" s="116"/>
      <c r="GZ20" s="116"/>
      <c r="HA20" s="116"/>
      <c r="HB20" s="116"/>
      <c r="HC20" s="116"/>
      <c r="HD20" s="116"/>
      <c r="HE20" s="116"/>
      <c r="HF20" s="116"/>
      <c r="HG20" s="116"/>
      <c r="HH20" s="116"/>
      <c r="HI20" s="116"/>
      <c r="HJ20" s="116"/>
      <c r="HK20" s="116"/>
      <c r="HL20" s="116"/>
      <c r="HM20" s="116"/>
      <c r="HN20" s="116"/>
      <c r="HO20" s="116"/>
      <c r="HP20" s="116"/>
      <c r="HQ20" s="116"/>
      <c r="HR20" s="116"/>
      <c r="HS20" s="116"/>
      <c r="HT20" s="116"/>
      <c r="HU20" s="116"/>
      <c r="HV20" s="116"/>
      <c r="HW20" s="116"/>
      <c r="HX20" s="116"/>
      <c r="HY20" s="116"/>
      <c r="HZ20" s="116"/>
      <c r="IA20" s="116"/>
      <c r="IB20" s="116"/>
      <c r="IC20" s="116"/>
      <c r="ID20" s="116"/>
      <c r="IE20" s="116"/>
      <c r="IF20" s="116"/>
      <c r="IG20" s="116"/>
      <c r="IH20" s="116"/>
      <c r="II20" s="116"/>
      <c r="IJ20" s="116"/>
      <c r="IK20" s="116"/>
      <c r="IL20" s="116"/>
      <c r="IM20" s="116"/>
      <c r="IN20" s="116"/>
      <c r="IO20" s="116"/>
      <c r="IP20" s="116"/>
      <c r="IQ20" s="116"/>
      <c r="IR20" s="116"/>
      <c r="IS20" s="116"/>
      <c r="IT20" s="116"/>
      <c r="IU20" s="116"/>
      <c r="IV20" s="116"/>
      <c r="IW20" s="116"/>
    </row>
    <row r="21" customFormat="false" ht="23.25" hidden="false" customHeight="true" outlineLevel="0" collapsed="false">
      <c r="A21" s="133" t="s">
        <v>146</v>
      </c>
      <c r="B21" s="124" t="s">
        <v>147</v>
      </c>
      <c r="C21" s="124"/>
      <c r="D21" s="124"/>
      <c r="E21" s="124"/>
      <c r="F21" s="124"/>
      <c r="G21" s="124"/>
      <c r="H21" s="124"/>
      <c r="I21" s="124"/>
      <c r="J21" s="124"/>
      <c r="K21" s="124"/>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c r="DU21" s="116"/>
      <c r="DV21" s="116"/>
      <c r="DW21" s="116"/>
      <c r="DX21" s="116"/>
      <c r="DY21" s="116"/>
      <c r="DZ21" s="116"/>
      <c r="EA21" s="116"/>
      <c r="EB21" s="116"/>
      <c r="EC21" s="116"/>
      <c r="ED21" s="116"/>
      <c r="EE21" s="116"/>
      <c r="EF21" s="116"/>
      <c r="EG21" s="116"/>
      <c r="EH21" s="116"/>
      <c r="EI21" s="116"/>
      <c r="EJ21" s="116"/>
      <c r="EK21" s="116"/>
      <c r="EL21" s="116"/>
      <c r="EM21" s="116"/>
      <c r="EN21" s="116"/>
      <c r="EO21" s="116"/>
      <c r="EP21" s="116"/>
      <c r="EQ21" s="116"/>
      <c r="ER21" s="116"/>
      <c r="ES21" s="116"/>
      <c r="ET21" s="116"/>
      <c r="EU21" s="116"/>
      <c r="EV21" s="116"/>
      <c r="EW21" s="116"/>
      <c r="EX21" s="116"/>
      <c r="EY21" s="116"/>
      <c r="EZ21" s="116"/>
      <c r="FA21" s="116"/>
      <c r="FB21" s="116"/>
      <c r="FC21" s="116"/>
      <c r="FD21" s="116"/>
      <c r="FE21" s="116"/>
      <c r="FF21" s="116"/>
      <c r="FG21" s="116"/>
      <c r="FH21" s="116"/>
      <c r="FI21" s="116"/>
      <c r="FJ21" s="116"/>
      <c r="FK21" s="116"/>
      <c r="FL21" s="116"/>
      <c r="FM21" s="116"/>
      <c r="FN21" s="116"/>
      <c r="FO21" s="116"/>
      <c r="FP21" s="116"/>
      <c r="FQ21" s="116"/>
      <c r="FR21" s="116"/>
      <c r="FS21" s="116"/>
      <c r="FT21" s="116"/>
      <c r="FU21" s="116"/>
      <c r="FV21" s="116"/>
      <c r="FW21" s="116"/>
      <c r="FX21" s="116"/>
      <c r="FY21" s="116"/>
      <c r="FZ21" s="116"/>
      <c r="GA21" s="116"/>
      <c r="GB21" s="116"/>
      <c r="GC21" s="116"/>
      <c r="GD21" s="116"/>
      <c r="GE21" s="116"/>
      <c r="GF21" s="116"/>
      <c r="GG21" s="116"/>
      <c r="GH21" s="116"/>
      <c r="GI21" s="116"/>
      <c r="GJ21" s="116"/>
      <c r="GK21" s="116"/>
      <c r="GL21" s="116"/>
      <c r="GM21" s="116"/>
      <c r="GN21" s="116"/>
      <c r="GO21" s="116"/>
      <c r="GP21" s="116"/>
      <c r="GQ21" s="116"/>
      <c r="GR21" s="116"/>
      <c r="GS21" s="116"/>
      <c r="GT21" s="116"/>
      <c r="GU21" s="116"/>
      <c r="GV21" s="116"/>
      <c r="GW21" s="116"/>
      <c r="GX21" s="116"/>
      <c r="GY21" s="116"/>
      <c r="GZ21" s="116"/>
      <c r="HA21" s="116"/>
      <c r="HB21" s="116"/>
      <c r="HC21" s="116"/>
      <c r="HD21" s="116"/>
      <c r="HE21" s="116"/>
      <c r="HF21" s="116"/>
      <c r="HG21" s="116"/>
      <c r="HH21" s="116"/>
      <c r="HI21" s="116"/>
      <c r="HJ21" s="116"/>
      <c r="HK21" s="116"/>
      <c r="HL21" s="116"/>
      <c r="HM21" s="116"/>
      <c r="HN21" s="116"/>
      <c r="HO21" s="116"/>
      <c r="HP21" s="116"/>
      <c r="HQ21" s="116"/>
      <c r="HR21" s="116"/>
      <c r="HS21" s="116"/>
      <c r="HT21" s="116"/>
      <c r="HU21" s="116"/>
      <c r="HV21" s="116"/>
      <c r="HW21" s="116"/>
      <c r="HX21" s="116"/>
      <c r="HY21" s="116"/>
      <c r="HZ21" s="116"/>
      <c r="IA21" s="116"/>
      <c r="IB21" s="116"/>
      <c r="IC21" s="116"/>
      <c r="ID21" s="116"/>
      <c r="IE21" s="116"/>
      <c r="IF21" s="116"/>
      <c r="IG21" s="116"/>
      <c r="IH21" s="116"/>
      <c r="II21" s="116"/>
      <c r="IJ21" s="116"/>
      <c r="IK21" s="116"/>
      <c r="IL21" s="116"/>
      <c r="IM21" s="116"/>
      <c r="IN21" s="116"/>
      <c r="IO21" s="116"/>
      <c r="IP21" s="116"/>
      <c r="IQ21" s="116"/>
      <c r="IR21" s="116"/>
      <c r="IS21" s="116"/>
      <c r="IT21" s="116"/>
      <c r="IU21" s="116"/>
      <c r="IV21" s="116"/>
      <c r="IW21" s="116"/>
    </row>
    <row r="22" customFormat="false" ht="23.25" hidden="false" customHeight="true" outlineLevel="0" collapsed="false">
      <c r="A22" s="133" t="s">
        <v>148</v>
      </c>
      <c r="B22" s="124" t="s">
        <v>149</v>
      </c>
      <c r="C22" s="124"/>
      <c r="D22" s="124"/>
      <c r="E22" s="124"/>
      <c r="F22" s="124"/>
      <c r="G22" s="124"/>
      <c r="H22" s="124"/>
      <c r="I22" s="124"/>
      <c r="J22" s="124"/>
      <c r="K22" s="124"/>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c r="DU22" s="116"/>
      <c r="DV22" s="116"/>
      <c r="DW22" s="116"/>
      <c r="DX22" s="116"/>
      <c r="DY22" s="116"/>
      <c r="DZ22" s="116"/>
      <c r="EA22" s="116"/>
      <c r="EB22" s="116"/>
      <c r="EC22" s="116"/>
      <c r="ED22" s="116"/>
      <c r="EE22" s="116"/>
      <c r="EF22" s="116"/>
      <c r="EG22" s="116"/>
      <c r="EH22" s="116"/>
      <c r="EI22" s="116"/>
      <c r="EJ22" s="116"/>
      <c r="EK22" s="116"/>
      <c r="EL22" s="116"/>
      <c r="EM22" s="116"/>
      <c r="EN22" s="116"/>
      <c r="EO22" s="116"/>
      <c r="EP22" s="116"/>
      <c r="EQ22" s="116"/>
      <c r="ER22" s="116"/>
      <c r="ES22" s="116"/>
      <c r="ET22" s="116"/>
      <c r="EU22" s="116"/>
      <c r="EV22" s="116"/>
      <c r="EW22" s="116"/>
      <c r="EX22" s="116"/>
      <c r="EY22" s="116"/>
      <c r="EZ22" s="116"/>
      <c r="FA22" s="116"/>
      <c r="FB22" s="116"/>
      <c r="FC22" s="116"/>
      <c r="FD22" s="116"/>
      <c r="FE22" s="116"/>
      <c r="FF22" s="116"/>
      <c r="FG22" s="116"/>
      <c r="FH22" s="116"/>
      <c r="FI22" s="116"/>
      <c r="FJ22" s="116"/>
      <c r="FK22" s="116"/>
      <c r="FL22" s="116"/>
      <c r="FM22" s="116"/>
      <c r="FN22" s="116"/>
      <c r="FO22" s="116"/>
      <c r="FP22" s="116"/>
      <c r="FQ22" s="116"/>
      <c r="FR22" s="116"/>
      <c r="FS22" s="116"/>
      <c r="FT22" s="116"/>
      <c r="FU22" s="116"/>
      <c r="FV22" s="116"/>
      <c r="FW22" s="116"/>
      <c r="FX22" s="116"/>
      <c r="FY22" s="116"/>
      <c r="FZ22" s="116"/>
      <c r="GA22" s="116"/>
      <c r="GB22" s="116"/>
      <c r="GC22" s="116"/>
      <c r="GD22" s="116"/>
      <c r="GE22" s="116"/>
      <c r="GF22" s="116"/>
      <c r="GG22" s="116"/>
      <c r="GH22" s="116"/>
      <c r="GI22" s="116"/>
      <c r="GJ22" s="116"/>
      <c r="GK22" s="116"/>
      <c r="GL22" s="116"/>
      <c r="GM22" s="116"/>
      <c r="GN22" s="116"/>
      <c r="GO22" s="116"/>
      <c r="GP22" s="116"/>
      <c r="GQ22" s="116"/>
      <c r="GR22" s="116"/>
      <c r="GS22" s="116"/>
      <c r="GT22" s="116"/>
      <c r="GU22" s="116"/>
      <c r="GV22" s="116"/>
      <c r="GW22" s="116"/>
      <c r="GX22" s="116"/>
      <c r="GY22" s="116"/>
      <c r="GZ22" s="116"/>
      <c r="HA22" s="116"/>
      <c r="HB22" s="116"/>
      <c r="HC22" s="116"/>
      <c r="HD22" s="116"/>
      <c r="HE22" s="116"/>
      <c r="HF22" s="116"/>
      <c r="HG22" s="116"/>
      <c r="HH22" s="116"/>
      <c r="HI22" s="116"/>
      <c r="HJ22" s="116"/>
      <c r="HK22" s="116"/>
      <c r="HL22" s="116"/>
      <c r="HM22" s="116"/>
      <c r="HN22" s="116"/>
      <c r="HO22" s="116"/>
      <c r="HP22" s="116"/>
      <c r="HQ22" s="116"/>
      <c r="HR22" s="116"/>
      <c r="HS22" s="116"/>
      <c r="HT22" s="116"/>
      <c r="HU22" s="116"/>
      <c r="HV22" s="116"/>
      <c r="HW22" s="116"/>
      <c r="HX22" s="116"/>
      <c r="HY22" s="116"/>
      <c r="HZ22" s="116"/>
      <c r="IA22" s="116"/>
      <c r="IB22" s="116"/>
      <c r="IC22" s="116"/>
      <c r="ID22" s="116"/>
      <c r="IE22" s="116"/>
      <c r="IF22" s="116"/>
      <c r="IG22" s="116"/>
      <c r="IH22" s="116"/>
      <c r="II22" s="116"/>
      <c r="IJ22" s="116"/>
      <c r="IK22" s="116"/>
      <c r="IL22" s="116"/>
      <c r="IM22" s="116"/>
      <c r="IN22" s="116"/>
      <c r="IO22" s="116"/>
      <c r="IP22" s="116"/>
      <c r="IQ22" s="116"/>
      <c r="IR22" s="116"/>
      <c r="IS22" s="116"/>
      <c r="IT22" s="116"/>
      <c r="IU22" s="116"/>
      <c r="IV22" s="116"/>
      <c r="IW22" s="116"/>
    </row>
    <row r="23" customFormat="false" ht="23.25" hidden="false" customHeight="true" outlineLevel="0" collapsed="false">
      <c r="A23" s="150" t="s">
        <v>150</v>
      </c>
      <c r="B23" s="151" t="s">
        <v>151</v>
      </c>
      <c r="C23" s="151"/>
      <c r="D23" s="151"/>
      <c r="E23" s="151"/>
      <c r="F23" s="151"/>
      <c r="G23" s="151"/>
      <c r="H23" s="151"/>
      <c r="I23" s="151"/>
      <c r="J23" s="151"/>
      <c r="K23" s="151"/>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c r="DU23" s="116"/>
      <c r="DV23" s="116"/>
      <c r="DW23" s="116"/>
      <c r="DX23" s="116"/>
      <c r="DY23" s="116"/>
      <c r="DZ23" s="116"/>
      <c r="EA23" s="116"/>
      <c r="EB23" s="116"/>
      <c r="EC23" s="116"/>
      <c r="ED23" s="116"/>
      <c r="EE23" s="116"/>
      <c r="EF23" s="116"/>
      <c r="EG23" s="116"/>
      <c r="EH23" s="116"/>
      <c r="EI23" s="116"/>
      <c r="EJ23" s="116"/>
      <c r="EK23" s="116"/>
      <c r="EL23" s="116"/>
      <c r="EM23" s="116"/>
      <c r="EN23" s="116"/>
      <c r="EO23" s="116"/>
      <c r="EP23" s="116"/>
      <c r="EQ23" s="116"/>
      <c r="ER23" s="116"/>
      <c r="ES23" s="116"/>
      <c r="ET23" s="116"/>
      <c r="EU23" s="116"/>
      <c r="EV23" s="116"/>
      <c r="EW23" s="116"/>
      <c r="EX23" s="116"/>
      <c r="EY23" s="116"/>
      <c r="EZ23" s="116"/>
      <c r="FA23" s="116"/>
      <c r="FB23" s="116"/>
      <c r="FC23" s="116"/>
      <c r="FD23" s="116"/>
      <c r="FE23" s="116"/>
      <c r="FF23" s="116"/>
      <c r="FG23" s="116"/>
      <c r="FH23" s="116"/>
      <c r="FI23" s="116"/>
      <c r="FJ23" s="116"/>
      <c r="FK23" s="116"/>
      <c r="FL23" s="116"/>
      <c r="FM23" s="116"/>
      <c r="FN23" s="116"/>
      <c r="FO23" s="116"/>
      <c r="FP23" s="116"/>
      <c r="FQ23" s="116"/>
      <c r="FR23" s="116"/>
      <c r="FS23" s="116"/>
      <c r="FT23" s="116"/>
      <c r="FU23" s="116"/>
      <c r="FV23" s="116"/>
      <c r="FW23" s="116"/>
      <c r="FX23" s="116"/>
      <c r="FY23" s="116"/>
      <c r="FZ23" s="116"/>
      <c r="GA23" s="116"/>
      <c r="GB23" s="116"/>
      <c r="GC23" s="116"/>
      <c r="GD23" s="116"/>
      <c r="GE23" s="116"/>
      <c r="GF23" s="116"/>
      <c r="GG23" s="116"/>
      <c r="GH23" s="116"/>
      <c r="GI23" s="116"/>
      <c r="GJ23" s="116"/>
      <c r="GK23" s="116"/>
      <c r="GL23" s="116"/>
      <c r="GM23" s="116"/>
      <c r="GN23" s="116"/>
      <c r="GO23" s="116"/>
      <c r="GP23" s="116"/>
      <c r="GQ23" s="116"/>
      <c r="GR23" s="116"/>
      <c r="GS23" s="116"/>
      <c r="GT23" s="116"/>
      <c r="GU23" s="116"/>
      <c r="GV23" s="116"/>
      <c r="GW23" s="116"/>
      <c r="GX23" s="116"/>
      <c r="GY23" s="116"/>
      <c r="GZ23" s="116"/>
      <c r="HA23" s="116"/>
      <c r="HB23" s="116"/>
      <c r="HC23" s="116"/>
      <c r="HD23" s="116"/>
      <c r="HE23" s="116"/>
      <c r="HF23" s="116"/>
      <c r="HG23" s="116"/>
      <c r="HH23" s="116"/>
      <c r="HI23" s="116"/>
      <c r="HJ23" s="116"/>
      <c r="HK23" s="116"/>
      <c r="HL23" s="116"/>
      <c r="HM23" s="116"/>
      <c r="HN23" s="116"/>
      <c r="HO23" s="116"/>
      <c r="HP23" s="116"/>
      <c r="HQ23" s="116"/>
      <c r="HR23" s="116"/>
      <c r="HS23" s="116"/>
      <c r="HT23" s="116"/>
      <c r="HU23" s="116"/>
      <c r="HV23" s="116"/>
      <c r="HW23" s="116"/>
      <c r="HX23" s="116"/>
      <c r="HY23" s="116"/>
      <c r="HZ23" s="116"/>
      <c r="IA23" s="116"/>
      <c r="IB23" s="116"/>
      <c r="IC23" s="116"/>
      <c r="ID23" s="116"/>
      <c r="IE23" s="116"/>
      <c r="IF23" s="116"/>
      <c r="IG23" s="116"/>
      <c r="IH23" s="116"/>
      <c r="II23" s="116"/>
      <c r="IJ23" s="116"/>
      <c r="IK23" s="116"/>
      <c r="IL23" s="116"/>
      <c r="IM23" s="116"/>
      <c r="IN23" s="116"/>
      <c r="IO23" s="116"/>
      <c r="IP23" s="116"/>
      <c r="IQ23" s="116"/>
      <c r="IR23" s="116"/>
      <c r="IS23" s="116"/>
      <c r="IT23" s="116"/>
      <c r="IU23" s="116"/>
      <c r="IV23" s="116"/>
      <c r="IW23" s="116"/>
    </row>
  </sheetData>
  <mergeCells count="34">
    <mergeCell ref="A1:H1"/>
    <mergeCell ref="J1:K1"/>
    <mergeCell ref="A2:K2"/>
    <mergeCell ref="A3:H3"/>
    <mergeCell ref="A4:K4"/>
    <mergeCell ref="A5:A6"/>
    <mergeCell ref="B5:K5"/>
    <mergeCell ref="C6:D6"/>
    <mergeCell ref="E6:F6"/>
    <mergeCell ref="G6:K6"/>
    <mergeCell ref="C7:K7"/>
    <mergeCell ref="A8:A9"/>
    <mergeCell ref="B8:K8"/>
    <mergeCell ref="E9:G9"/>
    <mergeCell ref="H9:I9"/>
    <mergeCell ref="J9:K9"/>
    <mergeCell ref="B10:K10"/>
    <mergeCell ref="B11:K11"/>
    <mergeCell ref="B12:K12"/>
    <mergeCell ref="B13:K13"/>
    <mergeCell ref="B14:D14"/>
    <mergeCell ref="E14:H14"/>
    <mergeCell ref="I14:K14"/>
    <mergeCell ref="A15:K15"/>
    <mergeCell ref="B16:E16"/>
    <mergeCell ref="F16:H16"/>
    <mergeCell ref="I16:K16"/>
    <mergeCell ref="G17:I17"/>
    <mergeCell ref="F18:G18"/>
    <mergeCell ref="B19:K19"/>
    <mergeCell ref="B20:H20"/>
    <mergeCell ref="B21:K21"/>
    <mergeCell ref="B22:K22"/>
    <mergeCell ref="B23:K23"/>
  </mergeCells>
  <printOptions headings="false" gridLines="false" gridLinesSet="true" horizontalCentered="true" verticalCentered="false"/>
  <pageMargins left="0.35433070866141736" right="0.1968503937007874" top="0.5118110236220472" bottom="0.2362204724409449" header="0.31496062992125984" footer="0.1968503937007874"/>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30"/>
  <sheetViews>
    <sheetView showFormulas="false" showGridLines="true" showRowColHeaders="true" showZeros="false" rightToLeft="false" tabSelected="false" showOutlineSymbols="true" defaultGridColor="true" view="normal" topLeftCell="A13" colorId="64" zoomScale="100" zoomScaleNormal="100" zoomScalePageLayoutView="100" workbookViewId="0">
      <selection pane="topLeft" activeCell="B19" activeCellId="0" sqref="B19:K19"/>
    </sheetView>
  </sheetViews>
  <sheetFormatPr defaultColWidth="8.88671875" defaultRowHeight="13.5" customHeight="false" zeroHeight="false" outlineLevelRow="0" outlineLevelCol="0"/>
  <cols>
    <col collapsed="false" customWidth="true" hidden="false" outlineLevel="0" max="1" min="1" style="99" width="11.88"/>
    <col collapsed="false" customWidth="true" hidden="false" outlineLevel="0" max="2" min="2" style="99" width="8.33"/>
    <col collapsed="false" customWidth="true" hidden="false" outlineLevel="0" max="3" min="3" style="99" width="6.66"/>
    <col collapsed="false" customWidth="true" hidden="false" outlineLevel="0" max="4" min="4" style="99" width="8.65"/>
    <col collapsed="false" customWidth="true" hidden="false" outlineLevel="0" max="5" min="5" style="99" width="8.33"/>
    <col collapsed="false" customWidth="true" hidden="false" outlineLevel="0" max="6" min="6" style="99" width="3.33"/>
    <col collapsed="false" customWidth="true" hidden="false" outlineLevel="0" max="7" min="7" style="99" width="3.99"/>
    <col collapsed="false" customWidth="true" hidden="false" outlineLevel="0" max="8" min="8" style="99" width="5.66"/>
    <col collapsed="false" customWidth="true" hidden="false" outlineLevel="0" max="9" min="9" style="99" width="7.44"/>
    <col collapsed="false" customWidth="true" hidden="false" outlineLevel="0" max="10" min="10" style="99" width="9.33"/>
    <col collapsed="false" customWidth="true" hidden="false" outlineLevel="0" max="11" min="11" style="99" width="8.77"/>
    <col collapsed="false" customWidth="false" hidden="false" outlineLevel="0" max="257" min="12" style="99" width="8.88"/>
  </cols>
  <sheetData>
    <row r="1" customFormat="false" ht="15.75" hidden="false" customHeight="true" outlineLevel="0" collapsed="false">
      <c r="A1" s="100"/>
      <c r="B1" s="100"/>
      <c r="C1" s="100"/>
      <c r="D1" s="100"/>
      <c r="E1" s="100"/>
      <c r="F1" s="100"/>
      <c r="G1" s="100"/>
      <c r="H1" s="100"/>
      <c r="I1" s="101"/>
      <c r="J1" s="100" t="s">
        <v>105</v>
      </c>
      <c r="K1" s="100"/>
    </row>
    <row r="2" customFormat="false" ht="24" hidden="false" customHeight="true" outlineLevel="0" collapsed="false">
      <c r="A2" s="128" t="s">
        <v>129</v>
      </c>
      <c r="B2" s="128"/>
      <c r="C2" s="128"/>
      <c r="D2" s="128"/>
      <c r="E2" s="128"/>
      <c r="F2" s="128"/>
      <c r="G2" s="128"/>
      <c r="H2" s="128"/>
      <c r="I2" s="128"/>
      <c r="J2" s="128"/>
      <c r="K2" s="128"/>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6"/>
      <c r="EP2" s="116"/>
      <c r="EQ2" s="116"/>
      <c r="ER2" s="116"/>
      <c r="ES2" s="116"/>
      <c r="ET2" s="116"/>
      <c r="EU2" s="116"/>
      <c r="EV2" s="116"/>
      <c r="EW2" s="116"/>
      <c r="EX2" s="116"/>
      <c r="EY2" s="116"/>
      <c r="EZ2" s="116"/>
      <c r="FA2" s="116"/>
      <c r="FB2" s="116"/>
      <c r="FC2" s="116"/>
      <c r="FD2" s="116"/>
      <c r="FE2" s="116"/>
      <c r="FF2" s="116"/>
      <c r="FG2" s="116"/>
      <c r="FH2" s="116"/>
      <c r="FI2" s="116"/>
      <c r="FJ2" s="116"/>
      <c r="FK2" s="116"/>
      <c r="FL2" s="116"/>
      <c r="FM2" s="116"/>
      <c r="FN2" s="116"/>
      <c r="FO2" s="116"/>
      <c r="FP2" s="116"/>
      <c r="FQ2" s="116"/>
      <c r="FR2" s="116"/>
      <c r="FS2" s="116"/>
      <c r="FT2" s="116"/>
      <c r="FU2" s="116"/>
      <c r="FV2" s="116"/>
      <c r="FW2" s="116"/>
      <c r="FX2" s="116"/>
      <c r="FY2" s="116"/>
      <c r="FZ2" s="116"/>
      <c r="GA2" s="116"/>
      <c r="GB2" s="116"/>
      <c r="GC2" s="116"/>
      <c r="GD2" s="116"/>
      <c r="GE2" s="116"/>
      <c r="GF2" s="116"/>
      <c r="GG2" s="116"/>
      <c r="GH2" s="116"/>
      <c r="GI2" s="116"/>
      <c r="GJ2" s="116"/>
      <c r="GK2" s="116"/>
      <c r="GL2" s="116"/>
      <c r="GM2" s="116"/>
      <c r="GN2" s="116"/>
      <c r="GO2" s="116"/>
      <c r="GP2" s="116"/>
      <c r="GQ2" s="116"/>
      <c r="GR2" s="116"/>
      <c r="GS2" s="116"/>
      <c r="GT2" s="116"/>
      <c r="GU2" s="116"/>
      <c r="GV2" s="116"/>
      <c r="GW2" s="116"/>
      <c r="GX2" s="116"/>
      <c r="GY2" s="116"/>
      <c r="GZ2" s="116"/>
      <c r="HA2" s="116"/>
      <c r="HB2" s="116"/>
      <c r="HC2" s="116"/>
      <c r="HD2" s="116"/>
      <c r="HE2" s="116"/>
      <c r="HF2" s="116"/>
      <c r="HG2" s="116"/>
      <c r="HH2" s="116"/>
      <c r="HI2" s="116"/>
      <c r="HJ2" s="116"/>
      <c r="HK2" s="116"/>
      <c r="HL2" s="116"/>
      <c r="HM2" s="116"/>
      <c r="HN2" s="116"/>
      <c r="HO2" s="116"/>
      <c r="HP2" s="116"/>
      <c r="HQ2" s="116"/>
      <c r="HR2" s="116"/>
      <c r="HS2" s="116"/>
      <c r="HT2" s="116"/>
      <c r="HU2" s="116"/>
      <c r="HV2" s="116"/>
      <c r="HW2" s="116"/>
      <c r="HX2" s="116"/>
      <c r="HY2" s="116"/>
      <c r="HZ2" s="116"/>
      <c r="IA2" s="116"/>
      <c r="IB2" s="116"/>
      <c r="IC2" s="116"/>
      <c r="ID2" s="116"/>
      <c r="IE2" s="116"/>
      <c r="IF2" s="116"/>
      <c r="IG2" s="116"/>
      <c r="IH2" s="116"/>
      <c r="II2" s="116"/>
      <c r="IJ2" s="116"/>
      <c r="IK2" s="116"/>
      <c r="IL2" s="116"/>
      <c r="IM2" s="116"/>
      <c r="IN2" s="116"/>
      <c r="IO2" s="116"/>
      <c r="IP2" s="116"/>
      <c r="IQ2" s="116"/>
      <c r="IR2" s="116"/>
      <c r="IS2" s="116"/>
      <c r="IT2" s="116"/>
      <c r="IU2" s="116"/>
      <c r="IV2" s="116"/>
      <c r="IW2" s="116"/>
    </row>
    <row r="3" customFormat="false" ht="24" hidden="false" customHeight="true" outlineLevel="0" collapsed="false">
      <c r="A3" s="152" t="s">
        <v>130</v>
      </c>
      <c r="B3" s="130" t="s">
        <v>32</v>
      </c>
      <c r="C3" s="130"/>
      <c r="D3" s="130"/>
      <c r="E3" s="130"/>
      <c r="F3" s="131" t="s">
        <v>131</v>
      </c>
      <c r="G3" s="131"/>
      <c r="H3" s="131"/>
      <c r="I3" s="153" t="s">
        <v>32</v>
      </c>
      <c r="J3" s="153"/>
      <c r="K3" s="153"/>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116"/>
      <c r="CT3" s="116"/>
      <c r="CU3" s="116"/>
      <c r="CV3" s="116"/>
      <c r="CW3" s="116"/>
      <c r="CX3" s="116"/>
      <c r="CY3" s="116"/>
      <c r="CZ3" s="116"/>
      <c r="DA3" s="116"/>
      <c r="DB3" s="116"/>
      <c r="DC3" s="116"/>
      <c r="DD3" s="116"/>
      <c r="DE3" s="116"/>
      <c r="DF3" s="116"/>
      <c r="DG3" s="116"/>
      <c r="DH3" s="116"/>
      <c r="DI3" s="116"/>
      <c r="DJ3" s="116"/>
      <c r="DK3" s="116"/>
      <c r="DL3" s="116"/>
      <c r="DM3" s="116"/>
      <c r="DN3" s="116"/>
      <c r="DO3" s="116"/>
      <c r="DP3" s="116"/>
      <c r="DQ3" s="116"/>
      <c r="DR3" s="116"/>
      <c r="DS3" s="116"/>
      <c r="DT3" s="116"/>
      <c r="DU3" s="116"/>
      <c r="DV3" s="116"/>
      <c r="DW3" s="116"/>
      <c r="DX3" s="116"/>
      <c r="DY3" s="116"/>
      <c r="DZ3" s="116"/>
      <c r="EA3" s="116"/>
      <c r="EB3" s="116"/>
      <c r="EC3" s="116"/>
      <c r="ED3" s="116"/>
      <c r="EE3" s="116"/>
      <c r="EF3" s="116"/>
      <c r="EG3" s="116"/>
      <c r="EH3" s="116"/>
      <c r="EI3" s="116"/>
      <c r="EJ3" s="116"/>
      <c r="EK3" s="116"/>
      <c r="EL3" s="116"/>
      <c r="EM3" s="116"/>
      <c r="EN3" s="116"/>
      <c r="EO3" s="116"/>
      <c r="EP3" s="116"/>
      <c r="EQ3" s="116"/>
      <c r="ER3" s="116"/>
      <c r="ES3" s="116"/>
      <c r="ET3" s="116"/>
      <c r="EU3" s="116"/>
      <c r="EV3" s="116"/>
      <c r="EW3" s="116"/>
      <c r="EX3" s="116"/>
      <c r="EY3" s="116"/>
      <c r="EZ3" s="116"/>
      <c r="FA3" s="116"/>
      <c r="FB3" s="116"/>
      <c r="FC3" s="116"/>
      <c r="FD3" s="116"/>
      <c r="FE3" s="116"/>
      <c r="FF3" s="116"/>
      <c r="FG3" s="116"/>
      <c r="FH3" s="116"/>
      <c r="FI3" s="116"/>
      <c r="FJ3" s="116"/>
      <c r="FK3" s="116"/>
      <c r="FL3" s="116"/>
      <c r="FM3" s="116"/>
      <c r="FN3" s="116"/>
      <c r="FO3" s="116"/>
      <c r="FP3" s="116"/>
      <c r="FQ3" s="116"/>
      <c r="FR3" s="116"/>
      <c r="FS3" s="116"/>
      <c r="FT3" s="116"/>
      <c r="FU3" s="116"/>
      <c r="FV3" s="116"/>
      <c r="FW3" s="116"/>
      <c r="FX3" s="116"/>
      <c r="FY3" s="116"/>
      <c r="FZ3" s="116"/>
      <c r="GA3" s="116"/>
      <c r="GB3" s="116"/>
      <c r="GC3" s="116"/>
      <c r="GD3" s="116"/>
      <c r="GE3" s="116"/>
      <c r="GF3" s="116"/>
      <c r="GG3" s="116"/>
      <c r="GH3" s="116"/>
      <c r="GI3" s="116"/>
      <c r="GJ3" s="116"/>
      <c r="GK3" s="116"/>
      <c r="GL3" s="116"/>
      <c r="GM3" s="116"/>
      <c r="GN3" s="116"/>
      <c r="GO3" s="116"/>
      <c r="GP3" s="116"/>
      <c r="GQ3" s="116"/>
      <c r="GR3" s="116"/>
      <c r="GS3" s="116"/>
      <c r="GT3" s="116"/>
      <c r="GU3" s="116"/>
      <c r="GV3" s="116"/>
      <c r="GW3" s="116"/>
      <c r="GX3" s="116"/>
      <c r="GY3" s="116"/>
      <c r="GZ3" s="116"/>
      <c r="HA3" s="116"/>
      <c r="HB3" s="116"/>
      <c r="HC3" s="116"/>
      <c r="HD3" s="116"/>
      <c r="HE3" s="116"/>
      <c r="HF3" s="116"/>
      <c r="HG3" s="116"/>
      <c r="HH3" s="116"/>
      <c r="HI3" s="116"/>
      <c r="HJ3" s="116"/>
      <c r="HK3" s="116"/>
      <c r="HL3" s="116"/>
      <c r="HM3" s="116"/>
      <c r="HN3" s="116"/>
      <c r="HO3" s="116"/>
      <c r="HP3" s="116"/>
      <c r="HQ3" s="116"/>
      <c r="HR3" s="116"/>
      <c r="HS3" s="116"/>
      <c r="HT3" s="116"/>
      <c r="HU3" s="116"/>
      <c r="HV3" s="116"/>
      <c r="HW3" s="116"/>
      <c r="HX3" s="116"/>
      <c r="HY3" s="116"/>
      <c r="HZ3" s="116"/>
      <c r="IA3" s="116"/>
      <c r="IB3" s="116"/>
      <c r="IC3" s="116"/>
      <c r="ID3" s="116"/>
      <c r="IE3" s="116"/>
      <c r="IF3" s="116"/>
      <c r="IG3" s="116"/>
      <c r="IH3" s="116"/>
      <c r="II3" s="116"/>
      <c r="IJ3" s="116"/>
      <c r="IK3" s="116"/>
      <c r="IL3" s="116"/>
      <c r="IM3" s="116"/>
      <c r="IN3" s="116"/>
      <c r="IO3" s="116"/>
      <c r="IP3" s="116"/>
      <c r="IQ3" s="116"/>
      <c r="IR3" s="116"/>
      <c r="IS3" s="116"/>
      <c r="IT3" s="116"/>
      <c r="IU3" s="116"/>
      <c r="IV3" s="116"/>
      <c r="IW3" s="116"/>
    </row>
    <row r="4" customFormat="false" ht="24" hidden="false" customHeight="true" outlineLevel="0" collapsed="false">
      <c r="A4" s="154" t="s">
        <v>132</v>
      </c>
      <c r="B4" s="134" t="s">
        <v>32</v>
      </c>
      <c r="C4" s="135" t="s">
        <v>133</v>
      </c>
      <c r="D4" s="136" t="s">
        <v>134</v>
      </c>
      <c r="E4" s="137" t="s">
        <v>32</v>
      </c>
      <c r="F4" s="138" t="s">
        <v>133</v>
      </c>
      <c r="G4" s="139" t="s">
        <v>135</v>
      </c>
      <c r="H4" s="139"/>
      <c r="I4" s="139"/>
      <c r="J4" s="140" t="s">
        <v>32</v>
      </c>
      <c r="K4" s="141" t="s">
        <v>136</v>
      </c>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c r="CD4" s="116"/>
      <c r="CE4" s="116"/>
      <c r="CF4" s="116"/>
      <c r="CG4" s="116"/>
      <c r="CH4" s="116"/>
      <c r="CI4" s="116"/>
      <c r="CJ4" s="116"/>
      <c r="CK4" s="116"/>
      <c r="CL4" s="116"/>
      <c r="CM4" s="116"/>
      <c r="CN4" s="116"/>
      <c r="CO4" s="116"/>
      <c r="CP4" s="116"/>
      <c r="CQ4" s="116"/>
      <c r="CR4" s="116"/>
      <c r="CS4" s="116"/>
      <c r="CT4" s="116"/>
      <c r="CU4" s="116"/>
      <c r="CV4" s="116"/>
      <c r="CW4" s="116"/>
      <c r="CX4" s="116"/>
      <c r="CY4" s="116"/>
      <c r="CZ4" s="116"/>
      <c r="DA4" s="116"/>
      <c r="DB4" s="116"/>
      <c r="DC4" s="116"/>
      <c r="DD4" s="116"/>
      <c r="DE4" s="116"/>
      <c r="DF4" s="116"/>
      <c r="DG4" s="116"/>
      <c r="DH4" s="116"/>
      <c r="DI4" s="116"/>
      <c r="DJ4" s="116"/>
      <c r="DK4" s="116"/>
      <c r="DL4" s="116"/>
      <c r="DM4" s="116"/>
      <c r="DN4" s="116"/>
      <c r="DO4" s="116"/>
      <c r="DP4" s="116"/>
      <c r="DQ4" s="116"/>
      <c r="DR4" s="116"/>
      <c r="DS4" s="116"/>
      <c r="DT4" s="116"/>
      <c r="DU4" s="116"/>
      <c r="DV4" s="116"/>
      <c r="DW4" s="116"/>
      <c r="DX4" s="116"/>
      <c r="DY4" s="116"/>
      <c r="DZ4" s="116"/>
      <c r="EA4" s="116"/>
      <c r="EB4" s="116"/>
      <c r="EC4" s="116"/>
      <c r="ED4" s="116"/>
      <c r="EE4" s="116"/>
      <c r="EF4" s="116"/>
      <c r="EG4" s="116"/>
      <c r="EH4" s="116"/>
      <c r="EI4" s="116"/>
      <c r="EJ4" s="116"/>
      <c r="EK4" s="116"/>
      <c r="EL4" s="116"/>
      <c r="EM4" s="116"/>
      <c r="EN4" s="116"/>
      <c r="EO4" s="116"/>
      <c r="EP4" s="116"/>
      <c r="EQ4" s="116"/>
      <c r="ER4" s="116"/>
      <c r="ES4" s="116"/>
      <c r="ET4" s="116"/>
      <c r="EU4" s="116"/>
      <c r="EV4" s="116"/>
      <c r="EW4" s="116"/>
      <c r="EX4" s="116"/>
      <c r="EY4" s="116"/>
      <c r="EZ4" s="116"/>
      <c r="FA4" s="116"/>
      <c r="FB4" s="116"/>
      <c r="FC4" s="116"/>
      <c r="FD4" s="116"/>
      <c r="FE4" s="116"/>
      <c r="FF4" s="116"/>
      <c r="FG4" s="116"/>
      <c r="FH4" s="116"/>
      <c r="FI4" s="116"/>
      <c r="FJ4" s="116"/>
      <c r="FK4" s="116"/>
      <c r="FL4" s="116"/>
      <c r="FM4" s="116"/>
      <c r="FN4" s="116"/>
      <c r="FO4" s="116"/>
      <c r="FP4" s="116"/>
      <c r="FQ4" s="116"/>
      <c r="FR4" s="116"/>
      <c r="FS4" s="116"/>
      <c r="FT4" s="116"/>
      <c r="FU4" s="116"/>
      <c r="FV4" s="116"/>
      <c r="FW4" s="116"/>
      <c r="FX4" s="116"/>
      <c r="FY4" s="116"/>
      <c r="FZ4" s="116"/>
      <c r="GA4" s="116"/>
      <c r="GB4" s="116"/>
      <c r="GC4" s="116"/>
      <c r="GD4" s="116"/>
      <c r="GE4" s="116"/>
      <c r="GF4" s="116"/>
      <c r="GG4" s="116"/>
      <c r="GH4" s="116"/>
      <c r="GI4" s="116"/>
      <c r="GJ4" s="116"/>
      <c r="GK4" s="116"/>
      <c r="GL4" s="116"/>
      <c r="GM4" s="116"/>
      <c r="GN4" s="116"/>
      <c r="GO4" s="116"/>
      <c r="GP4" s="116"/>
      <c r="GQ4" s="116"/>
      <c r="GR4" s="116"/>
      <c r="GS4" s="116"/>
      <c r="GT4" s="116"/>
      <c r="GU4" s="116"/>
      <c r="GV4" s="116"/>
      <c r="GW4" s="116"/>
      <c r="GX4" s="116"/>
      <c r="GY4" s="116"/>
      <c r="GZ4" s="116"/>
      <c r="HA4" s="116"/>
      <c r="HB4" s="116"/>
      <c r="HC4" s="116"/>
      <c r="HD4" s="116"/>
      <c r="HE4" s="116"/>
      <c r="HF4" s="116"/>
      <c r="HG4" s="116"/>
      <c r="HH4" s="116"/>
      <c r="HI4" s="116"/>
      <c r="HJ4" s="116"/>
      <c r="HK4" s="116"/>
      <c r="HL4" s="116"/>
      <c r="HM4" s="116"/>
      <c r="HN4" s="116"/>
      <c r="HO4" s="116"/>
      <c r="HP4" s="116"/>
      <c r="HQ4" s="116"/>
      <c r="HR4" s="116"/>
      <c r="HS4" s="116"/>
      <c r="HT4" s="116"/>
      <c r="HU4" s="116"/>
      <c r="HV4" s="116"/>
      <c r="HW4" s="116"/>
      <c r="HX4" s="116"/>
      <c r="HY4" s="116"/>
      <c r="HZ4" s="116"/>
      <c r="IA4" s="116"/>
      <c r="IB4" s="116"/>
      <c r="IC4" s="116"/>
      <c r="ID4" s="116"/>
      <c r="IE4" s="116"/>
      <c r="IF4" s="116"/>
      <c r="IG4" s="116"/>
      <c r="IH4" s="116"/>
      <c r="II4" s="116"/>
      <c r="IJ4" s="116"/>
      <c r="IK4" s="116"/>
      <c r="IL4" s="116"/>
      <c r="IM4" s="116"/>
      <c r="IN4" s="116"/>
      <c r="IO4" s="116"/>
      <c r="IP4" s="116"/>
      <c r="IQ4" s="116"/>
      <c r="IR4" s="116"/>
      <c r="IS4" s="116"/>
      <c r="IT4" s="116"/>
      <c r="IU4" s="116"/>
      <c r="IV4" s="116"/>
      <c r="IW4" s="116"/>
    </row>
    <row r="5" customFormat="false" ht="24" hidden="false" customHeight="true" outlineLevel="0" collapsed="false">
      <c r="A5" s="154" t="s">
        <v>137</v>
      </c>
      <c r="B5" s="140" t="s">
        <v>62</v>
      </c>
      <c r="C5" s="142" t="s">
        <v>32</v>
      </c>
      <c r="D5" s="143" t="s">
        <v>63</v>
      </c>
      <c r="E5" s="144" t="s">
        <v>32</v>
      </c>
      <c r="F5" s="145" t="s">
        <v>138</v>
      </c>
      <c r="G5" s="145"/>
      <c r="H5" s="146" t="s">
        <v>32</v>
      </c>
      <c r="I5" s="138" t="s">
        <v>139</v>
      </c>
      <c r="J5" s="133" t="s">
        <v>140</v>
      </c>
      <c r="K5" s="147" t="s">
        <v>32</v>
      </c>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6"/>
      <c r="CF5" s="116"/>
      <c r="CG5" s="116"/>
      <c r="CH5" s="116"/>
      <c r="CI5" s="116"/>
      <c r="CJ5" s="116"/>
      <c r="CK5" s="116"/>
      <c r="CL5" s="116"/>
      <c r="CM5" s="116"/>
      <c r="CN5" s="116"/>
      <c r="CO5" s="116"/>
      <c r="CP5" s="116"/>
      <c r="CQ5" s="116"/>
      <c r="CR5" s="116"/>
      <c r="CS5" s="116"/>
      <c r="CT5" s="116"/>
      <c r="CU5" s="116"/>
      <c r="CV5" s="116"/>
      <c r="CW5" s="116"/>
      <c r="CX5" s="116"/>
      <c r="CY5" s="116"/>
      <c r="CZ5" s="116"/>
      <c r="DA5" s="116"/>
      <c r="DB5" s="116"/>
      <c r="DC5" s="116"/>
      <c r="DD5" s="116"/>
      <c r="DE5" s="116"/>
      <c r="DF5" s="116"/>
      <c r="DG5" s="116"/>
      <c r="DH5" s="116"/>
      <c r="DI5" s="116"/>
      <c r="DJ5" s="116"/>
      <c r="DK5" s="116"/>
      <c r="DL5" s="116"/>
      <c r="DM5" s="116"/>
      <c r="DN5" s="116"/>
      <c r="DO5" s="116"/>
      <c r="DP5" s="116"/>
      <c r="DQ5" s="116"/>
      <c r="DR5" s="116"/>
      <c r="DS5" s="116"/>
      <c r="DT5" s="116"/>
      <c r="DU5" s="116"/>
      <c r="DV5" s="116"/>
      <c r="DW5" s="116"/>
      <c r="DX5" s="116"/>
      <c r="DY5" s="116"/>
      <c r="DZ5" s="116"/>
      <c r="EA5" s="116"/>
      <c r="EB5" s="116"/>
      <c r="EC5" s="116"/>
      <c r="ED5" s="116"/>
      <c r="EE5" s="116"/>
      <c r="EF5" s="116"/>
      <c r="EG5" s="116"/>
      <c r="EH5" s="116"/>
      <c r="EI5" s="116"/>
      <c r="EJ5" s="116"/>
      <c r="EK5" s="116"/>
      <c r="EL5" s="116"/>
      <c r="EM5" s="116"/>
      <c r="EN5" s="116"/>
      <c r="EO5" s="116"/>
      <c r="EP5" s="116"/>
      <c r="EQ5" s="116"/>
      <c r="ER5" s="116"/>
      <c r="ES5" s="116"/>
      <c r="ET5" s="116"/>
      <c r="EU5" s="116"/>
      <c r="EV5" s="116"/>
      <c r="EW5" s="116"/>
      <c r="EX5" s="116"/>
      <c r="EY5" s="116"/>
      <c r="EZ5" s="116"/>
      <c r="FA5" s="116"/>
      <c r="FB5" s="116"/>
      <c r="FC5" s="116"/>
      <c r="FD5" s="116"/>
      <c r="FE5" s="116"/>
      <c r="FF5" s="116"/>
      <c r="FG5" s="116"/>
      <c r="FH5" s="116"/>
      <c r="FI5" s="116"/>
      <c r="FJ5" s="116"/>
      <c r="FK5" s="116"/>
      <c r="FL5" s="116"/>
      <c r="FM5" s="116"/>
      <c r="FN5" s="116"/>
      <c r="FO5" s="116"/>
      <c r="FP5" s="116"/>
      <c r="FQ5" s="116"/>
      <c r="FR5" s="116"/>
      <c r="FS5" s="116"/>
      <c r="FT5" s="116"/>
      <c r="FU5" s="116"/>
      <c r="FV5" s="116"/>
      <c r="FW5" s="116"/>
      <c r="FX5" s="116"/>
      <c r="FY5" s="116"/>
      <c r="FZ5" s="116"/>
      <c r="GA5" s="116"/>
      <c r="GB5" s="116"/>
      <c r="GC5" s="116"/>
      <c r="GD5" s="116"/>
      <c r="GE5" s="116"/>
      <c r="GF5" s="116"/>
      <c r="GG5" s="116"/>
      <c r="GH5" s="116"/>
      <c r="GI5" s="116"/>
      <c r="GJ5" s="116"/>
      <c r="GK5" s="116"/>
      <c r="GL5" s="116"/>
      <c r="GM5" s="116"/>
      <c r="GN5" s="116"/>
      <c r="GO5" s="116"/>
      <c r="GP5" s="116"/>
      <c r="GQ5" s="116"/>
      <c r="GR5" s="116"/>
      <c r="GS5" s="116"/>
      <c r="GT5" s="116"/>
      <c r="GU5" s="116"/>
      <c r="GV5" s="116"/>
      <c r="GW5" s="116"/>
      <c r="GX5" s="116"/>
      <c r="GY5" s="116"/>
      <c r="GZ5" s="116"/>
      <c r="HA5" s="116"/>
      <c r="HB5" s="116"/>
      <c r="HC5" s="116"/>
      <c r="HD5" s="116"/>
      <c r="HE5" s="116"/>
      <c r="HF5" s="116"/>
      <c r="HG5" s="116"/>
      <c r="HH5" s="116"/>
      <c r="HI5" s="116"/>
      <c r="HJ5" s="116"/>
      <c r="HK5" s="116"/>
      <c r="HL5" s="116"/>
      <c r="HM5" s="116"/>
      <c r="HN5" s="116"/>
      <c r="HO5" s="116"/>
      <c r="HP5" s="116"/>
      <c r="HQ5" s="116"/>
      <c r="HR5" s="116"/>
      <c r="HS5" s="116"/>
      <c r="HT5" s="116"/>
      <c r="HU5" s="116"/>
      <c r="HV5" s="116"/>
      <c r="HW5" s="116"/>
      <c r="HX5" s="116"/>
      <c r="HY5" s="116"/>
      <c r="HZ5" s="116"/>
      <c r="IA5" s="116"/>
      <c r="IB5" s="116"/>
      <c r="IC5" s="116"/>
      <c r="ID5" s="116"/>
      <c r="IE5" s="116"/>
      <c r="IF5" s="116"/>
      <c r="IG5" s="116"/>
      <c r="IH5" s="116"/>
      <c r="II5" s="116"/>
      <c r="IJ5" s="116"/>
      <c r="IK5" s="116"/>
      <c r="IL5" s="116"/>
      <c r="IM5" s="116"/>
      <c r="IN5" s="116"/>
      <c r="IO5" s="116"/>
      <c r="IP5" s="116"/>
      <c r="IQ5" s="116"/>
      <c r="IR5" s="116"/>
      <c r="IS5" s="116"/>
      <c r="IT5" s="116"/>
      <c r="IU5" s="116"/>
      <c r="IV5" s="116"/>
      <c r="IW5" s="116"/>
    </row>
    <row r="6" customFormat="false" ht="24" hidden="false" customHeight="true" outlineLevel="0" collapsed="false">
      <c r="A6" s="154" t="s">
        <v>141</v>
      </c>
      <c r="B6" s="155" t="s">
        <v>152</v>
      </c>
      <c r="C6" s="155"/>
      <c r="D6" s="155"/>
      <c r="E6" s="155"/>
      <c r="F6" s="155"/>
      <c r="G6" s="155"/>
      <c r="H6" s="155"/>
      <c r="I6" s="155"/>
      <c r="J6" s="155"/>
      <c r="K6" s="155"/>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c r="DU6" s="116"/>
      <c r="DV6" s="116"/>
      <c r="DW6" s="116"/>
      <c r="DX6" s="116"/>
      <c r="DY6" s="116"/>
      <c r="DZ6" s="116"/>
      <c r="EA6" s="116"/>
      <c r="EB6" s="116"/>
      <c r="EC6" s="116"/>
      <c r="ED6" s="116"/>
      <c r="EE6" s="116"/>
      <c r="EF6" s="116"/>
      <c r="EG6" s="116"/>
      <c r="EH6" s="116"/>
      <c r="EI6" s="116"/>
      <c r="EJ6" s="116"/>
      <c r="EK6" s="116"/>
      <c r="EL6" s="116"/>
      <c r="EM6" s="116"/>
      <c r="EN6" s="116"/>
      <c r="EO6" s="116"/>
      <c r="EP6" s="116"/>
      <c r="EQ6" s="116"/>
      <c r="ER6" s="116"/>
      <c r="ES6" s="116"/>
      <c r="ET6" s="116"/>
      <c r="EU6" s="116"/>
      <c r="EV6" s="116"/>
      <c r="EW6" s="116"/>
      <c r="EX6" s="116"/>
      <c r="EY6" s="116"/>
      <c r="EZ6" s="116"/>
      <c r="FA6" s="116"/>
      <c r="FB6" s="116"/>
      <c r="FC6" s="116"/>
      <c r="FD6" s="116"/>
      <c r="FE6" s="116"/>
      <c r="FF6" s="116"/>
      <c r="FG6" s="116"/>
      <c r="FH6" s="116"/>
      <c r="FI6" s="116"/>
      <c r="FJ6" s="116"/>
      <c r="FK6" s="116"/>
      <c r="FL6" s="116"/>
      <c r="FM6" s="116"/>
      <c r="FN6" s="116"/>
      <c r="FO6" s="116"/>
      <c r="FP6" s="116"/>
      <c r="FQ6" s="116"/>
      <c r="FR6" s="116"/>
      <c r="FS6" s="116"/>
      <c r="FT6" s="116"/>
      <c r="FU6" s="116"/>
      <c r="FV6" s="116"/>
      <c r="FW6" s="116"/>
      <c r="FX6" s="116"/>
      <c r="FY6" s="116"/>
      <c r="FZ6" s="116"/>
      <c r="GA6" s="116"/>
      <c r="GB6" s="116"/>
      <c r="GC6" s="116"/>
      <c r="GD6" s="116"/>
      <c r="GE6" s="116"/>
      <c r="GF6" s="116"/>
      <c r="GG6" s="116"/>
      <c r="GH6" s="116"/>
      <c r="GI6" s="116"/>
      <c r="GJ6" s="116"/>
      <c r="GK6" s="116"/>
      <c r="GL6" s="116"/>
      <c r="GM6" s="116"/>
      <c r="GN6" s="116"/>
      <c r="GO6" s="116"/>
      <c r="GP6" s="116"/>
      <c r="GQ6" s="116"/>
      <c r="GR6" s="116"/>
      <c r="GS6" s="116"/>
      <c r="GT6" s="116"/>
      <c r="GU6" s="116"/>
      <c r="GV6" s="116"/>
      <c r="GW6" s="116"/>
      <c r="GX6" s="116"/>
      <c r="GY6" s="116"/>
      <c r="GZ6" s="116"/>
      <c r="HA6" s="116"/>
      <c r="HB6" s="116"/>
      <c r="HC6" s="116"/>
      <c r="HD6" s="116"/>
      <c r="HE6" s="116"/>
      <c r="HF6" s="116"/>
      <c r="HG6" s="116"/>
      <c r="HH6" s="116"/>
      <c r="HI6" s="116"/>
      <c r="HJ6" s="116"/>
      <c r="HK6" s="116"/>
      <c r="HL6" s="116"/>
      <c r="HM6" s="116"/>
      <c r="HN6" s="116"/>
      <c r="HO6" s="116"/>
      <c r="HP6" s="116"/>
      <c r="HQ6" s="116"/>
      <c r="HR6" s="116"/>
      <c r="HS6" s="116"/>
      <c r="HT6" s="116"/>
      <c r="HU6" s="116"/>
      <c r="HV6" s="116"/>
      <c r="HW6" s="116"/>
      <c r="HX6" s="116"/>
      <c r="HY6" s="116"/>
      <c r="HZ6" s="116"/>
      <c r="IA6" s="116"/>
      <c r="IB6" s="116"/>
      <c r="IC6" s="116"/>
      <c r="ID6" s="116"/>
      <c r="IE6" s="116"/>
      <c r="IF6" s="116"/>
      <c r="IG6" s="116"/>
      <c r="IH6" s="116"/>
      <c r="II6" s="116"/>
      <c r="IJ6" s="116"/>
      <c r="IK6" s="116"/>
      <c r="IL6" s="116"/>
      <c r="IM6" s="116"/>
      <c r="IN6" s="116"/>
      <c r="IO6" s="116"/>
      <c r="IP6" s="116"/>
      <c r="IQ6" s="116"/>
      <c r="IR6" s="116"/>
      <c r="IS6" s="116"/>
      <c r="IT6" s="116"/>
      <c r="IU6" s="116"/>
      <c r="IV6" s="116"/>
      <c r="IW6" s="116"/>
    </row>
    <row r="7" customFormat="false" ht="24" hidden="false" customHeight="true" outlineLevel="0" collapsed="false">
      <c r="A7" s="154" t="s">
        <v>143</v>
      </c>
      <c r="B7" s="156" t="s">
        <v>144</v>
      </c>
      <c r="C7" s="156"/>
      <c r="D7" s="156"/>
      <c r="E7" s="156"/>
      <c r="F7" s="156"/>
      <c r="G7" s="156"/>
      <c r="H7" s="156"/>
      <c r="I7" s="157" t="s">
        <v>61</v>
      </c>
      <c r="J7" s="157"/>
      <c r="K7" s="158" t="s">
        <v>153</v>
      </c>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c r="CF7" s="116"/>
      <c r="CG7" s="116"/>
      <c r="CH7" s="116"/>
      <c r="CI7" s="116"/>
      <c r="CJ7" s="116"/>
      <c r="CK7" s="116"/>
      <c r="CL7" s="116"/>
      <c r="CM7" s="116"/>
      <c r="CN7" s="116"/>
      <c r="CO7" s="116"/>
      <c r="CP7" s="116"/>
      <c r="CQ7" s="116"/>
      <c r="CR7" s="116"/>
      <c r="CS7" s="116"/>
      <c r="CT7" s="116"/>
      <c r="CU7" s="116"/>
      <c r="CV7" s="116"/>
      <c r="CW7" s="116"/>
      <c r="CX7" s="116"/>
      <c r="CY7" s="116"/>
      <c r="CZ7" s="116"/>
      <c r="DA7" s="116"/>
      <c r="DB7" s="116"/>
      <c r="DC7" s="116"/>
      <c r="DD7" s="116"/>
      <c r="DE7" s="116"/>
      <c r="DF7" s="116"/>
      <c r="DG7" s="116"/>
      <c r="DH7" s="116"/>
      <c r="DI7" s="116"/>
      <c r="DJ7" s="116"/>
      <c r="DK7" s="116"/>
      <c r="DL7" s="116"/>
      <c r="DM7" s="116"/>
      <c r="DN7" s="116"/>
      <c r="DO7" s="116"/>
      <c r="DP7" s="116"/>
      <c r="DQ7" s="116"/>
      <c r="DR7" s="116"/>
      <c r="DS7" s="116"/>
      <c r="DT7" s="116"/>
      <c r="DU7" s="116"/>
      <c r="DV7" s="116"/>
      <c r="DW7" s="116"/>
      <c r="DX7" s="116"/>
      <c r="DY7" s="116"/>
      <c r="DZ7" s="116"/>
      <c r="EA7" s="116"/>
      <c r="EB7" s="116"/>
      <c r="EC7" s="116"/>
      <c r="ED7" s="116"/>
      <c r="EE7" s="116"/>
      <c r="EF7" s="116"/>
      <c r="EG7" s="116"/>
      <c r="EH7" s="116"/>
      <c r="EI7" s="116"/>
      <c r="EJ7" s="116"/>
      <c r="EK7" s="116"/>
      <c r="EL7" s="116"/>
      <c r="EM7" s="116"/>
      <c r="EN7" s="116"/>
      <c r="EO7" s="116"/>
      <c r="EP7" s="116"/>
      <c r="EQ7" s="116"/>
      <c r="ER7" s="116"/>
      <c r="ES7" s="116"/>
      <c r="ET7" s="116"/>
      <c r="EU7" s="116"/>
      <c r="EV7" s="116"/>
      <c r="EW7" s="116"/>
      <c r="EX7" s="116"/>
      <c r="EY7" s="116"/>
      <c r="EZ7" s="116"/>
      <c r="FA7" s="116"/>
      <c r="FB7" s="116"/>
      <c r="FC7" s="116"/>
      <c r="FD7" s="116"/>
      <c r="FE7" s="116"/>
      <c r="FF7" s="116"/>
      <c r="FG7" s="116"/>
      <c r="FH7" s="116"/>
      <c r="FI7" s="116"/>
      <c r="FJ7" s="116"/>
      <c r="FK7" s="116"/>
      <c r="FL7" s="116"/>
      <c r="FM7" s="116"/>
      <c r="FN7" s="116"/>
      <c r="FO7" s="116"/>
      <c r="FP7" s="116"/>
      <c r="FQ7" s="116"/>
      <c r="FR7" s="116"/>
      <c r="FS7" s="116"/>
      <c r="FT7" s="116"/>
      <c r="FU7" s="116"/>
      <c r="FV7" s="116"/>
      <c r="FW7" s="116"/>
      <c r="FX7" s="116"/>
      <c r="FY7" s="116"/>
      <c r="FZ7" s="116"/>
      <c r="GA7" s="116"/>
      <c r="GB7" s="116"/>
      <c r="GC7" s="116"/>
      <c r="GD7" s="116"/>
      <c r="GE7" s="116"/>
      <c r="GF7" s="116"/>
      <c r="GG7" s="116"/>
      <c r="GH7" s="116"/>
      <c r="GI7" s="116"/>
      <c r="GJ7" s="116"/>
      <c r="GK7" s="116"/>
      <c r="GL7" s="116"/>
      <c r="GM7" s="116"/>
      <c r="GN7" s="116"/>
      <c r="GO7" s="116"/>
      <c r="GP7" s="116"/>
      <c r="GQ7" s="116"/>
      <c r="GR7" s="116"/>
      <c r="GS7" s="116"/>
      <c r="GT7" s="116"/>
      <c r="GU7" s="116"/>
      <c r="GV7" s="116"/>
      <c r="GW7" s="116"/>
      <c r="GX7" s="116"/>
      <c r="GY7" s="116"/>
      <c r="GZ7" s="116"/>
      <c r="HA7" s="116"/>
      <c r="HB7" s="116"/>
      <c r="HC7" s="116"/>
      <c r="HD7" s="116"/>
      <c r="HE7" s="116"/>
      <c r="HF7" s="116"/>
      <c r="HG7" s="116"/>
      <c r="HH7" s="116"/>
      <c r="HI7" s="116"/>
      <c r="HJ7" s="116"/>
      <c r="HK7" s="116"/>
      <c r="HL7" s="116"/>
      <c r="HM7" s="116"/>
      <c r="HN7" s="116"/>
      <c r="HO7" s="116"/>
      <c r="HP7" s="116"/>
      <c r="HQ7" s="116"/>
      <c r="HR7" s="116"/>
      <c r="HS7" s="116"/>
      <c r="HT7" s="116"/>
      <c r="HU7" s="116"/>
      <c r="HV7" s="116"/>
      <c r="HW7" s="116"/>
      <c r="HX7" s="116"/>
      <c r="HY7" s="116"/>
      <c r="HZ7" s="116"/>
      <c r="IA7" s="116"/>
      <c r="IB7" s="116"/>
      <c r="IC7" s="116"/>
      <c r="ID7" s="116"/>
      <c r="IE7" s="116"/>
      <c r="IF7" s="116"/>
      <c r="IG7" s="116"/>
      <c r="IH7" s="116"/>
      <c r="II7" s="116"/>
      <c r="IJ7" s="116"/>
      <c r="IK7" s="116"/>
      <c r="IL7" s="116"/>
      <c r="IM7" s="116"/>
      <c r="IN7" s="116"/>
      <c r="IO7" s="116"/>
      <c r="IP7" s="116"/>
      <c r="IQ7" s="116"/>
      <c r="IR7" s="116"/>
      <c r="IS7" s="116"/>
      <c r="IT7" s="116"/>
      <c r="IU7" s="116"/>
      <c r="IV7" s="116"/>
      <c r="IW7" s="116"/>
    </row>
    <row r="8" customFormat="false" ht="24" hidden="false" customHeight="true" outlineLevel="0" collapsed="false">
      <c r="A8" s="154" t="s">
        <v>146</v>
      </c>
      <c r="B8" s="155" t="s">
        <v>147</v>
      </c>
      <c r="C8" s="155"/>
      <c r="D8" s="155"/>
      <c r="E8" s="155"/>
      <c r="F8" s="155"/>
      <c r="G8" s="155"/>
      <c r="H8" s="155"/>
      <c r="I8" s="155"/>
      <c r="J8" s="155"/>
      <c r="K8" s="155"/>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c r="DU8" s="116"/>
      <c r="DV8" s="116"/>
      <c r="DW8" s="116"/>
      <c r="DX8" s="116"/>
      <c r="DY8" s="116"/>
      <c r="DZ8" s="116"/>
      <c r="EA8" s="116"/>
      <c r="EB8" s="116"/>
      <c r="EC8" s="116"/>
      <c r="ED8" s="116"/>
      <c r="EE8" s="116"/>
      <c r="EF8" s="116"/>
      <c r="EG8" s="116"/>
      <c r="EH8" s="116"/>
      <c r="EI8" s="116"/>
      <c r="EJ8" s="116"/>
      <c r="EK8" s="116"/>
      <c r="EL8" s="116"/>
      <c r="EM8" s="116"/>
      <c r="EN8" s="116"/>
      <c r="EO8" s="116"/>
      <c r="EP8" s="116"/>
      <c r="EQ8" s="116"/>
      <c r="ER8" s="116"/>
      <c r="ES8" s="116"/>
      <c r="ET8" s="116"/>
      <c r="EU8" s="116"/>
      <c r="EV8" s="116"/>
      <c r="EW8" s="116"/>
      <c r="EX8" s="116"/>
      <c r="EY8" s="116"/>
      <c r="EZ8" s="116"/>
      <c r="FA8" s="116"/>
      <c r="FB8" s="116"/>
      <c r="FC8" s="116"/>
      <c r="FD8" s="116"/>
      <c r="FE8" s="116"/>
      <c r="FF8" s="116"/>
      <c r="FG8" s="116"/>
      <c r="FH8" s="116"/>
      <c r="FI8" s="116"/>
      <c r="FJ8" s="116"/>
      <c r="FK8" s="116"/>
      <c r="FL8" s="116"/>
      <c r="FM8" s="116"/>
      <c r="FN8" s="116"/>
      <c r="FO8" s="116"/>
      <c r="FP8" s="116"/>
      <c r="FQ8" s="116"/>
      <c r="FR8" s="116"/>
      <c r="FS8" s="116"/>
      <c r="FT8" s="116"/>
      <c r="FU8" s="116"/>
      <c r="FV8" s="116"/>
      <c r="FW8" s="116"/>
      <c r="FX8" s="116"/>
      <c r="FY8" s="116"/>
      <c r="FZ8" s="116"/>
      <c r="GA8" s="116"/>
      <c r="GB8" s="116"/>
      <c r="GC8" s="116"/>
      <c r="GD8" s="116"/>
      <c r="GE8" s="116"/>
      <c r="GF8" s="116"/>
      <c r="GG8" s="116"/>
      <c r="GH8" s="116"/>
      <c r="GI8" s="116"/>
      <c r="GJ8" s="116"/>
      <c r="GK8" s="116"/>
      <c r="GL8" s="116"/>
      <c r="GM8" s="116"/>
      <c r="GN8" s="116"/>
      <c r="GO8" s="116"/>
      <c r="GP8" s="116"/>
      <c r="GQ8" s="116"/>
      <c r="GR8" s="116"/>
      <c r="GS8" s="116"/>
      <c r="GT8" s="116"/>
      <c r="GU8" s="116"/>
      <c r="GV8" s="116"/>
      <c r="GW8" s="116"/>
      <c r="GX8" s="116"/>
      <c r="GY8" s="116"/>
      <c r="GZ8" s="116"/>
      <c r="HA8" s="116"/>
      <c r="HB8" s="116"/>
      <c r="HC8" s="116"/>
      <c r="HD8" s="116"/>
      <c r="HE8" s="116"/>
      <c r="HF8" s="116"/>
      <c r="HG8" s="116"/>
      <c r="HH8" s="116"/>
      <c r="HI8" s="116"/>
      <c r="HJ8" s="116"/>
      <c r="HK8" s="116"/>
      <c r="HL8" s="116"/>
      <c r="HM8" s="116"/>
      <c r="HN8" s="116"/>
      <c r="HO8" s="116"/>
      <c r="HP8" s="116"/>
      <c r="HQ8" s="116"/>
      <c r="HR8" s="116"/>
      <c r="HS8" s="116"/>
      <c r="HT8" s="116"/>
      <c r="HU8" s="116"/>
      <c r="HV8" s="116"/>
      <c r="HW8" s="116"/>
      <c r="HX8" s="116"/>
      <c r="HY8" s="116"/>
      <c r="HZ8" s="116"/>
      <c r="IA8" s="116"/>
      <c r="IB8" s="116"/>
      <c r="IC8" s="116"/>
      <c r="ID8" s="116"/>
      <c r="IE8" s="116"/>
      <c r="IF8" s="116"/>
      <c r="IG8" s="116"/>
      <c r="IH8" s="116"/>
      <c r="II8" s="116"/>
      <c r="IJ8" s="116"/>
      <c r="IK8" s="116"/>
      <c r="IL8" s="116"/>
      <c r="IM8" s="116"/>
      <c r="IN8" s="116"/>
      <c r="IO8" s="116"/>
      <c r="IP8" s="116"/>
      <c r="IQ8" s="116"/>
      <c r="IR8" s="116"/>
      <c r="IS8" s="116"/>
      <c r="IT8" s="116"/>
      <c r="IU8" s="116"/>
      <c r="IV8" s="116"/>
      <c r="IW8" s="116"/>
    </row>
    <row r="9" customFormat="false" ht="24" hidden="false" customHeight="true" outlineLevel="0" collapsed="false">
      <c r="A9" s="154" t="s">
        <v>148</v>
      </c>
      <c r="B9" s="155" t="s">
        <v>149</v>
      </c>
      <c r="C9" s="155"/>
      <c r="D9" s="155"/>
      <c r="E9" s="155"/>
      <c r="F9" s="155"/>
      <c r="G9" s="155"/>
      <c r="H9" s="155"/>
      <c r="I9" s="155"/>
      <c r="J9" s="155"/>
      <c r="K9" s="155"/>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c r="DU9" s="116"/>
      <c r="DV9" s="116"/>
      <c r="DW9" s="116"/>
      <c r="DX9" s="116"/>
      <c r="DY9" s="116"/>
      <c r="DZ9" s="116"/>
      <c r="EA9" s="116"/>
      <c r="EB9" s="116"/>
      <c r="EC9" s="116"/>
      <c r="ED9" s="116"/>
      <c r="EE9" s="116"/>
      <c r="EF9" s="116"/>
      <c r="EG9" s="116"/>
      <c r="EH9" s="116"/>
      <c r="EI9" s="116"/>
      <c r="EJ9" s="116"/>
      <c r="EK9" s="116"/>
      <c r="EL9" s="116"/>
      <c r="EM9" s="116"/>
      <c r="EN9" s="116"/>
      <c r="EO9" s="116"/>
      <c r="EP9" s="116"/>
      <c r="EQ9" s="116"/>
      <c r="ER9" s="116"/>
      <c r="ES9" s="116"/>
      <c r="ET9" s="116"/>
      <c r="EU9" s="116"/>
      <c r="EV9" s="116"/>
      <c r="EW9" s="116"/>
      <c r="EX9" s="116"/>
      <c r="EY9" s="116"/>
      <c r="EZ9" s="116"/>
      <c r="FA9" s="116"/>
      <c r="FB9" s="116"/>
      <c r="FC9" s="116"/>
      <c r="FD9" s="116"/>
      <c r="FE9" s="116"/>
      <c r="FF9" s="116"/>
      <c r="FG9" s="116"/>
      <c r="FH9" s="116"/>
      <c r="FI9" s="116"/>
      <c r="FJ9" s="116"/>
      <c r="FK9" s="116"/>
      <c r="FL9" s="116"/>
      <c r="FM9" s="116"/>
      <c r="FN9" s="116"/>
      <c r="FO9" s="116"/>
      <c r="FP9" s="116"/>
      <c r="FQ9" s="116"/>
      <c r="FR9" s="116"/>
      <c r="FS9" s="116"/>
      <c r="FT9" s="116"/>
      <c r="FU9" s="116"/>
      <c r="FV9" s="116"/>
      <c r="FW9" s="116"/>
      <c r="FX9" s="116"/>
      <c r="FY9" s="116"/>
      <c r="FZ9" s="116"/>
      <c r="GA9" s="116"/>
      <c r="GB9" s="116"/>
      <c r="GC9" s="116"/>
      <c r="GD9" s="116"/>
      <c r="GE9" s="116"/>
      <c r="GF9" s="116"/>
      <c r="GG9" s="116"/>
      <c r="GH9" s="116"/>
      <c r="GI9" s="116"/>
      <c r="GJ9" s="116"/>
      <c r="GK9" s="116"/>
      <c r="GL9" s="116"/>
      <c r="GM9" s="116"/>
      <c r="GN9" s="116"/>
      <c r="GO9" s="116"/>
      <c r="GP9" s="116"/>
      <c r="GQ9" s="116"/>
      <c r="GR9" s="116"/>
      <c r="GS9" s="116"/>
      <c r="GT9" s="116"/>
      <c r="GU9" s="116"/>
      <c r="GV9" s="116"/>
      <c r="GW9" s="116"/>
      <c r="GX9" s="116"/>
      <c r="GY9" s="116"/>
      <c r="GZ9" s="116"/>
      <c r="HA9" s="116"/>
      <c r="HB9" s="116"/>
      <c r="HC9" s="116"/>
      <c r="HD9" s="116"/>
      <c r="HE9" s="116"/>
      <c r="HF9" s="116"/>
      <c r="HG9" s="116"/>
      <c r="HH9" s="116"/>
      <c r="HI9" s="116"/>
      <c r="HJ9" s="116"/>
      <c r="HK9" s="116"/>
      <c r="HL9" s="116"/>
      <c r="HM9" s="116"/>
      <c r="HN9" s="116"/>
      <c r="HO9" s="116"/>
      <c r="HP9" s="116"/>
      <c r="HQ9" s="116"/>
      <c r="HR9" s="116"/>
      <c r="HS9" s="116"/>
      <c r="HT9" s="116"/>
      <c r="HU9" s="116"/>
      <c r="HV9" s="116"/>
      <c r="HW9" s="116"/>
      <c r="HX9" s="116"/>
      <c r="HY9" s="116"/>
      <c r="HZ9" s="116"/>
      <c r="IA9" s="116"/>
      <c r="IB9" s="116"/>
      <c r="IC9" s="116"/>
      <c r="ID9" s="116"/>
      <c r="IE9" s="116"/>
      <c r="IF9" s="116"/>
      <c r="IG9" s="116"/>
      <c r="IH9" s="116"/>
      <c r="II9" s="116"/>
      <c r="IJ9" s="116"/>
      <c r="IK9" s="116"/>
      <c r="IL9" s="116"/>
      <c r="IM9" s="116"/>
      <c r="IN9" s="116"/>
      <c r="IO9" s="116"/>
      <c r="IP9" s="116"/>
      <c r="IQ9" s="116"/>
      <c r="IR9" s="116"/>
      <c r="IS9" s="116"/>
      <c r="IT9" s="116"/>
      <c r="IU9" s="116"/>
      <c r="IV9" s="116"/>
      <c r="IW9" s="116"/>
    </row>
    <row r="10" customFormat="false" ht="24" hidden="false" customHeight="true" outlineLevel="0" collapsed="false">
      <c r="A10" s="159" t="s">
        <v>150</v>
      </c>
      <c r="B10" s="160" t="s">
        <v>151</v>
      </c>
      <c r="C10" s="160"/>
      <c r="D10" s="160"/>
      <c r="E10" s="160"/>
      <c r="F10" s="160"/>
      <c r="G10" s="160"/>
      <c r="H10" s="160"/>
      <c r="I10" s="160"/>
      <c r="J10" s="160"/>
      <c r="K10" s="160"/>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c r="DU10" s="116"/>
      <c r="DV10" s="116"/>
      <c r="DW10" s="116"/>
      <c r="DX10" s="116"/>
      <c r="DY10" s="116"/>
      <c r="DZ10" s="116"/>
      <c r="EA10" s="116"/>
      <c r="EB10" s="116"/>
      <c r="EC10" s="116"/>
      <c r="ED10" s="116"/>
      <c r="EE10" s="116"/>
      <c r="EF10" s="116"/>
      <c r="EG10" s="116"/>
      <c r="EH10" s="116"/>
      <c r="EI10" s="116"/>
      <c r="EJ10" s="116"/>
      <c r="EK10" s="116"/>
      <c r="EL10" s="116"/>
      <c r="EM10" s="116"/>
      <c r="EN10" s="116"/>
      <c r="EO10" s="116"/>
      <c r="EP10" s="116"/>
      <c r="EQ10" s="116"/>
      <c r="ER10" s="116"/>
      <c r="ES10" s="116"/>
      <c r="ET10" s="116"/>
      <c r="EU10" s="116"/>
      <c r="EV10" s="116"/>
      <c r="EW10" s="116"/>
      <c r="EX10" s="116"/>
      <c r="EY10" s="116"/>
      <c r="EZ10" s="116"/>
      <c r="FA10" s="116"/>
      <c r="FB10" s="116"/>
      <c r="FC10" s="116"/>
      <c r="FD10" s="116"/>
      <c r="FE10" s="116"/>
      <c r="FF10" s="116"/>
      <c r="FG10" s="116"/>
      <c r="FH10" s="116"/>
      <c r="FI10" s="116"/>
      <c r="FJ10" s="116"/>
      <c r="FK10" s="116"/>
      <c r="FL10" s="116"/>
      <c r="FM10" s="116"/>
      <c r="FN10" s="116"/>
      <c r="FO10" s="116"/>
      <c r="FP10" s="116"/>
      <c r="FQ10" s="116"/>
      <c r="FR10" s="116"/>
      <c r="FS10" s="116"/>
      <c r="FT10" s="116"/>
      <c r="FU10" s="116"/>
      <c r="FV10" s="116"/>
      <c r="FW10" s="116"/>
      <c r="FX10" s="116"/>
      <c r="FY10" s="116"/>
      <c r="FZ10" s="116"/>
      <c r="GA10" s="116"/>
      <c r="GB10" s="116"/>
      <c r="GC10" s="116"/>
      <c r="GD10" s="116"/>
      <c r="GE10" s="116"/>
      <c r="GF10" s="116"/>
      <c r="GG10" s="116"/>
      <c r="GH10" s="116"/>
      <c r="GI10" s="116"/>
      <c r="GJ10" s="116"/>
      <c r="GK10" s="116"/>
      <c r="GL10" s="116"/>
      <c r="GM10" s="116"/>
      <c r="GN10" s="116"/>
      <c r="GO10" s="116"/>
      <c r="GP10" s="116"/>
      <c r="GQ10" s="116"/>
      <c r="GR10" s="116"/>
      <c r="GS10" s="116"/>
      <c r="GT10" s="116"/>
      <c r="GU10" s="116"/>
      <c r="GV10" s="116"/>
      <c r="GW10" s="116"/>
      <c r="GX10" s="116"/>
      <c r="GY10" s="116"/>
      <c r="GZ10" s="116"/>
      <c r="HA10" s="116"/>
      <c r="HB10" s="116"/>
      <c r="HC10" s="116"/>
      <c r="HD10" s="116"/>
      <c r="HE10" s="116"/>
      <c r="HF10" s="116"/>
      <c r="HG10" s="116"/>
      <c r="HH10" s="116"/>
      <c r="HI10" s="116"/>
      <c r="HJ10" s="116"/>
      <c r="HK10" s="116"/>
      <c r="HL10" s="116"/>
      <c r="HM10" s="116"/>
      <c r="HN10" s="116"/>
      <c r="HO10" s="116"/>
      <c r="HP10" s="116"/>
      <c r="HQ10" s="116"/>
      <c r="HR10" s="116"/>
      <c r="HS10" s="116"/>
      <c r="HT10" s="116"/>
      <c r="HU10" s="116"/>
      <c r="HV10" s="116"/>
      <c r="HW10" s="116"/>
      <c r="HX10" s="116"/>
      <c r="HY10" s="116"/>
      <c r="HZ10" s="116"/>
      <c r="IA10" s="116"/>
      <c r="IB10" s="116"/>
      <c r="IC10" s="116"/>
      <c r="ID10" s="116"/>
      <c r="IE10" s="116"/>
      <c r="IF10" s="116"/>
      <c r="IG10" s="116"/>
      <c r="IH10" s="116"/>
      <c r="II10" s="116"/>
      <c r="IJ10" s="116"/>
      <c r="IK10" s="116"/>
      <c r="IL10" s="116"/>
      <c r="IM10" s="116"/>
      <c r="IN10" s="116"/>
      <c r="IO10" s="116"/>
      <c r="IP10" s="116"/>
      <c r="IQ10" s="116"/>
      <c r="IR10" s="116"/>
      <c r="IS10" s="116"/>
      <c r="IT10" s="116"/>
      <c r="IU10" s="116"/>
      <c r="IV10" s="116"/>
      <c r="IW10" s="116"/>
    </row>
    <row r="12" customFormat="false" ht="24" hidden="false" customHeight="true" outlineLevel="0" collapsed="false">
      <c r="A12" s="128" t="s">
        <v>129</v>
      </c>
      <c r="B12" s="128"/>
      <c r="C12" s="128"/>
      <c r="D12" s="128"/>
      <c r="E12" s="128"/>
      <c r="F12" s="128"/>
      <c r="G12" s="128"/>
      <c r="H12" s="128"/>
      <c r="I12" s="128"/>
      <c r="J12" s="128"/>
      <c r="K12" s="128"/>
    </row>
    <row r="13" customFormat="false" ht="24" hidden="false" customHeight="true" outlineLevel="0" collapsed="false">
      <c r="A13" s="152" t="s">
        <v>130</v>
      </c>
      <c r="B13" s="161" t="s">
        <v>32</v>
      </c>
      <c r="C13" s="161"/>
      <c r="D13" s="161"/>
      <c r="E13" s="161"/>
      <c r="F13" s="162" t="s">
        <v>131</v>
      </c>
      <c r="G13" s="162"/>
      <c r="H13" s="162"/>
      <c r="I13" s="163" t="s">
        <v>32</v>
      </c>
      <c r="J13" s="163"/>
      <c r="K13" s="163"/>
    </row>
    <row r="14" customFormat="false" ht="24" hidden="false" customHeight="true" outlineLevel="0" collapsed="false">
      <c r="A14" s="154" t="s">
        <v>132</v>
      </c>
      <c r="B14" s="164" t="s">
        <v>32</v>
      </c>
      <c r="C14" s="165" t="s">
        <v>133</v>
      </c>
      <c r="D14" s="157" t="s">
        <v>134</v>
      </c>
      <c r="E14" s="166" t="s">
        <v>32</v>
      </c>
      <c r="F14" s="167" t="s">
        <v>133</v>
      </c>
      <c r="G14" s="168" t="s">
        <v>135</v>
      </c>
      <c r="H14" s="168"/>
      <c r="I14" s="168"/>
      <c r="J14" s="169" t="s">
        <v>32</v>
      </c>
      <c r="K14" s="170" t="s">
        <v>136</v>
      </c>
    </row>
    <row r="15" customFormat="false" ht="24" hidden="false" customHeight="true" outlineLevel="0" collapsed="false">
      <c r="A15" s="154" t="s">
        <v>137</v>
      </c>
      <c r="B15" s="169" t="s">
        <v>62</v>
      </c>
      <c r="C15" s="171" t="s">
        <v>32</v>
      </c>
      <c r="D15" s="172" t="s">
        <v>63</v>
      </c>
      <c r="E15" s="173" t="s">
        <v>32</v>
      </c>
      <c r="F15" s="174" t="s">
        <v>138</v>
      </c>
      <c r="G15" s="174"/>
      <c r="H15" s="175" t="s">
        <v>32</v>
      </c>
      <c r="I15" s="167" t="s">
        <v>139</v>
      </c>
      <c r="J15" s="176" t="s">
        <v>140</v>
      </c>
      <c r="K15" s="177" t="s">
        <v>32</v>
      </c>
    </row>
    <row r="16" customFormat="false" ht="24" hidden="false" customHeight="true" outlineLevel="0" collapsed="false">
      <c r="A16" s="154" t="s">
        <v>141</v>
      </c>
      <c r="B16" s="155" t="s">
        <v>152</v>
      </c>
      <c r="C16" s="155"/>
      <c r="D16" s="155"/>
      <c r="E16" s="155"/>
      <c r="F16" s="155"/>
      <c r="G16" s="155"/>
      <c r="H16" s="155"/>
      <c r="I16" s="155"/>
      <c r="J16" s="155"/>
      <c r="K16" s="155"/>
    </row>
    <row r="17" customFormat="false" ht="24" hidden="false" customHeight="true" outlineLevel="0" collapsed="false">
      <c r="A17" s="154" t="s">
        <v>143</v>
      </c>
      <c r="B17" s="155" t="s">
        <v>144</v>
      </c>
      <c r="C17" s="155"/>
      <c r="D17" s="155"/>
      <c r="E17" s="155"/>
      <c r="F17" s="155"/>
      <c r="G17" s="155"/>
      <c r="H17" s="155"/>
      <c r="I17" s="157" t="s">
        <v>61</v>
      </c>
      <c r="J17" s="157"/>
      <c r="K17" s="158" t="s">
        <v>153</v>
      </c>
    </row>
    <row r="18" customFormat="false" ht="24" hidden="false" customHeight="true" outlineLevel="0" collapsed="false">
      <c r="A18" s="154" t="s">
        <v>146</v>
      </c>
      <c r="B18" s="155" t="s">
        <v>147</v>
      </c>
      <c r="C18" s="155"/>
      <c r="D18" s="155"/>
      <c r="E18" s="155"/>
      <c r="F18" s="155"/>
      <c r="G18" s="155"/>
      <c r="H18" s="155"/>
      <c r="I18" s="155"/>
      <c r="J18" s="155"/>
      <c r="K18" s="155"/>
    </row>
    <row r="19" customFormat="false" ht="24" hidden="false" customHeight="true" outlineLevel="0" collapsed="false">
      <c r="A19" s="154" t="s">
        <v>148</v>
      </c>
      <c r="B19" s="155" t="s">
        <v>149</v>
      </c>
      <c r="C19" s="155"/>
      <c r="D19" s="155"/>
      <c r="E19" s="155"/>
      <c r="F19" s="155"/>
      <c r="G19" s="155"/>
      <c r="H19" s="155"/>
      <c r="I19" s="155"/>
      <c r="J19" s="155"/>
      <c r="K19" s="155"/>
    </row>
    <row r="20" customFormat="false" ht="24" hidden="false" customHeight="true" outlineLevel="0" collapsed="false">
      <c r="A20" s="159" t="s">
        <v>150</v>
      </c>
      <c r="B20" s="160" t="s">
        <v>151</v>
      </c>
      <c r="C20" s="160"/>
      <c r="D20" s="160"/>
      <c r="E20" s="160"/>
      <c r="F20" s="160"/>
      <c r="G20" s="160"/>
      <c r="H20" s="160"/>
      <c r="I20" s="160"/>
      <c r="J20" s="160"/>
      <c r="K20" s="160"/>
    </row>
    <row r="22" customFormat="false" ht="24" hidden="false" customHeight="true" outlineLevel="0" collapsed="false">
      <c r="A22" s="128" t="s">
        <v>129</v>
      </c>
      <c r="B22" s="128"/>
      <c r="C22" s="128"/>
      <c r="D22" s="128"/>
      <c r="E22" s="128"/>
      <c r="F22" s="128"/>
      <c r="G22" s="128"/>
      <c r="H22" s="128"/>
      <c r="I22" s="128"/>
      <c r="J22" s="128"/>
      <c r="K22" s="128"/>
    </row>
    <row r="23" customFormat="false" ht="24" hidden="false" customHeight="true" outlineLevel="0" collapsed="false">
      <c r="A23" s="152" t="s">
        <v>130</v>
      </c>
      <c r="B23" s="161" t="s">
        <v>32</v>
      </c>
      <c r="C23" s="161"/>
      <c r="D23" s="161"/>
      <c r="E23" s="161"/>
      <c r="F23" s="162" t="s">
        <v>131</v>
      </c>
      <c r="G23" s="162"/>
      <c r="H23" s="162"/>
      <c r="I23" s="163" t="s">
        <v>32</v>
      </c>
      <c r="J23" s="163"/>
      <c r="K23" s="163"/>
    </row>
    <row r="24" customFormat="false" ht="24" hidden="false" customHeight="true" outlineLevel="0" collapsed="false">
      <c r="A24" s="154" t="s">
        <v>132</v>
      </c>
      <c r="B24" s="164" t="s">
        <v>32</v>
      </c>
      <c r="C24" s="165" t="s">
        <v>133</v>
      </c>
      <c r="D24" s="157" t="s">
        <v>134</v>
      </c>
      <c r="E24" s="166" t="s">
        <v>32</v>
      </c>
      <c r="F24" s="167" t="s">
        <v>133</v>
      </c>
      <c r="G24" s="168" t="s">
        <v>135</v>
      </c>
      <c r="H24" s="168"/>
      <c r="I24" s="168"/>
      <c r="J24" s="169" t="s">
        <v>32</v>
      </c>
      <c r="K24" s="170" t="s">
        <v>136</v>
      </c>
    </row>
    <row r="25" customFormat="false" ht="24" hidden="false" customHeight="true" outlineLevel="0" collapsed="false">
      <c r="A25" s="154" t="s">
        <v>137</v>
      </c>
      <c r="B25" s="169" t="s">
        <v>62</v>
      </c>
      <c r="C25" s="171" t="s">
        <v>32</v>
      </c>
      <c r="D25" s="172" t="s">
        <v>63</v>
      </c>
      <c r="E25" s="173" t="s">
        <v>32</v>
      </c>
      <c r="F25" s="174" t="s">
        <v>138</v>
      </c>
      <c r="G25" s="174"/>
      <c r="H25" s="175" t="s">
        <v>32</v>
      </c>
      <c r="I25" s="167" t="s">
        <v>139</v>
      </c>
      <c r="J25" s="176" t="s">
        <v>140</v>
      </c>
      <c r="K25" s="177" t="s">
        <v>32</v>
      </c>
    </row>
    <row r="26" customFormat="false" ht="24" hidden="false" customHeight="true" outlineLevel="0" collapsed="false">
      <c r="A26" s="154" t="s">
        <v>141</v>
      </c>
      <c r="B26" s="155" t="s">
        <v>152</v>
      </c>
      <c r="C26" s="155"/>
      <c r="D26" s="155"/>
      <c r="E26" s="155"/>
      <c r="F26" s="155"/>
      <c r="G26" s="155"/>
      <c r="H26" s="155"/>
      <c r="I26" s="155"/>
      <c r="J26" s="155"/>
      <c r="K26" s="155"/>
    </row>
    <row r="27" customFormat="false" ht="24" hidden="false" customHeight="true" outlineLevel="0" collapsed="false">
      <c r="A27" s="154" t="s">
        <v>143</v>
      </c>
      <c r="B27" s="155" t="s">
        <v>144</v>
      </c>
      <c r="C27" s="155"/>
      <c r="D27" s="155"/>
      <c r="E27" s="155"/>
      <c r="F27" s="155"/>
      <c r="G27" s="155"/>
      <c r="H27" s="155"/>
      <c r="I27" s="157" t="s">
        <v>61</v>
      </c>
      <c r="J27" s="157"/>
      <c r="K27" s="158" t="s">
        <v>153</v>
      </c>
    </row>
    <row r="28" customFormat="false" ht="24" hidden="false" customHeight="true" outlineLevel="0" collapsed="false">
      <c r="A28" s="154" t="s">
        <v>146</v>
      </c>
      <c r="B28" s="155" t="s">
        <v>147</v>
      </c>
      <c r="C28" s="155"/>
      <c r="D28" s="155"/>
      <c r="E28" s="155"/>
      <c r="F28" s="155"/>
      <c r="G28" s="155"/>
      <c r="H28" s="155"/>
      <c r="I28" s="155"/>
      <c r="J28" s="155"/>
      <c r="K28" s="155"/>
    </row>
    <row r="29" customFormat="false" ht="24" hidden="false" customHeight="true" outlineLevel="0" collapsed="false">
      <c r="A29" s="154" t="s">
        <v>148</v>
      </c>
      <c r="B29" s="155" t="s">
        <v>149</v>
      </c>
      <c r="C29" s="155"/>
      <c r="D29" s="155"/>
      <c r="E29" s="155"/>
      <c r="F29" s="155"/>
      <c r="G29" s="155"/>
      <c r="H29" s="155"/>
      <c r="I29" s="155"/>
      <c r="J29" s="155"/>
      <c r="K29" s="155"/>
    </row>
    <row r="30" customFormat="false" ht="24" hidden="false" customHeight="true" outlineLevel="0" collapsed="false">
      <c r="A30" s="159" t="s">
        <v>150</v>
      </c>
      <c r="B30" s="160" t="s">
        <v>151</v>
      </c>
      <c r="C30" s="160"/>
      <c r="D30" s="160"/>
      <c r="E30" s="160"/>
      <c r="F30" s="160"/>
      <c r="G30" s="160"/>
      <c r="H30" s="160"/>
      <c r="I30" s="160"/>
      <c r="J30" s="160"/>
      <c r="K30" s="160"/>
    </row>
  </sheetData>
  <mergeCells count="35">
    <mergeCell ref="A1:H1"/>
    <mergeCell ref="J1:K1"/>
    <mergeCell ref="A2:K2"/>
    <mergeCell ref="B3:E3"/>
    <mergeCell ref="F3:H3"/>
    <mergeCell ref="I3:K3"/>
    <mergeCell ref="G4:I4"/>
    <mergeCell ref="F5:G5"/>
    <mergeCell ref="B6:K6"/>
    <mergeCell ref="B7:H7"/>
    <mergeCell ref="B8:K8"/>
    <mergeCell ref="B9:K9"/>
    <mergeCell ref="B10:K10"/>
    <mergeCell ref="A12:K12"/>
    <mergeCell ref="B13:E13"/>
    <mergeCell ref="F13:H13"/>
    <mergeCell ref="I13:K13"/>
    <mergeCell ref="G14:I14"/>
    <mergeCell ref="F15:G15"/>
    <mergeCell ref="B16:K16"/>
    <mergeCell ref="B17:H17"/>
    <mergeCell ref="B18:K18"/>
    <mergeCell ref="B19:K19"/>
    <mergeCell ref="B20:K20"/>
    <mergeCell ref="A22:K22"/>
    <mergeCell ref="B23:E23"/>
    <mergeCell ref="F23:H23"/>
    <mergeCell ref="I23:K23"/>
    <mergeCell ref="G24:I24"/>
    <mergeCell ref="F25:G25"/>
    <mergeCell ref="B26:K26"/>
    <mergeCell ref="B27:H27"/>
    <mergeCell ref="B28:K28"/>
    <mergeCell ref="B29:K29"/>
    <mergeCell ref="B30:K30"/>
  </mergeCells>
  <printOptions headings="false" gridLines="false" gridLinesSet="true" horizontalCentered="true" verticalCentered="false"/>
  <pageMargins left="0.35433070866141736" right="0.1968503937007874" top="0.5118110236220472" bottom="0.2362204724409449" header="0.31496062992125984" footer="0.1968503937007874"/>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R45"/>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3" activeCellId="0" sqref="A3:AR3"/>
    </sheetView>
  </sheetViews>
  <sheetFormatPr defaultColWidth="8.88671875" defaultRowHeight="13.5" customHeight="false" zeroHeight="false" outlineLevelRow="0" outlineLevelCol="0"/>
  <cols>
    <col collapsed="false" customWidth="true" hidden="false" outlineLevel="0" max="2" min="1" style="178" width="2.33"/>
    <col collapsed="false" customWidth="true" hidden="false" outlineLevel="0" max="4" min="3" style="178" width="1.55"/>
    <col collapsed="false" customWidth="true" hidden="false" outlineLevel="0" max="17" min="5" style="178" width="1.88"/>
    <col collapsed="false" customWidth="true" hidden="false" outlineLevel="0" max="18" min="18" style="178" width="3.1"/>
    <col collapsed="false" customWidth="true" hidden="false" outlineLevel="0" max="20" min="19" style="178" width="1.77"/>
    <col collapsed="false" customWidth="true" hidden="false" outlineLevel="0" max="21" min="21" style="178" width="2.1"/>
    <col collapsed="false" customWidth="true" hidden="false" outlineLevel="0" max="22" min="22" style="178" width="1.33"/>
    <col collapsed="false" customWidth="true" hidden="false" outlineLevel="0" max="24" min="23" style="178" width="2.33"/>
    <col collapsed="false" customWidth="true" hidden="false" outlineLevel="0" max="26" min="25" style="178" width="1.66"/>
    <col collapsed="false" customWidth="true" hidden="false" outlineLevel="0" max="39" min="27" style="178" width="1.21"/>
    <col collapsed="false" customWidth="true" hidden="false" outlineLevel="0" max="40" min="40" style="178" width="9.21"/>
    <col collapsed="false" customWidth="true" hidden="false" outlineLevel="0" max="43" min="41" style="178" width="1.66"/>
    <col collapsed="false" customWidth="true" hidden="false" outlineLevel="0" max="44" min="44" style="178" width="2.1"/>
    <col collapsed="false" customWidth="false" hidden="false" outlineLevel="0" max="257" min="45" style="178" width="8.88"/>
  </cols>
  <sheetData>
    <row r="1" customFormat="false" ht="13.5" hidden="false" customHeight="true" outlineLevel="0" collapsed="false">
      <c r="A1" s="179"/>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80" t="s">
        <v>154</v>
      </c>
      <c r="AN1" s="180"/>
      <c r="AO1" s="180"/>
      <c r="AP1" s="180"/>
      <c r="AQ1" s="180"/>
      <c r="AR1" s="180"/>
    </row>
    <row r="2" customFormat="false" ht="24.75" hidden="false" customHeight="true" outlineLevel="0" collapsed="false">
      <c r="A2" s="181" t="s">
        <v>155</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row>
    <row r="3" customFormat="false" ht="13.5" hidden="false" customHeight="true" outlineLevel="0" collapsed="false">
      <c r="A3" s="182" t="s">
        <v>156</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row>
    <row r="4" customFormat="false" ht="19.5" hidden="false" customHeight="true" outlineLevel="0" collapsed="false">
      <c r="A4" s="183" t="s">
        <v>157</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row>
    <row r="5" customFormat="false" ht="16.5" hidden="false" customHeight="true" outlineLevel="0" collapsed="false">
      <c r="A5" s="184" t="s">
        <v>158</v>
      </c>
      <c r="B5" s="184"/>
      <c r="C5" s="185" t="s">
        <v>159</v>
      </c>
      <c r="D5" s="185"/>
      <c r="E5" s="185"/>
      <c r="F5" s="185"/>
      <c r="G5" s="185"/>
      <c r="H5" s="185"/>
      <c r="I5" s="185"/>
      <c r="J5" s="185"/>
      <c r="K5" s="185"/>
      <c r="L5" s="185"/>
      <c r="M5" s="185"/>
      <c r="N5" s="185"/>
      <c r="O5" s="185"/>
      <c r="P5" s="185"/>
      <c r="Q5" s="185"/>
      <c r="R5" s="185"/>
      <c r="S5" s="185" t="s">
        <v>160</v>
      </c>
      <c r="T5" s="185"/>
      <c r="U5" s="185"/>
      <c r="V5" s="185"/>
      <c r="W5" s="185" t="s">
        <v>158</v>
      </c>
      <c r="X5" s="185"/>
      <c r="Y5" s="184" t="s">
        <v>159</v>
      </c>
      <c r="Z5" s="184"/>
      <c r="AA5" s="184"/>
      <c r="AB5" s="184"/>
      <c r="AC5" s="184"/>
      <c r="AD5" s="184"/>
      <c r="AE5" s="184"/>
      <c r="AF5" s="184"/>
      <c r="AG5" s="184"/>
      <c r="AH5" s="184"/>
      <c r="AI5" s="184"/>
      <c r="AJ5" s="184"/>
      <c r="AK5" s="184"/>
      <c r="AL5" s="184"/>
      <c r="AM5" s="184"/>
      <c r="AN5" s="184"/>
      <c r="AO5" s="186" t="s">
        <v>160</v>
      </c>
      <c r="AP5" s="186"/>
      <c r="AQ5" s="186"/>
      <c r="AR5" s="186"/>
    </row>
    <row r="6" customFormat="false" ht="16.5" hidden="false" customHeight="true" outlineLevel="0" collapsed="false">
      <c r="A6" s="187" t="s">
        <v>161</v>
      </c>
      <c r="B6" s="187"/>
      <c r="C6" s="188" t="inlineStr">
        <is>
          <t xml:space="preserve">[  ]</t>
        </is>
      </c>
      <c r="D6" s="188"/>
      <c r="E6" s="189" t="s">
        <v>163</v>
      </c>
      <c r="F6" s="189"/>
      <c r="G6" s="189"/>
      <c r="H6" s="189"/>
      <c r="I6" s="189"/>
      <c r="J6" s="189"/>
      <c r="K6" s="189"/>
      <c r="L6" s="189"/>
      <c r="M6" s="189"/>
      <c r="N6" s="189"/>
      <c r="O6" s="189"/>
      <c r="P6" s="189"/>
      <c r="Q6" s="189"/>
      <c r="R6" s="189"/>
      <c r="S6" s="190"/>
      <c r="T6" s="190"/>
      <c r="U6" s="190"/>
      <c r="V6" s="190"/>
      <c r="W6" s="191" t="s">
        <v>164</v>
      </c>
      <c r="X6" s="191"/>
      <c r="Y6" s="192" t="s">
        <v>165</v>
      </c>
      <c r="Z6" s="192"/>
      <c r="AA6" s="189" t="s">
        <v>166</v>
      </c>
      <c r="AB6" s="189"/>
      <c r="AC6" s="189"/>
      <c r="AD6" s="189"/>
      <c r="AE6" s="189"/>
      <c r="AF6" s="189"/>
      <c r="AG6" s="189"/>
      <c r="AH6" s="189"/>
      <c r="AI6" s="189"/>
      <c r="AJ6" s="189"/>
      <c r="AK6" s="189"/>
      <c r="AL6" s="189"/>
      <c r="AM6" s="189"/>
      <c r="AN6" s="189"/>
      <c r="AO6" s="190"/>
      <c r="AP6" s="190"/>
      <c r="AQ6" s="190"/>
      <c r="AR6" s="190"/>
    </row>
    <row r="7" customFormat="false" ht="16.5" hidden="false" customHeight="true" outlineLevel="0" collapsed="false">
      <c r="A7" s="187"/>
      <c r="B7" s="187"/>
      <c r="C7" s="193"/>
      <c r="D7" s="194" t="inlineStr">
        <is>
          <t xml:space="preserve">[  ]</t>
        </is>
      </c>
      <c r="E7" s="194"/>
      <c r="F7" s="195" t="s">
        <v>167</v>
      </c>
      <c r="G7" s="195"/>
      <c r="H7" s="195"/>
      <c r="I7" s="195"/>
      <c r="J7" s="195"/>
      <c r="K7" s="195"/>
      <c r="L7" s="195"/>
      <c r="M7" s="195"/>
      <c r="N7" s="195"/>
      <c r="O7" s="195"/>
      <c r="P7" s="195"/>
      <c r="Q7" s="195"/>
      <c r="R7" s="195"/>
      <c r="S7" s="190" t="str">
        <f>""</f>
      </c>
      <c r="T7" s="190"/>
      <c r="U7" s="190"/>
      <c r="V7" s="190"/>
      <c r="W7" s="191"/>
      <c r="X7" s="191"/>
      <c r="Y7" s="196"/>
      <c r="Z7" s="192" t="s">
        <v>165</v>
      </c>
      <c r="AA7" s="192"/>
      <c r="AB7" s="195" t="s">
        <v>168</v>
      </c>
      <c r="AC7" s="195"/>
      <c r="AD7" s="195"/>
      <c r="AE7" s="195"/>
      <c r="AF7" s="195"/>
      <c r="AG7" s="195"/>
      <c r="AH7" s="195"/>
      <c r="AI7" s="195"/>
      <c r="AJ7" s="195"/>
      <c r="AK7" s="195"/>
      <c r="AL7" s="195"/>
      <c r="AM7" s="195"/>
      <c r="AN7" s="195"/>
      <c r="AO7" s="190" t="str">
        <f>""</f>
      </c>
      <c r="AP7" s="190"/>
      <c r="AQ7" s="190"/>
      <c r="AR7" s="190"/>
    </row>
    <row r="8" customFormat="false" ht="16.5" hidden="false" customHeight="true" outlineLevel="0" collapsed="false">
      <c r="A8" s="187"/>
      <c r="B8" s="187"/>
      <c r="C8" s="193"/>
      <c r="D8" s="192" t="s">
        <v>165</v>
      </c>
      <c r="E8" s="192"/>
      <c r="F8" s="195" t="s">
        <v>169</v>
      </c>
      <c r="G8" s="195"/>
      <c r="H8" s="195"/>
      <c r="I8" s="195"/>
      <c r="J8" s="195"/>
      <c r="K8" s="195"/>
      <c r="L8" s="195"/>
      <c r="M8" s="195"/>
      <c r="N8" s="195"/>
      <c r="O8" s="195"/>
      <c r="P8" s="195"/>
      <c r="Q8" s="195"/>
      <c r="R8" s="195"/>
      <c r="S8" s="190" t="str">
        <f>""</f>
      </c>
      <c r="T8" s="190"/>
      <c r="U8" s="190"/>
      <c r="V8" s="190"/>
      <c r="W8" s="191"/>
      <c r="X8" s="191"/>
      <c r="Y8" s="196"/>
      <c r="Z8" s="197"/>
      <c r="AA8" s="197"/>
      <c r="AB8" s="195" t="s">
        <v>170</v>
      </c>
      <c r="AC8" s="195"/>
      <c r="AD8" s="195"/>
      <c r="AE8" s="195"/>
      <c r="AF8" s="195"/>
      <c r="AG8" s="195"/>
      <c r="AH8" s="195"/>
      <c r="AI8" s="195"/>
      <c r="AJ8" s="195"/>
      <c r="AK8" s="195"/>
      <c r="AL8" s="195"/>
      <c r="AM8" s="195"/>
      <c r="AN8" s="195"/>
      <c r="AO8" s="190"/>
      <c r="AP8" s="190"/>
      <c r="AQ8" s="190"/>
      <c r="AR8" s="190"/>
    </row>
    <row r="9" customFormat="false" ht="16.5" hidden="false" customHeight="true" outlineLevel="0" collapsed="false">
      <c r="A9" s="187"/>
      <c r="B9" s="187"/>
      <c r="C9" s="193"/>
      <c r="D9" s="192" t="s">
        <v>165</v>
      </c>
      <c r="E9" s="192"/>
      <c r="F9" s="195" t="s">
        <v>171</v>
      </c>
      <c r="G9" s="195"/>
      <c r="H9" s="195"/>
      <c r="I9" s="195"/>
      <c r="J9" s="195"/>
      <c r="K9" s="195"/>
      <c r="L9" s="195"/>
      <c r="M9" s="195"/>
      <c r="N9" s="195"/>
      <c r="O9" s="195"/>
      <c r="P9" s="195"/>
      <c r="Q9" s="195"/>
      <c r="R9" s="195"/>
      <c r="S9" s="190" t="str">
        <f>""</f>
      </c>
      <c r="T9" s="190"/>
      <c r="U9" s="190"/>
      <c r="V9" s="190"/>
      <c r="W9" s="191"/>
      <c r="X9" s="191"/>
      <c r="Y9" s="196"/>
      <c r="Z9" s="192" t="s">
        <v>165</v>
      </c>
      <c r="AA9" s="192"/>
      <c r="AB9" s="195" t="s">
        <v>172</v>
      </c>
      <c r="AC9" s="195"/>
      <c r="AD9" s="195"/>
      <c r="AE9" s="195"/>
      <c r="AF9" s="195"/>
      <c r="AG9" s="195"/>
      <c r="AH9" s="195"/>
      <c r="AI9" s="195"/>
      <c r="AJ9" s="195"/>
      <c r="AK9" s="195"/>
      <c r="AL9" s="195"/>
      <c r="AM9" s="195"/>
      <c r="AN9" s="195"/>
      <c r="AO9" s="190" t="str">
        <f>""</f>
      </c>
      <c r="AP9" s="190"/>
      <c r="AQ9" s="190"/>
      <c r="AR9" s="190"/>
    </row>
    <row r="10" customFormat="false" ht="16.5" hidden="false" customHeight="true" outlineLevel="0" collapsed="false">
      <c r="A10" s="187"/>
      <c r="B10" s="187"/>
      <c r="C10" s="193"/>
      <c r="D10" s="192" t="s">
        <v>165</v>
      </c>
      <c r="E10" s="192"/>
      <c r="F10" s="195" t="s">
        <v>173</v>
      </c>
      <c r="G10" s="195"/>
      <c r="H10" s="195"/>
      <c r="I10" s="195"/>
      <c r="J10" s="195"/>
      <c r="K10" s="195"/>
      <c r="L10" s="195"/>
      <c r="M10" s="195"/>
      <c r="N10" s="195"/>
      <c r="O10" s="195"/>
      <c r="P10" s="195"/>
      <c r="Q10" s="195"/>
      <c r="R10" s="195"/>
      <c r="S10" s="190" t="str">
        <f>""</f>
      </c>
      <c r="T10" s="190"/>
      <c r="U10" s="190"/>
      <c r="V10" s="190"/>
      <c r="W10" s="191"/>
      <c r="X10" s="191"/>
      <c r="Y10" s="196"/>
      <c r="Z10" s="192" t="s">
        <v>165</v>
      </c>
      <c r="AA10" s="192"/>
      <c r="AB10" s="195" t="s">
        <v>174</v>
      </c>
      <c r="AC10" s="195"/>
      <c r="AD10" s="195"/>
      <c r="AE10" s="195"/>
      <c r="AF10" s="195"/>
      <c r="AG10" s="195"/>
      <c r="AH10" s="195"/>
      <c r="AI10" s="195"/>
      <c r="AJ10" s="195"/>
      <c r="AK10" s="195"/>
      <c r="AL10" s="195"/>
      <c r="AM10" s="195"/>
      <c r="AN10" s="195"/>
      <c r="AO10" s="190" t="str">
        <f>""</f>
      </c>
      <c r="AP10" s="190"/>
      <c r="AQ10" s="190"/>
      <c r="AR10" s="190"/>
    </row>
    <row r="11" customFormat="false" ht="16.5" hidden="false" customHeight="true" outlineLevel="0" collapsed="false">
      <c r="A11" s="187"/>
      <c r="B11" s="187"/>
      <c r="C11" s="198"/>
      <c r="D11" s="199" t="s">
        <v>165</v>
      </c>
      <c r="E11" s="199"/>
      <c r="F11" s="200" t="s">
        <v>175</v>
      </c>
      <c r="G11" s="200"/>
      <c r="H11" s="200"/>
      <c r="I11" s="200"/>
      <c r="J11" s="200"/>
      <c r="K11" s="200"/>
      <c r="L11" s="200"/>
      <c r="M11" s="200"/>
      <c r="N11" s="200"/>
      <c r="O11" s="200"/>
      <c r="P11" s="200"/>
      <c r="Q11" s="200"/>
      <c r="R11" s="200"/>
      <c r="S11" s="201" t="str">
        <f>""</f>
      </c>
      <c r="T11" s="201"/>
      <c r="U11" s="201"/>
      <c r="V11" s="201"/>
      <c r="W11" s="191"/>
      <c r="X11" s="191"/>
      <c r="Y11" s="202"/>
      <c r="Z11" s="202"/>
      <c r="AA11" s="203"/>
      <c r="AB11" s="200" t="s">
        <v>176</v>
      </c>
      <c r="AC11" s="200"/>
      <c r="AD11" s="200"/>
      <c r="AE11" s="200"/>
      <c r="AF11" s="200"/>
      <c r="AG11" s="200"/>
      <c r="AH11" s="200"/>
      <c r="AI11" s="200"/>
      <c r="AJ11" s="200"/>
      <c r="AK11" s="200"/>
      <c r="AL11" s="200"/>
      <c r="AM11" s="200"/>
      <c r="AN11" s="200"/>
      <c r="AO11" s="201"/>
      <c r="AP11" s="201"/>
      <c r="AQ11" s="201"/>
      <c r="AR11" s="201"/>
    </row>
    <row r="12" customFormat="false" ht="16.5" hidden="false" customHeight="true" outlineLevel="0" collapsed="false">
      <c r="A12" s="187"/>
      <c r="B12" s="187"/>
      <c r="C12" s="188" t="s">
        <v>165</v>
      </c>
      <c r="D12" s="188"/>
      <c r="E12" s="204" t="s">
        <v>177</v>
      </c>
      <c r="F12" s="204"/>
      <c r="G12" s="204"/>
      <c r="H12" s="204"/>
      <c r="I12" s="204"/>
      <c r="J12" s="204"/>
      <c r="K12" s="204"/>
      <c r="L12" s="204"/>
      <c r="M12" s="204"/>
      <c r="N12" s="204"/>
      <c r="O12" s="204"/>
      <c r="P12" s="204"/>
      <c r="Q12" s="204"/>
      <c r="R12" s="204"/>
      <c r="S12" s="201" t="str">
        <f>""</f>
      </c>
      <c r="T12" s="201"/>
      <c r="U12" s="201"/>
      <c r="V12" s="201"/>
      <c r="W12" s="191"/>
      <c r="X12" s="191"/>
      <c r="Y12" s="205" t="s">
        <v>165</v>
      </c>
      <c r="Z12" s="205"/>
      <c r="AA12" s="204" t="s">
        <v>178</v>
      </c>
      <c r="AB12" s="204"/>
      <c r="AC12" s="204"/>
      <c r="AD12" s="204"/>
      <c r="AE12" s="204"/>
      <c r="AF12" s="204"/>
      <c r="AG12" s="204"/>
      <c r="AH12" s="204"/>
      <c r="AI12" s="204"/>
      <c r="AJ12" s="204"/>
      <c r="AK12" s="204"/>
      <c r="AL12" s="204"/>
      <c r="AM12" s="204"/>
      <c r="AN12" s="204"/>
      <c r="AO12" s="206" t="str">
        <f>""</f>
      </c>
      <c r="AP12" s="206"/>
      <c r="AQ12" s="206"/>
      <c r="AR12" s="206"/>
    </row>
    <row r="13" customFormat="false" ht="16.5" hidden="false" customHeight="true" outlineLevel="0" collapsed="false">
      <c r="A13" s="187"/>
      <c r="B13" s="187"/>
      <c r="C13" s="207" t="s">
        <v>165</v>
      </c>
      <c r="D13" s="207"/>
      <c r="E13" s="204" t="s">
        <v>179</v>
      </c>
      <c r="F13" s="204"/>
      <c r="G13" s="204"/>
      <c r="H13" s="204"/>
      <c r="I13" s="204"/>
      <c r="J13" s="204"/>
      <c r="K13" s="204"/>
      <c r="L13" s="204"/>
      <c r="M13" s="204"/>
      <c r="N13" s="204"/>
      <c r="O13" s="204"/>
      <c r="P13" s="204"/>
      <c r="Q13" s="204"/>
      <c r="R13" s="204"/>
      <c r="S13" s="206" t="str">
        <f>""</f>
      </c>
      <c r="T13" s="206"/>
      <c r="U13" s="206"/>
      <c r="V13" s="206"/>
      <c r="W13" s="191"/>
      <c r="X13" s="191"/>
      <c r="Y13" s="205" t="inlineStr">
        <is>
          <t xml:space="preserve">[  ]</t>
        </is>
      </c>
      <c r="Z13" s="205"/>
      <c r="AA13" s="204" t="s">
        <v>180</v>
      </c>
      <c r="AB13" s="204"/>
      <c r="AC13" s="204"/>
      <c r="AD13" s="204"/>
      <c r="AE13" s="204"/>
      <c r="AF13" s="204"/>
      <c r="AG13" s="204"/>
      <c r="AH13" s="204"/>
      <c r="AI13" s="204"/>
      <c r="AJ13" s="204"/>
      <c r="AK13" s="204"/>
      <c r="AL13" s="204"/>
      <c r="AM13" s="204"/>
      <c r="AN13" s="204"/>
      <c r="AO13" s="206" t="str">
        <f>""</f>
      </c>
      <c r="AP13" s="206"/>
      <c r="AQ13" s="206"/>
      <c r="AR13" s="206"/>
    </row>
    <row r="14" customFormat="false" ht="16.5" hidden="false" customHeight="true" outlineLevel="0" collapsed="false">
      <c r="A14" s="187"/>
      <c r="B14" s="187"/>
      <c r="C14" s="207" t="s">
        <v>165</v>
      </c>
      <c r="D14" s="207"/>
      <c r="E14" s="204" t="s">
        <v>181</v>
      </c>
      <c r="F14" s="204"/>
      <c r="G14" s="204"/>
      <c r="H14" s="204"/>
      <c r="I14" s="204"/>
      <c r="J14" s="204"/>
      <c r="K14" s="204"/>
      <c r="L14" s="204"/>
      <c r="M14" s="204"/>
      <c r="N14" s="204"/>
      <c r="O14" s="204"/>
      <c r="P14" s="204"/>
      <c r="Q14" s="204"/>
      <c r="R14" s="204"/>
      <c r="S14" s="206" t="str">
        <f>""</f>
      </c>
      <c r="T14" s="206"/>
      <c r="U14" s="206"/>
      <c r="V14" s="206"/>
      <c r="W14" s="191"/>
      <c r="X14" s="191"/>
      <c r="Y14" s="205" t="s">
        <v>165</v>
      </c>
      <c r="Z14" s="205"/>
      <c r="AA14" s="204" t="s">
        <v>182</v>
      </c>
      <c r="AB14" s="204"/>
      <c r="AC14" s="204"/>
      <c r="AD14" s="204"/>
      <c r="AE14" s="204"/>
      <c r="AF14" s="204"/>
      <c r="AG14" s="204"/>
      <c r="AH14" s="204"/>
      <c r="AI14" s="204"/>
      <c r="AJ14" s="204"/>
      <c r="AK14" s="204"/>
      <c r="AL14" s="204"/>
      <c r="AM14" s="204"/>
      <c r="AN14" s="204"/>
      <c r="AO14" s="206" t="str">
        <f>""</f>
      </c>
      <c r="AP14" s="206"/>
      <c r="AQ14" s="206"/>
      <c r="AR14" s="206"/>
    </row>
    <row r="15" customFormat="false" ht="16.5" hidden="false" customHeight="true" outlineLevel="0" collapsed="false">
      <c r="A15" s="187"/>
      <c r="B15" s="187"/>
      <c r="C15" s="207" t="s">
        <v>165</v>
      </c>
      <c r="D15" s="207"/>
      <c r="E15" s="204" t="s">
        <v>183</v>
      </c>
      <c r="F15" s="204"/>
      <c r="G15" s="204"/>
      <c r="H15" s="204"/>
      <c r="I15" s="204"/>
      <c r="J15" s="204"/>
      <c r="K15" s="204"/>
      <c r="L15" s="204"/>
      <c r="M15" s="204"/>
      <c r="N15" s="204"/>
      <c r="O15" s="204"/>
      <c r="P15" s="204"/>
      <c r="Q15" s="204"/>
      <c r="R15" s="204"/>
      <c r="S15" s="206" t="str">
        <f>""</f>
      </c>
      <c r="T15" s="206"/>
      <c r="U15" s="206"/>
      <c r="V15" s="206"/>
      <c r="W15" s="191"/>
      <c r="X15" s="191"/>
      <c r="Y15" s="205" t="s">
        <v>165</v>
      </c>
      <c r="Z15" s="205"/>
      <c r="AA15" s="204" t="s">
        <v>184</v>
      </c>
      <c r="AB15" s="204"/>
      <c r="AC15" s="204"/>
      <c r="AD15" s="204"/>
      <c r="AE15" s="204"/>
      <c r="AF15" s="204"/>
      <c r="AG15" s="204"/>
      <c r="AH15" s="204"/>
      <c r="AI15" s="204"/>
      <c r="AJ15" s="204"/>
      <c r="AK15" s="204"/>
      <c r="AL15" s="204"/>
      <c r="AM15" s="204"/>
      <c r="AN15" s="204"/>
      <c r="AO15" s="206" t="str">
        <f>""</f>
      </c>
      <c r="AP15" s="206"/>
      <c r="AQ15" s="206"/>
      <c r="AR15" s="206"/>
    </row>
    <row r="16" customFormat="false" ht="16.5" hidden="false" customHeight="true" outlineLevel="0" collapsed="false">
      <c r="A16" s="187"/>
      <c r="B16" s="187"/>
      <c r="C16" s="207" t="s">
        <v>165</v>
      </c>
      <c r="D16" s="207"/>
      <c r="E16" s="204" t="s">
        <v>185</v>
      </c>
      <c r="F16" s="204"/>
      <c r="G16" s="204"/>
      <c r="H16" s="204"/>
      <c r="I16" s="204"/>
      <c r="J16" s="204"/>
      <c r="K16" s="204"/>
      <c r="L16" s="204"/>
      <c r="M16" s="204"/>
      <c r="N16" s="204"/>
      <c r="O16" s="204"/>
      <c r="P16" s="204"/>
      <c r="Q16" s="204"/>
      <c r="R16" s="204"/>
      <c r="S16" s="206" t="str">
        <f>""</f>
      </c>
      <c r="T16" s="206"/>
      <c r="U16" s="206"/>
      <c r="V16" s="206"/>
      <c r="W16" s="191"/>
      <c r="X16" s="191"/>
      <c r="Y16" s="205" t="s">
        <v>165</v>
      </c>
      <c r="Z16" s="205"/>
      <c r="AA16" s="204" t="s">
        <v>186</v>
      </c>
      <c r="AB16" s="204"/>
      <c r="AC16" s="204"/>
      <c r="AD16" s="204"/>
      <c r="AE16" s="204"/>
      <c r="AF16" s="204"/>
      <c r="AG16" s="204"/>
      <c r="AH16" s="204"/>
      <c r="AI16" s="204"/>
      <c r="AJ16" s="204"/>
      <c r="AK16" s="204"/>
      <c r="AL16" s="204"/>
      <c r="AM16" s="204"/>
      <c r="AN16" s="204"/>
      <c r="AO16" s="206" t="str">
        <f>""</f>
      </c>
      <c r="AP16" s="206"/>
      <c r="AQ16" s="206"/>
      <c r="AR16" s="206"/>
    </row>
    <row r="17" customFormat="false" ht="16.5" hidden="false" customHeight="true" outlineLevel="0" collapsed="false">
      <c r="A17" s="187"/>
      <c r="B17" s="187"/>
      <c r="C17" s="207" t="s">
        <v>165</v>
      </c>
      <c r="D17" s="207"/>
      <c r="E17" s="204" t="s">
        <v>187</v>
      </c>
      <c r="F17" s="204"/>
      <c r="G17" s="204"/>
      <c r="H17" s="204"/>
      <c r="I17" s="204"/>
      <c r="J17" s="204"/>
      <c r="K17" s="204"/>
      <c r="L17" s="204"/>
      <c r="M17" s="204"/>
      <c r="N17" s="204"/>
      <c r="O17" s="204"/>
      <c r="P17" s="204"/>
      <c r="Q17" s="204"/>
      <c r="R17" s="204"/>
      <c r="S17" s="206" t="str">
        <f>""</f>
      </c>
      <c r="T17" s="206"/>
      <c r="U17" s="206"/>
      <c r="V17" s="206"/>
      <c r="W17" s="191"/>
      <c r="X17" s="191"/>
      <c r="Y17" s="205" t="s">
        <v>165</v>
      </c>
      <c r="Z17" s="205"/>
      <c r="AA17" s="204" t="s">
        <v>188</v>
      </c>
      <c r="AB17" s="204"/>
      <c r="AC17" s="204"/>
      <c r="AD17" s="204"/>
      <c r="AE17" s="204"/>
      <c r="AF17" s="204"/>
      <c r="AG17" s="204"/>
      <c r="AH17" s="204"/>
      <c r="AI17" s="204"/>
      <c r="AJ17" s="204"/>
      <c r="AK17" s="204"/>
      <c r="AL17" s="204"/>
      <c r="AM17" s="204"/>
      <c r="AN17" s="204"/>
      <c r="AO17" s="206" t="str">
        <f>""</f>
      </c>
      <c r="AP17" s="206"/>
      <c r="AQ17" s="206"/>
      <c r="AR17" s="206"/>
    </row>
    <row r="18" customFormat="false" ht="16.5" hidden="false" customHeight="true" outlineLevel="0" collapsed="false">
      <c r="A18" s="187"/>
      <c r="B18" s="187"/>
      <c r="C18" s="207" t="s">
        <v>165</v>
      </c>
      <c r="D18" s="207"/>
      <c r="E18" s="204" t="s">
        <v>189</v>
      </c>
      <c r="F18" s="204"/>
      <c r="G18" s="204"/>
      <c r="H18" s="204"/>
      <c r="I18" s="204"/>
      <c r="J18" s="204"/>
      <c r="K18" s="204"/>
      <c r="L18" s="204"/>
      <c r="M18" s="204"/>
      <c r="N18" s="204"/>
      <c r="O18" s="204"/>
      <c r="P18" s="204"/>
      <c r="Q18" s="204"/>
      <c r="R18" s="204"/>
      <c r="S18" s="206" t="str">
        <f>""</f>
      </c>
      <c r="T18" s="206"/>
      <c r="U18" s="206"/>
      <c r="V18" s="206"/>
      <c r="W18" s="208" t="s">
        <v>190</v>
      </c>
      <c r="X18" s="208"/>
      <c r="Y18" s="205" t="s">
        <v>165</v>
      </c>
      <c r="Z18" s="205"/>
      <c r="AA18" s="204" t="s">
        <v>191</v>
      </c>
      <c r="AB18" s="204"/>
      <c r="AC18" s="204"/>
      <c r="AD18" s="204"/>
      <c r="AE18" s="204"/>
      <c r="AF18" s="204"/>
      <c r="AG18" s="204"/>
      <c r="AH18" s="204"/>
      <c r="AI18" s="204"/>
      <c r="AJ18" s="204"/>
      <c r="AK18" s="204"/>
      <c r="AL18" s="204"/>
      <c r="AM18" s="204"/>
      <c r="AN18" s="204"/>
      <c r="AO18" s="206" t="str">
        <f>""</f>
      </c>
      <c r="AP18" s="206"/>
      <c r="AQ18" s="206"/>
      <c r="AR18" s="206"/>
    </row>
    <row r="19" customFormat="false" ht="16.5" hidden="false" customHeight="true" outlineLevel="0" collapsed="false">
      <c r="A19" s="187"/>
      <c r="B19" s="187"/>
      <c r="C19" s="207" t="s">
        <v>165</v>
      </c>
      <c r="D19" s="207"/>
      <c r="E19" s="204" t="s">
        <v>192</v>
      </c>
      <c r="F19" s="204"/>
      <c r="G19" s="204"/>
      <c r="H19" s="204"/>
      <c r="I19" s="204"/>
      <c r="J19" s="204"/>
      <c r="K19" s="204"/>
      <c r="L19" s="204"/>
      <c r="M19" s="204"/>
      <c r="N19" s="204"/>
      <c r="O19" s="204"/>
      <c r="P19" s="204"/>
      <c r="Q19" s="204"/>
      <c r="R19" s="204"/>
      <c r="S19" s="206" t="str">
        <f>""</f>
      </c>
      <c r="T19" s="206"/>
      <c r="U19" s="206"/>
      <c r="V19" s="206"/>
      <c r="W19" s="208"/>
      <c r="X19" s="208"/>
      <c r="Y19" s="205" t="s">
        <v>165</v>
      </c>
      <c r="Z19" s="205"/>
      <c r="AA19" s="204" t="s">
        <v>193</v>
      </c>
      <c r="AB19" s="204"/>
      <c r="AC19" s="204"/>
      <c r="AD19" s="204"/>
      <c r="AE19" s="204"/>
      <c r="AF19" s="204"/>
      <c r="AG19" s="204"/>
      <c r="AH19" s="204"/>
      <c r="AI19" s="204"/>
      <c r="AJ19" s="204"/>
      <c r="AK19" s="204"/>
      <c r="AL19" s="204"/>
      <c r="AM19" s="204"/>
      <c r="AN19" s="204"/>
      <c r="AO19" s="206" t="str">
        <f>""</f>
      </c>
      <c r="AP19" s="206"/>
      <c r="AQ19" s="206"/>
      <c r="AR19" s="206"/>
    </row>
    <row r="20" customFormat="false" ht="16.5" hidden="false" customHeight="true" outlineLevel="0" collapsed="false">
      <c r="A20" s="187"/>
      <c r="B20" s="187"/>
      <c r="C20" s="207" t="s">
        <v>165</v>
      </c>
      <c r="D20" s="207"/>
      <c r="E20" s="204" t="s">
        <v>194</v>
      </c>
      <c r="F20" s="204"/>
      <c r="G20" s="204"/>
      <c r="H20" s="204"/>
      <c r="I20" s="204"/>
      <c r="J20" s="204"/>
      <c r="K20" s="204"/>
      <c r="L20" s="204"/>
      <c r="M20" s="204"/>
      <c r="N20" s="204"/>
      <c r="O20" s="204"/>
      <c r="P20" s="204"/>
      <c r="Q20" s="204"/>
      <c r="R20" s="204"/>
      <c r="S20" s="206" t="str">
        <f>""</f>
      </c>
      <c r="T20" s="206"/>
      <c r="U20" s="206"/>
      <c r="V20" s="206"/>
      <c r="W20" s="191" t="s">
        <v>195</v>
      </c>
      <c r="X20" s="191"/>
      <c r="Y20" s="205" t="s">
        <v>165</v>
      </c>
      <c r="Z20" s="205"/>
      <c r="AA20" s="204" t="s">
        <v>196</v>
      </c>
      <c r="AB20" s="204"/>
      <c r="AC20" s="204"/>
      <c r="AD20" s="204"/>
      <c r="AE20" s="204"/>
      <c r="AF20" s="204"/>
      <c r="AG20" s="204"/>
      <c r="AH20" s="204"/>
      <c r="AI20" s="204"/>
      <c r="AJ20" s="204"/>
      <c r="AK20" s="204"/>
      <c r="AL20" s="204"/>
      <c r="AM20" s="204"/>
      <c r="AN20" s="204"/>
      <c r="AO20" s="206" t="str">
        <f>""</f>
      </c>
      <c r="AP20" s="206"/>
      <c r="AQ20" s="206"/>
      <c r="AR20" s="206"/>
    </row>
    <row r="21" customFormat="false" ht="16.5" hidden="false" customHeight="true" outlineLevel="0" collapsed="false">
      <c r="A21" s="187"/>
      <c r="B21" s="187"/>
      <c r="C21" s="207" t="s">
        <v>165</v>
      </c>
      <c r="D21" s="207"/>
      <c r="E21" s="204" t="s">
        <v>197</v>
      </c>
      <c r="F21" s="204"/>
      <c r="G21" s="204"/>
      <c r="H21" s="204"/>
      <c r="I21" s="204"/>
      <c r="J21" s="204"/>
      <c r="K21" s="204"/>
      <c r="L21" s="204"/>
      <c r="M21" s="204"/>
      <c r="N21" s="204"/>
      <c r="O21" s="204"/>
      <c r="P21" s="204"/>
      <c r="Q21" s="204"/>
      <c r="R21" s="204"/>
      <c r="S21" s="206" t="str">
        <f>""</f>
      </c>
      <c r="T21" s="206"/>
      <c r="U21" s="206"/>
      <c r="V21" s="206"/>
      <c r="W21" s="191"/>
      <c r="X21" s="191"/>
      <c r="Y21" s="205" t="s">
        <v>165</v>
      </c>
      <c r="Z21" s="205"/>
      <c r="AA21" s="204" t="s">
        <v>198</v>
      </c>
      <c r="AB21" s="204"/>
      <c r="AC21" s="204"/>
      <c r="AD21" s="204"/>
      <c r="AE21" s="204"/>
      <c r="AF21" s="204"/>
      <c r="AG21" s="204"/>
      <c r="AH21" s="204"/>
      <c r="AI21" s="204"/>
      <c r="AJ21" s="204"/>
      <c r="AK21" s="204"/>
      <c r="AL21" s="204"/>
      <c r="AM21" s="204"/>
      <c r="AN21" s="204"/>
      <c r="AO21" s="206" t="str">
        <f>""</f>
      </c>
      <c r="AP21" s="206"/>
      <c r="AQ21" s="206"/>
      <c r="AR21" s="206"/>
    </row>
    <row r="22" customFormat="false" ht="16.5" hidden="false" customHeight="true" outlineLevel="0" collapsed="false">
      <c r="A22" s="187"/>
      <c r="B22" s="187"/>
      <c r="C22" s="207" t="s">
        <v>165</v>
      </c>
      <c r="D22" s="207"/>
      <c r="E22" s="204" t="s">
        <v>199</v>
      </c>
      <c r="F22" s="204"/>
      <c r="G22" s="204"/>
      <c r="H22" s="204"/>
      <c r="I22" s="204"/>
      <c r="J22" s="204"/>
      <c r="K22" s="204"/>
      <c r="L22" s="204"/>
      <c r="M22" s="204"/>
      <c r="N22" s="204"/>
      <c r="O22" s="204"/>
      <c r="P22" s="204"/>
      <c r="Q22" s="204"/>
      <c r="R22" s="204"/>
      <c r="S22" s="206" t="str">
        <f>""</f>
      </c>
      <c r="T22" s="206"/>
      <c r="U22" s="206"/>
      <c r="V22" s="206"/>
      <c r="W22" s="191"/>
      <c r="X22" s="191"/>
      <c r="Y22" s="205" t="s">
        <v>165</v>
      </c>
      <c r="Z22" s="205"/>
      <c r="AA22" s="204" t="s">
        <v>200</v>
      </c>
      <c r="AB22" s="204"/>
      <c r="AC22" s="204"/>
      <c r="AD22" s="204"/>
      <c r="AE22" s="204"/>
      <c r="AF22" s="204"/>
      <c r="AG22" s="204"/>
      <c r="AH22" s="204"/>
      <c r="AI22" s="204"/>
      <c r="AJ22" s="204"/>
      <c r="AK22" s="204"/>
      <c r="AL22" s="204"/>
      <c r="AM22" s="204"/>
      <c r="AN22" s="204"/>
      <c r="AO22" s="206" t="str">
        <f>""</f>
      </c>
      <c r="AP22" s="206"/>
      <c r="AQ22" s="206"/>
      <c r="AR22" s="206"/>
    </row>
    <row r="23" customFormat="false" ht="16.5" hidden="false" customHeight="true" outlineLevel="0" collapsed="false">
      <c r="A23" s="187"/>
      <c r="B23" s="187"/>
      <c r="C23" s="207" t="s">
        <v>165</v>
      </c>
      <c r="D23" s="207"/>
      <c r="E23" s="204" t="s">
        <v>201</v>
      </c>
      <c r="F23" s="204"/>
      <c r="G23" s="204"/>
      <c r="H23" s="204"/>
      <c r="I23" s="204"/>
      <c r="J23" s="204"/>
      <c r="K23" s="204"/>
      <c r="L23" s="204"/>
      <c r="M23" s="204"/>
      <c r="N23" s="204"/>
      <c r="O23" s="204"/>
      <c r="P23" s="204"/>
      <c r="Q23" s="204"/>
      <c r="R23" s="204"/>
      <c r="S23" s="206" t="str">
        <f>""</f>
      </c>
      <c r="T23" s="206"/>
      <c r="U23" s="206"/>
      <c r="V23" s="206"/>
      <c r="W23" s="191"/>
      <c r="X23" s="191"/>
      <c r="Y23" s="205" t="s">
        <v>165</v>
      </c>
      <c r="Z23" s="205"/>
      <c r="AA23" s="204" t="s">
        <v>202</v>
      </c>
      <c r="AB23" s="204"/>
      <c r="AC23" s="204"/>
      <c r="AD23" s="204"/>
      <c r="AE23" s="204"/>
      <c r="AF23" s="204"/>
      <c r="AG23" s="204"/>
      <c r="AH23" s="204"/>
      <c r="AI23" s="204"/>
      <c r="AJ23" s="204"/>
      <c r="AK23" s="204"/>
      <c r="AL23" s="204"/>
      <c r="AM23" s="204"/>
      <c r="AN23" s="204"/>
      <c r="AO23" s="206" t="str">
        <f>""</f>
      </c>
      <c r="AP23" s="206"/>
      <c r="AQ23" s="206"/>
      <c r="AR23" s="206"/>
    </row>
    <row r="24" customFormat="false" ht="16.5" hidden="false" customHeight="true" outlineLevel="0" collapsed="false">
      <c r="A24" s="187"/>
      <c r="B24" s="187"/>
      <c r="C24" s="207" t="s">
        <v>165</v>
      </c>
      <c r="D24" s="207"/>
      <c r="E24" s="204" t="s">
        <v>203</v>
      </c>
      <c r="F24" s="204"/>
      <c r="G24" s="204"/>
      <c r="H24" s="204"/>
      <c r="I24" s="204"/>
      <c r="J24" s="204"/>
      <c r="K24" s="204"/>
      <c r="L24" s="204"/>
      <c r="M24" s="204"/>
      <c r="N24" s="204"/>
      <c r="O24" s="204"/>
      <c r="P24" s="204"/>
      <c r="Q24" s="204"/>
      <c r="R24" s="204"/>
      <c r="S24" s="206" t="str">
        <f>""</f>
      </c>
      <c r="T24" s="206"/>
      <c r="U24" s="206"/>
      <c r="V24" s="206"/>
      <c r="W24" s="191"/>
      <c r="X24" s="191"/>
      <c r="Y24" s="205" t="s">
        <v>165</v>
      </c>
      <c r="Z24" s="205"/>
      <c r="AA24" s="204" t="s">
        <v>204</v>
      </c>
      <c r="AB24" s="204"/>
      <c r="AC24" s="204"/>
      <c r="AD24" s="204"/>
      <c r="AE24" s="204"/>
      <c r="AF24" s="204"/>
      <c r="AG24" s="204"/>
      <c r="AH24" s="204"/>
      <c r="AI24" s="204"/>
      <c r="AJ24" s="204"/>
      <c r="AK24" s="204"/>
      <c r="AL24" s="204"/>
      <c r="AM24" s="204"/>
      <c r="AN24" s="204"/>
      <c r="AO24" s="206" t="str">
        <f>""</f>
      </c>
      <c r="AP24" s="206"/>
      <c r="AQ24" s="206"/>
      <c r="AR24" s="206"/>
    </row>
    <row r="25" customFormat="false" ht="16.5" hidden="false" customHeight="true" outlineLevel="0" collapsed="false">
      <c r="A25" s="187"/>
      <c r="B25" s="187"/>
      <c r="C25" s="207" t="s">
        <v>165</v>
      </c>
      <c r="D25" s="207"/>
      <c r="E25" s="204" t="s">
        <v>205</v>
      </c>
      <c r="F25" s="204"/>
      <c r="G25" s="204"/>
      <c r="H25" s="204"/>
      <c r="I25" s="204"/>
      <c r="J25" s="204"/>
      <c r="K25" s="204"/>
      <c r="L25" s="204"/>
      <c r="M25" s="204"/>
      <c r="N25" s="204"/>
      <c r="O25" s="204"/>
      <c r="P25" s="204"/>
      <c r="Q25" s="204"/>
      <c r="R25" s="204"/>
      <c r="S25" s="206" t="str">
        <f>""</f>
      </c>
      <c r="T25" s="206"/>
      <c r="U25" s="206"/>
      <c r="V25" s="206"/>
      <c r="W25" s="191"/>
      <c r="X25" s="191"/>
      <c r="Y25" s="205" t="s">
        <v>165</v>
      </c>
      <c r="Z25" s="205"/>
      <c r="AA25" s="204" t="s">
        <v>206</v>
      </c>
      <c r="AB25" s="204"/>
      <c r="AC25" s="204"/>
      <c r="AD25" s="204"/>
      <c r="AE25" s="204"/>
      <c r="AF25" s="204"/>
      <c r="AG25" s="204"/>
      <c r="AH25" s="204"/>
      <c r="AI25" s="204"/>
      <c r="AJ25" s="204"/>
      <c r="AK25" s="204"/>
      <c r="AL25" s="204"/>
      <c r="AM25" s="204"/>
      <c r="AN25" s="204"/>
      <c r="AO25" s="206" t="str">
        <f>""</f>
      </c>
      <c r="AP25" s="206"/>
      <c r="AQ25" s="206"/>
      <c r="AR25" s="206"/>
    </row>
    <row r="26" customFormat="false" ht="16.5" hidden="false" customHeight="true" outlineLevel="0" collapsed="false">
      <c r="A26" s="209" t="s">
        <v>207</v>
      </c>
      <c r="B26" s="209"/>
      <c r="C26" s="188" t="s">
        <v>165</v>
      </c>
      <c r="D26" s="188"/>
      <c r="E26" s="204" t="s">
        <v>208</v>
      </c>
      <c r="F26" s="204"/>
      <c r="G26" s="204"/>
      <c r="H26" s="204"/>
      <c r="I26" s="204"/>
      <c r="J26" s="204"/>
      <c r="K26" s="204"/>
      <c r="L26" s="204"/>
      <c r="M26" s="204"/>
      <c r="N26" s="204"/>
      <c r="O26" s="204"/>
      <c r="P26" s="204"/>
      <c r="Q26" s="204"/>
      <c r="R26" s="204"/>
      <c r="S26" s="206" t="str">
        <f>""</f>
      </c>
      <c r="T26" s="206"/>
      <c r="U26" s="206"/>
      <c r="V26" s="206"/>
      <c r="W26" s="191"/>
      <c r="X26" s="191"/>
      <c r="Y26" s="205" t="s">
        <v>165</v>
      </c>
      <c r="Z26" s="205"/>
      <c r="AA26" s="204" t="s">
        <v>209</v>
      </c>
      <c r="AB26" s="204"/>
      <c r="AC26" s="204"/>
      <c r="AD26" s="204"/>
      <c r="AE26" s="204"/>
      <c r="AF26" s="204"/>
      <c r="AG26" s="204"/>
      <c r="AH26" s="204"/>
      <c r="AI26" s="204"/>
      <c r="AJ26" s="204"/>
      <c r="AK26" s="204"/>
      <c r="AL26" s="204"/>
      <c r="AM26" s="204"/>
      <c r="AN26" s="204"/>
      <c r="AO26" s="206" t="str">
        <f>""</f>
      </c>
      <c r="AP26" s="206"/>
      <c r="AQ26" s="206"/>
      <c r="AR26" s="206"/>
    </row>
    <row r="27" customFormat="false" ht="16.5" hidden="false" customHeight="true" outlineLevel="0" collapsed="false">
      <c r="A27" s="209"/>
      <c r="B27" s="209"/>
      <c r="C27" s="207" t="s">
        <v>165</v>
      </c>
      <c r="D27" s="207"/>
      <c r="E27" s="204" t="s">
        <v>210</v>
      </c>
      <c r="F27" s="204"/>
      <c r="G27" s="204"/>
      <c r="H27" s="204"/>
      <c r="I27" s="204"/>
      <c r="J27" s="204"/>
      <c r="K27" s="204"/>
      <c r="L27" s="204"/>
      <c r="M27" s="204"/>
      <c r="N27" s="204"/>
      <c r="O27" s="204"/>
      <c r="P27" s="204"/>
      <c r="Q27" s="204"/>
      <c r="R27" s="204"/>
      <c r="S27" s="206" t="str">
        <f>""</f>
      </c>
      <c r="T27" s="206"/>
      <c r="U27" s="206"/>
      <c r="V27" s="206"/>
      <c r="W27" s="210" t="s">
        <v>211</v>
      </c>
      <c r="X27" s="210"/>
      <c r="Y27" s="205" t="s">
        <v>165</v>
      </c>
      <c r="Z27" s="205"/>
      <c r="AA27" s="204" t="s">
        <v>212</v>
      </c>
      <c r="AB27" s="204"/>
      <c r="AC27" s="204"/>
      <c r="AD27" s="204"/>
      <c r="AE27" s="204"/>
      <c r="AF27" s="204"/>
      <c r="AG27" s="204"/>
      <c r="AH27" s="204"/>
      <c r="AI27" s="204"/>
      <c r="AJ27" s="204"/>
      <c r="AK27" s="204"/>
      <c r="AL27" s="204"/>
      <c r="AM27" s="204"/>
      <c r="AN27" s="204"/>
      <c r="AO27" s="206" t="str">
        <f>""</f>
      </c>
      <c r="AP27" s="206"/>
      <c r="AQ27" s="206"/>
      <c r="AR27" s="206"/>
    </row>
    <row r="28" customFormat="false" ht="16.5" hidden="false" customHeight="true" outlineLevel="0" collapsed="false">
      <c r="A28" s="209"/>
      <c r="B28" s="209"/>
      <c r="C28" s="207" t="inlineStr">
        <is>
          <t xml:space="preserve">[  ]</t>
        </is>
      </c>
      <c r="D28" s="207"/>
      <c r="E28" s="204" t="s">
        <v>213</v>
      </c>
      <c r="F28" s="204"/>
      <c r="G28" s="204"/>
      <c r="H28" s="204"/>
      <c r="I28" s="204"/>
      <c r="J28" s="204"/>
      <c r="K28" s="204"/>
      <c r="L28" s="204"/>
      <c r="M28" s="204"/>
      <c r="N28" s="204"/>
      <c r="O28" s="204"/>
      <c r="P28" s="204"/>
      <c r="Q28" s="204"/>
      <c r="R28" s="204"/>
      <c r="S28" s="206" t="str">
        <f>""</f>
      </c>
      <c r="T28" s="206"/>
      <c r="U28" s="206"/>
      <c r="V28" s="206"/>
      <c r="W28" s="210"/>
      <c r="X28" s="210"/>
      <c r="Y28" s="205" t="inlineStr">
        <is>
          <t xml:space="preserve">[  ]</t>
        </is>
      </c>
      <c r="Z28" s="205"/>
      <c r="AA28" s="204" t="s">
        <v>214</v>
      </c>
      <c r="AB28" s="204"/>
      <c r="AC28" s="204"/>
      <c r="AD28" s="204"/>
      <c r="AE28" s="204"/>
      <c r="AF28" s="204"/>
      <c r="AG28" s="204"/>
      <c r="AH28" s="204"/>
      <c r="AI28" s="204"/>
      <c r="AJ28" s="204"/>
      <c r="AK28" s="204"/>
      <c r="AL28" s="204"/>
      <c r="AM28" s="204"/>
      <c r="AN28" s="204"/>
      <c r="AO28" s="206" t="str">
        <f>""</f>
      </c>
      <c r="AP28" s="206"/>
      <c r="AQ28" s="206"/>
      <c r="AR28" s="206"/>
    </row>
    <row r="29" customFormat="false" ht="16.5" hidden="false" customHeight="true" outlineLevel="0" collapsed="false">
      <c r="A29" s="209"/>
      <c r="B29" s="209"/>
      <c r="C29" s="207" t="s">
        <v>165</v>
      </c>
      <c r="D29" s="207"/>
      <c r="E29" s="204" t="s">
        <v>215</v>
      </c>
      <c r="F29" s="204"/>
      <c r="G29" s="204"/>
      <c r="H29" s="204"/>
      <c r="I29" s="204"/>
      <c r="J29" s="204"/>
      <c r="K29" s="204"/>
      <c r="L29" s="204"/>
      <c r="M29" s="204"/>
      <c r="N29" s="204"/>
      <c r="O29" s="204"/>
      <c r="P29" s="204"/>
      <c r="Q29" s="204"/>
      <c r="R29" s="204"/>
      <c r="S29" s="206" t="str">
        <f>""</f>
      </c>
      <c r="T29" s="206"/>
      <c r="U29" s="206"/>
      <c r="V29" s="206"/>
      <c r="W29" s="210"/>
      <c r="X29" s="210"/>
      <c r="Y29" s="205" t="s">
        <v>165</v>
      </c>
      <c r="Z29" s="205"/>
      <c r="AA29" s="204" t="s">
        <v>216</v>
      </c>
      <c r="AB29" s="204"/>
      <c r="AC29" s="204"/>
      <c r="AD29" s="204"/>
      <c r="AE29" s="204"/>
      <c r="AF29" s="204"/>
      <c r="AG29" s="204"/>
      <c r="AH29" s="204"/>
      <c r="AI29" s="204"/>
      <c r="AJ29" s="204"/>
      <c r="AK29" s="204"/>
      <c r="AL29" s="204"/>
      <c r="AM29" s="204"/>
      <c r="AN29" s="204"/>
      <c r="AO29" s="206" t="str">
        <f>""</f>
      </c>
      <c r="AP29" s="206"/>
      <c r="AQ29" s="206"/>
      <c r="AR29" s="206"/>
    </row>
    <row r="30" customFormat="false" ht="16.5" hidden="false" customHeight="true" outlineLevel="0" collapsed="false">
      <c r="A30" s="209"/>
      <c r="B30" s="209"/>
      <c r="C30" s="207" t="s">
        <v>165</v>
      </c>
      <c r="D30" s="207"/>
      <c r="E30" s="204" t="s">
        <v>217</v>
      </c>
      <c r="F30" s="204"/>
      <c r="G30" s="204"/>
      <c r="H30" s="204"/>
      <c r="I30" s="204"/>
      <c r="J30" s="204"/>
      <c r="K30" s="204"/>
      <c r="L30" s="204"/>
      <c r="M30" s="204"/>
      <c r="N30" s="204"/>
      <c r="O30" s="204"/>
      <c r="P30" s="204"/>
      <c r="Q30" s="204"/>
      <c r="R30" s="204"/>
      <c r="S30" s="206" t="str">
        <f>""</f>
      </c>
      <c r="T30" s="206"/>
      <c r="U30" s="206"/>
      <c r="V30" s="206"/>
      <c r="W30" s="211" t="s">
        <v>218</v>
      </c>
      <c r="X30" s="211"/>
      <c r="Y30" s="212"/>
      <c r="Z30" s="212"/>
      <c r="AA30" s="212"/>
      <c r="AB30" s="212"/>
      <c r="AC30" s="212"/>
      <c r="AD30" s="212"/>
      <c r="AE30" s="212"/>
      <c r="AF30" s="212"/>
      <c r="AG30" s="212"/>
      <c r="AH30" s="212"/>
      <c r="AI30" s="212"/>
      <c r="AJ30" s="212"/>
      <c r="AK30" s="212"/>
      <c r="AL30" s="212"/>
      <c r="AM30" s="212"/>
      <c r="AN30" s="212"/>
      <c r="AO30" s="212"/>
      <c r="AP30" s="212"/>
      <c r="AQ30" s="212"/>
      <c r="AR30" s="212"/>
    </row>
    <row r="31" customFormat="false" ht="16.5" hidden="false" customHeight="true" outlineLevel="0" collapsed="false">
      <c r="A31" s="209"/>
      <c r="B31" s="209"/>
      <c r="C31" s="207" t="s">
        <v>165</v>
      </c>
      <c r="D31" s="207"/>
      <c r="E31" s="204" t="s">
        <v>219</v>
      </c>
      <c r="F31" s="204"/>
      <c r="G31" s="204"/>
      <c r="H31" s="204"/>
      <c r="I31" s="204"/>
      <c r="J31" s="204"/>
      <c r="K31" s="204"/>
      <c r="L31" s="204"/>
      <c r="M31" s="204"/>
      <c r="N31" s="204"/>
      <c r="O31" s="204"/>
      <c r="P31" s="204"/>
      <c r="Q31" s="204"/>
      <c r="R31" s="204"/>
      <c r="S31" s="206" t="str">
        <f>""</f>
      </c>
      <c r="T31" s="206"/>
      <c r="U31" s="206"/>
      <c r="V31" s="206"/>
      <c r="W31" s="211"/>
      <c r="X31" s="211"/>
      <c r="Y31" s="212"/>
      <c r="Z31" s="212"/>
      <c r="AA31" s="212"/>
      <c r="AB31" s="212"/>
      <c r="AC31" s="212"/>
      <c r="AD31" s="212"/>
      <c r="AE31" s="212"/>
      <c r="AF31" s="212"/>
      <c r="AG31" s="212"/>
      <c r="AH31" s="212"/>
      <c r="AI31" s="212"/>
      <c r="AJ31" s="212"/>
      <c r="AK31" s="212"/>
      <c r="AL31" s="212"/>
      <c r="AM31" s="212"/>
      <c r="AN31" s="212"/>
      <c r="AO31" s="212"/>
      <c r="AP31" s="212"/>
      <c r="AQ31" s="212"/>
      <c r="AR31" s="212"/>
    </row>
    <row r="32" customFormat="false" ht="16.5" hidden="false" customHeight="true" outlineLevel="0" collapsed="false">
      <c r="A32" s="209"/>
      <c r="B32" s="209"/>
      <c r="C32" s="207" t="s">
        <v>165</v>
      </c>
      <c r="D32" s="207"/>
      <c r="E32" s="204" t="s">
        <v>220</v>
      </c>
      <c r="F32" s="204"/>
      <c r="G32" s="204"/>
      <c r="H32" s="204"/>
      <c r="I32" s="204"/>
      <c r="J32" s="204"/>
      <c r="K32" s="204"/>
      <c r="L32" s="204"/>
      <c r="M32" s="204"/>
      <c r="N32" s="204"/>
      <c r="O32" s="204"/>
      <c r="P32" s="204"/>
      <c r="Q32" s="204"/>
      <c r="R32" s="204"/>
      <c r="S32" s="206" t="str">
        <f>""</f>
      </c>
      <c r="T32" s="206"/>
      <c r="U32" s="206"/>
      <c r="V32" s="206"/>
      <c r="W32" s="211"/>
      <c r="X32" s="211"/>
      <c r="Y32" s="212"/>
      <c r="Z32" s="212"/>
      <c r="AA32" s="212"/>
      <c r="AB32" s="212"/>
      <c r="AC32" s="212"/>
      <c r="AD32" s="212"/>
      <c r="AE32" s="212"/>
      <c r="AF32" s="212"/>
      <c r="AG32" s="212"/>
      <c r="AH32" s="212"/>
      <c r="AI32" s="212"/>
      <c r="AJ32" s="212"/>
      <c r="AK32" s="212"/>
      <c r="AL32" s="212"/>
      <c r="AM32" s="212"/>
      <c r="AN32" s="212"/>
      <c r="AO32" s="212"/>
      <c r="AP32" s="212"/>
      <c r="AQ32" s="212"/>
      <c r="AR32" s="212"/>
    </row>
    <row r="33" customFormat="false" ht="16.5" hidden="false" customHeight="true" outlineLevel="0" collapsed="false">
      <c r="A33" s="209"/>
      <c r="B33" s="209"/>
      <c r="C33" s="212" t="s">
        <v>165</v>
      </c>
      <c r="D33" s="212"/>
      <c r="E33" s="213" t="s">
        <v>221</v>
      </c>
      <c r="F33" s="213"/>
      <c r="G33" s="213"/>
      <c r="H33" s="213"/>
      <c r="I33" s="213"/>
      <c r="J33" s="213"/>
      <c r="K33" s="213"/>
      <c r="L33" s="213"/>
      <c r="M33" s="213"/>
      <c r="N33" s="213"/>
      <c r="O33" s="213"/>
      <c r="P33" s="213"/>
      <c r="Q33" s="213"/>
      <c r="R33" s="213"/>
      <c r="S33" s="214" t="str">
        <f>""</f>
      </c>
      <c r="T33" s="214"/>
      <c r="U33" s="214"/>
      <c r="V33" s="214"/>
      <c r="W33" s="211"/>
      <c r="X33" s="211"/>
      <c r="Y33" s="212"/>
      <c r="Z33" s="212"/>
      <c r="AA33" s="212"/>
      <c r="AB33" s="212"/>
      <c r="AC33" s="212"/>
      <c r="AD33" s="212"/>
      <c r="AE33" s="212"/>
      <c r="AF33" s="212"/>
      <c r="AG33" s="212"/>
      <c r="AH33" s="212"/>
      <c r="AI33" s="212"/>
      <c r="AJ33" s="212"/>
      <c r="AK33" s="212"/>
      <c r="AL33" s="212"/>
      <c r="AM33" s="212"/>
      <c r="AN33" s="212"/>
      <c r="AO33" s="212"/>
      <c r="AP33" s="212"/>
      <c r="AQ33" s="212"/>
      <c r="AR33" s="212"/>
    </row>
    <row r="34" customFormat="false" ht="12" hidden="false" customHeight="true" outlineLevel="0" collapsed="false">
      <c r="A34" s="215"/>
      <c r="B34" s="215"/>
      <c r="C34" s="215"/>
      <c r="D34" s="215"/>
      <c r="E34" s="216"/>
      <c r="F34" s="216"/>
      <c r="G34" s="216"/>
      <c r="H34" s="216"/>
      <c r="I34" s="216"/>
      <c r="J34" s="216"/>
      <c r="K34" s="216"/>
      <c r="L34" s="216"/>
      <c r="M34" s="216"/>
      <c r="N34" s="216"/>
      <c r="O34" s="216"/>
      <c r="P34" s="216"/>
      <c r="Q34" s="216"/>
      <c r="R34" s="217"/>
      <c r="S34" s="218"/>
      <c r="T34" s="218"/>
      <c r="U34" s="218"/>
      <c r="V34" s="218"/>
      <c r="W34" s="192"/>
      <c r="X34" s="192"/>
      <c r="Y34" s="216"/>
      <c r="Z34" s="216"/>
      <c r="AA34" s="216"/>
      <c r="AB34" s="216"/>
      <c r="AC34" s="216"/>
      <c r="AD34" s="216"/>
      <c r="AE34" s="216"/>
      <c r="AF34" s="216"/>
      <c r="AG34" s="216"/>
      <c r="AH34" s="216"/>
      <c r="AI34" s="216"/>
      <c r="AJ34" s="216"/>
      <c r="AK34" s="216"/>
      <c r="AL34" s="216"/>
      <c r="AM34" s="216"/>
      <c r="AN34" s="216"/>
      <c r="AO34" s="216"/>
      <c r="AP34" s="216"/>
      <c r="AQ34" s="216"/>
      <c r="AR34" s="216"/>
    </row>
    <row r="35" customFormat="false" ht="18.75" hidden="false" customHeight="true" outlineLevel="0" collapsed="false">
      <c r="A35" s="219" t="s">
        <v>222</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row>
    <row r="36" customFormat="false" ht="15" hidden="false" customHeight="true" outlineLevel="0" collapsed="false">
      <c r="A36" s="184" t="s">
        <v>158</v>
      </c>
      <c r="B36" s="184"/>
      <c r="C36" s="185" t="s">
        <v>159</v>
      </c>
      <c r="D36" s="185"/>
      <c r="E36" s="185"/>
      <c r="F36" s="185"/>
      <c r="G36" s="185"/>
      <c r="H36" s="185"/>
      <c r="I36" s="185"/>
      <c r="J36" s="185"/>
      <c r="K36" s="185"/>
      <c r="L36" s="185"/>
      <c r="M36" s="185"/>
      <c r="N36" s="185"/>
      <c r="O36" s="185"/>
      <c r="P36" s="185"/>
      <c r="Q36" s="185"/>
      <c r="R36" s="185"/>
      <c r="S36" s="185" t="s">
        <v>160</v>
      </c>
      <c r="T36" s="185"/>
      <c r="U36" s="185"/>
      <c r="V36" s="185"/>
      <c r="W36" s="185" t="s">
        <v>158</v>
      </c>
      <c r="X36" s="185"/>
      <c r="Y36" s="185" t="s">
        <v>159</v>
      </c>
      <c r="Z36" s="185"/>
      <c r="AA36" s="185"/>
      <c r="AB36" s="185"/>
      <c r="AC36" s="185"/>
      <c r="AD36" s="185"/>
      <c r="AE36" s="185"/>
      <c r="AF36" s="185"/>
      <c r="AG36" s="185"/>
      <c r="AH36" s="185"/>
      <c r="AI36" s="185"/>
      <c r="AJ36" s="185"/>
      <c r="AK36" s="185"/>
      <c r="AL36" s="185"/>
      <c r="AM36" s="185"/>
      <c r="AN36" s="185"/>
      <c r="AO36" s="220" t="s">
        <v>160</v>
      </c>
      <c r="AP36" s="220"/>
      <c r="AQ36" s="220"/>
      <c r="AR36" s="220"/>
    </row>
    <row r="37" customFormat="false" ht="15" hidden="false" customHeight="true" outlineLevel="0" collapsed="false">
      <c r="A37" s="187" t="s">
        <v>161</v>
      </c>
      <c r="B37" s="187"/>
      <c r="C37" s="221" t="s">
        <v>165</v>
      </c>
      <c r="D37" s="221"/>
      <c r="E37" s="222" t="s">
        <v>223</v>
      </c>
      <c r="F37" s="222"/>
      <c r="G37" s="222"/>
      <c r="H37" s="222"/>
      <c r="I37" s="222"/>
      <c r="J37" s="222"/>
      <c r="K37" s="223"/>
      <c r="L37" s="222"/>
      <c r="M37" s="222"/>
      <c r="N37" s="224"/>
      <c r="O37" s="224"/>
      <c r="P37" s="224"/>
      <c r="Q37" s="224"/>
      <c r="R37" s="225"/>
      <c r="S37" s="226" t="str">
        <f>""</f>
      </c>
      <c r="T37" s="226"/>
      <c r="U37" s="226"/>
      <c r="V37" s="226"/>
      <c r="W37" s="227" t="s">
        <v>224</v>
      </c>
      <c r="X37" s="227"/>
      <c r="Y37" s="221" t="s">
        <v>165</v>
      </c>
      <c r="Z37" s="221"/>
      <c r="AA37" s="222" t="s">
        <v>225</v>
      </c>
      <c r="AB37" s="222"/>
      <c r="AC37" s="222"/>
      <c r="AD37" s="222"/>
      <c r="AE37" s="222"/>
      <c r="AF37" s="222"/>
      <c r="AG37" s="222"/>
      <c r="AH37" s="222"/>
      <c r="AI37" s="222"/>
      <c r="AJ37" s="222"/>
      <c r="AK37" s="222"/>
      <c r="AL37" s="222"/>
      <c r="AM37" s="222"/>
      <c r="AN37" s="225"/>
      <c r="AO37" s="228" t="str">
        <f>""</f>
      </c>
      <c r="AP37" s="228"/>
      <c r="AQ37" s="228"/>
      <c r="AR37" s="228"/>
    </row>
    <row r="38" customFormat="false" ht="15" hidden="false" customHeight="true" outlineLevel="0" collapsed="false">
      <c r="A38" s="187"/>
      <c r="B38" s="187"/>
      <c r="C38" s="229" t="s">
        <v>165</v>
      </c>
      <c r="D38" s="229"/>
      <c r="E38" s="202" t="s">
        <v>181</v>
      </c>
      <c r="F38" s="202"/>
      <c r="G38" s="202"/>
      <c r="H38" s="202"/>
      <c r="I38" s="202"/>
      <c r="J38" s="202"/>
      <c r="K38" s="230"/>
      <c r="L38" s="202"/>
      <c r="M38" s="202"/>
      <c r="N38" s="231"/>
      <c r="O38" s="231"/>
      <c r="P38" s="231"/>
      <c r="Q38" s="231"/>
      <c r="R38" s="232"/>
      <c r="S38" s="233" t="str">
        <f>""</f>
      </c>
      <c r="T38" s="233"/>
      <c r="U38" s="233"/>
      <c r="V38" s="233"/>
      <c r="W38" s="227"/>
      <c r="X38" s="227"/>
      <c r="Y38" s="229" t="s">
        <v>165</v>
      </c>
      <c r="Z38" s="229"/>
      <c r="AA38" s="202" t="s">
        <v>226</v>
      </c>
      <c r="AB38" s="202"/>
      <c r="AC38" s="202"/>
      <c r="AD38" s="202"/>
      <c r="AE38" s="202"/>
      <c r="AF38" s="202"/>
      <c r="AG38" s="202"/>
      <c r="AH38" s="202"/>
      <c r="AI38" s="202"/>
      <c r="AJ38" s="202"/>
      <c r="AK38" s="202"/>
      <c r="AL38" s="202"/>
      <c r="AM38" s="202"/>
      <c r="AN38" s="232"/>
      <c r="AO38" s="201" t="str">
        <f>""</f>
      </c>
      <c r="AP38" s="201"/>
      <c r="AQ38" s="201"/>
      <c r="AR38" s="201"/>
    </row>
    <row r="39" customFormat="false" ht="15" hidden="false" customHeight="true" outlineLevel="0" collapsed="false">
      <c r="A39" s="187" t="s">
        <v>207</v>
      </c>
      <c r="B39" s="187"/>
      <c r="C39" s="221" t="s">
        <v>165</v>
      </c>
      <c r="D39" s="221"/>
      <c r="E39" s="222" t="s">
        <v>227</v>
      </c>
      <c r="F39" s="222"/>
      <c r="G39" s="222"/>
      <c r="H39" s="222"/>
      <c r="I39" s="222"/>
      <c r="J39" s="222"/>
      <c r="K39" s="222"/>
      <c r="L39" s="222"/>
      <c r="M39" s="222"/>
      <c r="N39" s="222"/>
      <c r="O39" s="222"/>
      <c r="P39" s="222"/>
      <c r="Q39" s="222"/>
      <c r="R39" s="225"/>
      <c r="S39" s="226" t="str">
        <f>""</f>
      </c>
      <c r="T39" s="226"/>
      <c r="U39" s="226"/>
      <c r="V39" s="226"/>
      <c r="W39" s="210" t="s">
        <v>211</v>
      </c>
      <c r="X39" s="210"/>
      <c r="Y39" s="221" t="s">
        <v>165</v>
      </c>
      <c r="Z39" s="221"/>
      <c r="AA39" s="222" t="s">
        <v>228</v>
      </c>
      <c r="AB39" s="222"/>
      <c r="AC39" s="222"/>
      <c r="AD39" s="222"/>
      <c r="AE39" s="222"/>
      <c r="AF39" s="222"/>
      <c r="AG39" s="222"/>
      <c r="AH39" s="222"/>
      <c r="AI39" s="222"/>
      <c r="AJ39" s="222"/>
      <c r="AK39" s="222"/>
      <c r="AL39" s="222"/>
      <c r="AM39" s="222"/>
      <c r="AN39" s="225"/>
      <c r="AO39" s="228" t="str">
        <f>""</f>
      </c>
      <c r="AP39" s="228"/>
      <c r="AQ39" s="228"/>
      <c r="AR39" s="228"/>
    </row>
    <row r="40" customFormat="false" ht="15" hidden="false" customHeight="true" outlineLevel="0" collapsed="false">
      <c r="A40" s="187"/>
      <c r="B40" s="187"/>
      <c r="C40" s="229" t="s">
        <v>165</v>
      </c>
      <c r="D40" s="229"/>
      <c r="E40" s="202" t="s">
        <v>221</v>
      </c>
      <c r="F40" s="202"/>
      <c r="G40" s="202"/>
      <c r="H40" s="202"/>
      <c r="I40" s="202"/>
      <c r="J40" s="202"/>
      <c r="K40" s="202"/>
      <c r="L40" s="202"/>
      <c r="M40" s="202"/>
      <c r="N40" s="202"/>
      <c r="O40" s="202"/>
      <c r="P40" s="202"/>
      <c r="Q40" s="202"/>
      <c r="R40" s="232"/>
      <c r="S40" s="233" t="str">
        <f>""</f>
      </c>
      <c r="T40" s="233"/>
      <c r="U40" s="233"/>
      <c r="V40" s="233"/>
      <c r="W40" s="210"/>
      <c r="X40" s="210"/>
      <c r="Y40" s="188" t="s">
        <v>165</v>
      </c>
      <c r="Z40" s="188"/>
      <c r="AA40" s="197" t="s">
        <v>229</v>
      </c>
      <c r="AB40" s="197"/>
      <c r="AC40" s="197"/>
      <c r="AD40" s="197"/>
      <c r="AE40" s="197"/>
      <c r="AF40" s="197"/>
      <c r="AG40" s="197"/>
      <c r="AH40" s="197"/>
      <c r="AI40" s="197"/>
      <c r="AJ40" s="197"/>
      <c r="AK40" s="197"/>
      <c r="AL40" s="197"/>
      <c r="AM40" s="197"/>
      <c r="AN40" s="234"/>
      <c r="AO40" s="190" t="str">
        <f>""</f>
      </c>
      <c r="AP40" s="190"/>
      <c r="AQ40" s="190"/>
      <c r="AR40" s="190"/>
    </row>
    <row r="41" customFormat="false" ht="15" hidden="false" customHeight="true" outlineLevel="0" collapsed="false">
      <c r="A41" s="235" t="s">
        <v>164</v>
      </c>
      <c r="B41" s="235"/>
      <c r="C41" s="188" t="s">
        <v>165</v>
      </c>
      <c r="D41" s="188"/>
      <c r="E41" s="197" t="s">
        <v>166</v>
      </c>
      <c r="F41" s="197"/>
      <c r="G41" s="197"/>
      <c r="H41" s="197"/>
      <c r="I41" s="197"/>
      <c r="J41" s="197"/>
      <c r="K41" s="197"/>
      <c r="L41" s="197"/>
      <c r="M41" s="197"/>
      <c r="N41" s="197"/>
      <c r="O41" s="197"/>
      <c r="P41" s="197"/>
      <c r="Q41" s="197"/>
      <c r="R41" s="234"/>
      <c r="S41" s="236" t="str">
        <f>""</f>
      </c>
      <c r="T41" s="236"/>
      <c r="U41" s="236"/>
      <c r="V41" s="236"/>
      <c r="W41" s="210"/>
      <c r="X41" s="210"/>
      <c r="Y41" s="188" t="s">
        <v>165</v>
      </c>
      <c r="Z41" s="188"/>
      <c r="AA41" s="197" t="s">
        <v>230</v>
      </c>
      <c r="AB41" s="197"/>
      <c r="AC41" s="197"/>
      <c r="AD41" s="197"/>
      <c r="AE41" s="197"/>
      <c r="AF41" s="197"/>
      <c r="AG41" s="197"/>
      <c r="AH41" s="197"/>
      <c r="AI41" s="197"/>
      <c r="AJ41" s="197"/>
      <c r="AK41" s="197"/>
      <c r="AL41" s="197"/>
      <c r="AM41" s="197"/>
      <c r="AN41" s="234"/>
      <c r="AO41" s="190" t="str">
        <f>""</f>
      </c>
      <c r="AP41" s="190"/>
      <c r="AQ41" s="190"/>
      <c r="AR41" s="190"/>
    </row>
    <row r="42" customFormat="false" ht="15" hidden="false" customHeight="true" outlineLevel="0" collapsed="false">
      <c r="A42" s="235"/>
      <c r="B42" s="235"/>
      <c r="C42" s="188" t="s">
        <v>165</v>
      </c>
      <c r="D42" s="188"/>
      <c r="E42" s="197" t="s">
        <v>184</v>
      </c>
      <c r="F42" s="197"/>
      <c r="G42" s="197"/>
      <c r="H42" s="197"/>
      <c r="I42" s="197"/>
      <c r="J42" s="197"/>
      <c r="K42" s="197"/>
      <c r="L42" s="197"/>
      <c r="M42" s="197"/>
      <c r="N42" s="197"/>
      <c r="O42" s="197"/>
      <c r="P42" s="197"/>
      <c r="Q42" s="197"/>
      <c r="R42" s="234"/>
      <c r="S42" s="236" t="str">
        <f>""</f>
      </c>
      <c r="T42" s="236"/>
      <c r="U42" s="236"/>
      <c r="V42" s="236"/>
      <c r="W42" s="210"/>
      <c r="X42" s="210"/>
      <c r="Y42" s="188" t="s">
        <v>165</v>
      </c>
      <c r="Z42" s="188"/>
      <c r="AA42" s="197" t="s">
        <v>231</v>
      </c>
      <c r="AB42" s="197"/>
      <c r="AC42" s="197"/>
      <c r="AD42" s="197"/>
      <c r="AE42" s="197"/>
      <c r="AF42" s="197"/>
      <c r="AG42" s="197"/>
      <c r="AH42" s="197"/>
      <c r="AI42" s="197"/>
      <c r="AJ42" s="197"/>
      <c r="AK42" s="197"/>
      <c r="AL42" s="197"/>
      <c r="AM42" s="197"/>
      <c r="AN42" s="234"/>
      <c r="AO42" s="190" t="str">
        <f>""</f>
      </c>
      <c r="AP42" s="190"/>
      <c r="AQ42" s="190"/>
      <c r="AR42" s="190"/>
    </row>
    <row r="43" customFormat="false" ht="15" hidden="false" customHeight="true" outlineLevel="0" collapsed="false">
      <c r="A43" s="235"/>
      <c r="B43" s="235"/>
      <c r="C43" s="188" t="s">
        <v>165</v>
      </c>
      <c r="D43" s="188"/>
      <c r="E43" s="197" t="s">
        <v>232</v>
      </c>
      <c r="F43" s="197"/>
      <c r="G43" s="197"/>
      <c r="H43" s="197"/>
      <c r="I43" s="197"/>
      <c r="J43" s="197"/>
      <c r="K43" s="197"/>
      <c r="L43" s="197"/>
      <c r="M43" s="197"/>
      <c r="N43" s="197"/>
      <c r="O43" s="197"/>
      <c r="P43" s="197"/>
      <c r="Q43" s="197"/>
      <c r="R43" s="234"/>
      <c r="S43" s="236" t="str">
        <f>""</f>
      </c>
      <c r="T43" s="236"/>
      <c r="U43" s="236"/>
      <c r="V43" s="236"/>
      <c r="W43" s="210"/>
      <c r="X43" s="210"/>
      <c r="Y43" s="188" t="s">
        <v>165</v>
      </c>
      <c r="Z43" s="188"/>
      <c r="AA43" s="197" t="s">
        <v>233</v>
      </c>
      <c r="AB43" s="197"/>
      <c r="AC43" s="197"/>
      <c r="AD43" s="197"/>
      <c r="AE43" s="197"/>
      <c r="AF43" s="197"/>
      <c r="AG43" s="197"/>
      <c r="AH43" s="197"/>
      <c r="AI43" s="197"/>
      <c r="AJ43" s="197"/>
      <c r="AK43" s="197"/>
      <c r="AL43" s="197"/>
      <c r="AM43" s="197"/>
      <c r="AN43" s="234"/>
      <c r="AO43" s="237" t="str">
        <f>""</f>
      </c>
      <c r="AP43" s="237"/>
      <c r="AQ43" s="237"/>
      <c r="AR43" s="237"/>
    </row>
    <row r="44" customFormat="false" ht="15" hidden="false" customHeight="true" outlineLevel="0" collapsed="false">
      <c r="A44" s="235"/>
      <c r="B44" s="235"/>
      <c r="C44" s="229" t="s">
        <v>165</v>
      </c>
      <c r="D44" s="229"/>
      <c r="E44" s="202" t="s">
        <v>188</v>
      </c>
      <c r="F44" s="203"/>
      <c r="G44" s="203"/>
      <c r="H44" s="203"/>
      <c r="I44" s="203"/>
      <c r="J44" s="203"/>
      <c r="K44" s="203"/>
      <c r="L44" s="203"/>
      <c r="M44" s="203"/>
      <c r="N44" s="203"/>
      <c r="O44" s="203"/>
      <c r="P44" s="203"/>
      <c r="Q44" s="203"/>
      <c r="R44" s="232"/>
      <c r="S44" s="233" t="str">
        <f>""</f>
      </c>
      <c r="T44" s="233"/>
      <c r="U44" s="233"/>
      <c r="V44" s="233"/>
      <c r="W44" s="210"/>
      <c r="X44" s="210"/>
      <c r="Y44" s="229" t="s">
        <v>165</v>
      </c>
      <c r="Z44" s="229"/>
      <c r="AA44" s="202" t="s">
        <v>234</v>
      </c>
      <c r="AB44" s="202"/>
      <c r="AC44" s="202"/>
      <c r="AD44" s="202"/>
      <c r="AE44" s="202"/>
      <c r="AF44" s="202"/>
      <c r="AG44" s="202"/>
      <c r="AH44" s="202"/>
      <c r="AI44" s="202"/>
      <c r="AJ44" s="202"/>
      <c r="AK44" s="202"/>
      <c r="AL44" s="202"/>
      <c r="AM44" s="202"/>
      <c r="AN44" s="232"/>
      <c r="AO44" s="238" t="str">
        <f>""</f>
      </c>
      <c r="AP44" s="238"/>
      <c r="AQ44" s="238"/>
      <c r="AR44" s="238"/>
    </row>
    <row r="45" customFormat="false" ht="13.5" hidden="false" customHeight="false" outlineLevel="0" collapsed="false">
      <c r="A45" s="239" t="s">
        <v>218</v>
      </c>
      <c r="B45" s="239"/>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row>
  </sheetData>
  <mergeCells count="218">
    <mergeCell ref="AM1:AR1"/>
    <mergeCell ref="A2:AR2"/>
    <mergeCell ref="A3:AR3"/>
    <mergeCell ref="A4:AR4"/>
    <mergeCell ref="A5:B5"/>
    <mergeCell ref="C5:R5"/>
    <mergeCell ref="S5:V5"/>
    <mergeCell ref="W5:X5"/>
    <mergeCell ref="Y5:AN5"/>
    <mergeCell ref="AO5:AR5"/>
    <mergeCell ref="A6:B25"/>
    <mergeCell ref="C6:D6"/>
    <mergeCell ref="E6:R6"/>
    <mergeCell ref="S6:V6"/>
    <mergeCell ref="W6:X17"/>
    <mergeCell ref="Y6:Z6"/>
    <mergeCell ref="AA6:AN6"/>
    <mergeCell ref="AO6:AR6"/>
    <mergeCell ref="F7:R7"/>
    <mergeCell ref="S7:V7"/>
    <mergeCell ref="Z7:AA7"/>
    <mergeCell ref="AB7:AN7"/>
    <mergeCell ref="AO7:AR7"/>
    <mergeCell ref="D8:E8"/>
    <mergeCell ref="F8:R8"/>
    <mergeCell ref="S8:V8"/>
    <mergeCell ref="AB8:AN8"/>
    <mergeCell ref="AO8:AR8"/>
    <mergeCell ref="D9:E9"/>
    <mergeCell ref="F9:R9"/>
    <mergeCell ref="S9:V9"/>
    <mergeCell ref="Z9:AA9"/>
    <mergeCell ref="AB9:AN9"/>
    <mergeCell ref="AO9:AR9"/>
    <mergeCell ref="D10:E10"/>
    <mergeCell ref="F10:R10"/>
    <mergeCell ref="S10:V10"/>
    <mergeCell ref="Z10:AA10"/>
    <mergeCell ref="AB10:AN10"/>
    <mergeCell ref="AO10:AR10"/>
    <mergeCell ref="D11:E11"/>
    <mergeCell ref="F11:R11"/>
    <mergeCell ref="S11:V11"/>
    <mergeCell ref="AB11:AN11"/>
    <mergeCell ref="AO11:AR11"/>
    <mergeCell ref="C12:D12"/>
    <mergeCell ref="E12:R12"/>
    <mergeCell ref="S12:V12"/>
    <mergeCell ref="Y12:Z12"/>
    <mergeCell ref="AA12:AN12"/>
    <mergeCell ref="AO12:AR12"/>
    <mergeCell ref="C13:D13"/>
    <mergeCell ref="E13:R13"/>
    <mergeCell ref="S13:V13"/>
    <mergeCell ref="Y13:Z13"/>
    <mergeCell ref="AA13:AN13"/>
    <mergeCell ref="AO13:AR13"/>
    <mergeCell ref="C14:D14"/>
    <mergeCell ref="E14:R14"/>
    <mergeCell ref="S14:V14"/>
    <mergeCell ref="Y14:Z14"/>
    <mergeCell ref="AA14:AN14"/>
    <mergeCell ref="AO14:AR14"/>
    <mergeCell ref="C15:D15"/>
    <mergeCell ref="E15:R15"/>
    <mergeCell ref="S15:V15"/>
    <mergeCell ref="Y15:Z15"/>
    <mergeCell ref="AA15:AN15"/>
    <mergeCell ref="AO15:AR15"/>
    <mergeCell ref="C16:D16"/>
    <mergeCell ref="E16:R16"/>
    <mergeCell ref="S16:V16"/>
    <mergeCell ref="Y16:Z16"/>
    <mergeCell ref="AA16:AN16"/>
    <mergeCell ref="AO16:AR16"/>
    <mergeCell ref="C17:D17"/>
    <mergeCell ref="E17:R17"/>
    <mergeCell ref="S17:V17"/>
    <mergeCell ref="Y17:Z17"/>
    <mergeCell ref="AA17:AN17"/>
    <mergeCell ref="AO17:AR17"/>
    <mergeCell ref="C18:D18"/>
    <mergeCell ref="E18:R18"/>
    <mergeCell ref="S18:V18"/>
    <mergeCell ref="W18:X19"/>
    <mergeCell ref="Y18:Z18"/>
    <mergeCell ref="AA18:AN18"/>
    <mergeCell ref="AO18:AR18"/>
    <mergeCell ref="C19:D19"/>
    <mergeCell ref="E19:R19"/>
    <mergeCell ref="S19:V19"/>
    <mergeCell ref="Y19:Z19"/>
    <mergeCell ref="AA19:AN19"/>
    <mergeCell ref="AO19:AR19"/>
    <mergeCell ref="C20:D20"/>
    <mergeCell ref="E20:R20"/>
    <mergeCell ref="S20:V20"/>
    <mergeCell ref="W20:X26"/>
    <mergeCell ref="Y20:Z20"/>
    <mergeCell ref="AA20:AN20"/>
    <mergeCell ref="AO20:AR20"/>
    <mergeCell ref="C21:D21"/>
    <mergeCell ref="E21:R21"/>
    <mergeCell ref="S21:V21"/>
    <mergeCell ref="Y21:Z21"/>
    <mergeCell ref="AA21:AN21"/>
    <mergeCell ref="AO21:AR21"/>
    <mergeCell ref="C22:D22"/>
    <mergeCell ref="E22:R22"/>
    <mergeCell ref="S22:V22"/>
    <mergeCell ref="Y22:Z22"/>
    <mergeCell ref="AA22:AN22"/>
    <mergeCell ref="AO22:AR22"/>
    <mergeCell ref="C23:D23"/>
    <mergeCell ref="E23:R23"/>
    <mergeCell ref="S23:V23"/>
    <mergeCell ref="Y23:Z23"/>
    <mergeCell ref="AA23:AN23"/>
    <mergeCell ref="AO23:AR23"/>
    <mergeCell ref="C24:D24"/>
    <mergeCell ref="E24:R24"/>
    <mergeCell ref="S24:V24"/>
    <mergeCell ref="Y24:Z24"/>
    <mergeCell ref="AA24:AN24"/>
    <mergeCell ref="AO24:AR24"/>
    <mergeCell ref="C25:D25"/>
    <mergeCell ref="E25:R25"/>
    <mergeCell ref="S25:V25"/>
    <mergeCell ref="Y25:Z25"/>
    <mergeCell ref="AA25:AN25"/>
    <mergeCell ref="AO25:AR25"/>
    <mergeCell ref="A26:B33"/>
    <mergeCell ref="C26:D26"/>
    <mergeCell ref="E26:R26"/>
    <mergeCell ref="S26:V26"/>
    <mergeCell ref="Y26:Z26"/>
    <mergeCell ref="AA26:AN26"/>
    <mergeCell ref="AO26:AR26"/>
    <mergeCell ref="C27:D27"/>
    <mergeCell ref="E27:R27"/>
    <mergeCell ref="S27:V27"/>
    <mergeCell ref="W27:X29"/>
    <mergeCell ref="Y27:Z27"/>
    <mergeCell ref="AA27:AN27"/>
    <mergeCell ref="AO27:AR27"/>
    <mergeCell ref="C28:D28"/>
    <mergeCell ref="E28:R28"/>
    <mergeCell ref="S28:V28"/>
    <mergeCell ref="Y28:Z28"/>
    <mergeCell ref="AA28:AN28"/>
    <mergeCell ref="AO28:AR28"/>
    <mergeCell ref="C29:D29"/>
    <mergeCell ref="E29:R29"/>
    <mergeCell ref="S29:V29"/>
    <mergeCell ref="Y29:Z29"/>
    <mergeCell ref="AA29:AN29"/>
    <mergeCell ref="AO29:AR29"/>
    <mergeCell ref="C30:D30"/>
    <mergeCell ref="E30:R30"/>
    <mergeCell ref="S30:V30"/>
    <mergeCell ref="W30:X33"/>
    <mergeCell ref="Y30:AR33"/>
    <mergeCell ref="C31:D31"/>
    <mergeCell ref="E31:R31"/>
    <mergeCell ref="S31:V31"/>
    <mergeCell ref="C32:D32"/>
    <mergeCell ref="E32:R32"/>
    <mergeCell ref="S32:V32"/>
    <mergeCell ref="C33:D33"/>
    <mergeCell ref="E33:R33"/>
    <mergeCell ref="S33:V33"/>
    <mergeCell ref="A35:R35"/>
    <mergeCell ref="S35:AR35"/>
    <mergeCell ref="A36:B36"/>
    <mergeCell ref="C36:R36"/>
    <mergeCell ref="S36:V36"/>
    <mergeCell ref="W36:X36"/>
    <mergeCell ref="Y36:AN36"/>
    <mergeCell ref="AO36:AR36"/>
    <mergeCell ref="A37:B38"/>
    <mergeCell ref="C37:D37"/>
    <mergeCell ref="S37:V37"/>
    <mergeCell ref="W37:X38"/>
    <mergeCell ref="Y37:Z37"/>
    <mergeCell ref="AO37:AR37"/>
    <mergeCell ref="C38:D38"/>
    <mergeCell ref="S38:V38"/>
    <mergeCell ref="Y38:Z38"/>
    <mergeCell ref="AO38:AR38"/>
    <mergeCell ref="A39:B40"/>
    <mergeCell ref="C39:D39"/>
    <mergeCell ref="S39:V39"/>
    <mergeCell ref="W39:X44"/>
    <mergeCell ref="Y39:Z39"/>
    <mergeCell ref="AO39:AR39"/>
    <mergeCell ref="C40:D40"/>
    <mergeCell ref="S40:V40"/>
    <mergeCell ref="Y40:Z40"/>
    <mergeCell ref="AO40:AR40"/>
    <mergeCell ref="A41:B44"/>
    <mergeCell ref="C41:D41"/>
    <mergeCell ref="S41:V41"/>
    <mergeCell ref="Y41:Z41"/>
    <mergeCell ref="AO41:AR41"/>
    <mergeCell ref="C42:D42"/>
    <mergeCell ref="S42:V42"/>
    <mergeCell ref="Y42:Z42"/>
    <mergeCell ref="AO42:AR42"/>
    <mergeCell ref="C43:D43"/>
    <mergeCell ref="S43:V43"/>
    <mergeCell ref="Y43:Z43"/>
    <mergeCell ref="AO43:AR43"/>
    <mergeCell ref="C44:D44"/>
    <mergeCell ref="S44:V44"/>
    <mergeCell ref="Y44:Z44"/>
    <mergeCell ref="AO44:AR44"/>
    <mergeCell ref="A45:B45"/>
    <mergeCell ref="C45:AR45"/>
  </mergeCells>
  <dataValidations count="2">
    <dataValidation allowBlank="true" errorStyle="stop" operator="between" showDropDown="false" showErrorMessage="true" showInputMessage="false" sqref="C6 Y6 D7:D11 Z7 Z9:Z10 C12:C30 Y12:Y29 C31:C34 C37:C43 L37:L38 Y37:Y44 M41:M42 C44" type="list">
      <formula1>"[  ],[√]"</formula1>
      <formula2>0</formula2>
    </dataValidation>
    <dataValidation allowBlank="true" errorStyle="stop" operator="between" showDropDown="false" showErrorMessage="true" showInputMessage="false" sqref="S7:S30 AO7 AO9:AO10 AO12:AO29 S31:S34 S37:S44 AO37:AO44" type="list">
      <formula1>"○,×,/"</formula1>
      <formula2>0</formula2>
    </dataValidation>
  </dataValidations>
  <printOptions headings="false" gridLines="false" gridLinesSet="true" horizontalCentered="false" verticalCentered="false"/>
  <pageMargins left="0.5118110236220472" right="0.31496062992125984" top="0.7480314960629921" bottom="0.7480314960629921" header="0.31496062992125984" footer="0.31496062992125984"/>
  <pageSetup paperSize="9" scale="9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T38"/>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G9" activeCellId="0" sqref="G9:H9"/>
    </sheetView>
  </sheetViews>
  <sheetFormatPr defaultColWidth="8.88671875" defaultRowHeight="13.5" customHeight="false" zeroHeight="false" outlineLevelRow="0" outlineLevelCol="0"/>
  <cols>
    <col collapsed="false" customWidth="true" hidden="false" outlineLevel="0" max="1" min="1" style="241" width="10.99"/>
    <col collapsed="false" customWidth="true" hidden="false" outlineLevel="0" max="3" min="2" style="241" width="3.55"/>
    <col collapsed="false" customWidth="true" hidden="false" outlineLevel="0" max="4" min="4" style="241" width="1.66"/>
    <col collapsed="false" customWidth="true" hidden="false" outlineLevel="0" max="5" min="5" style="241" width="0.88"/>
    <col collapsed="false" customWidth="true" hidden="false" outlineLevel="0" max="6" min="6" style="241" width="0.78"/>
    <col collapsed="false" customWidth="true" hidden="false" outlineLevel="0" max="7" min="7" style="241" width="3.66"/>
    <col collapsed="false" customWidth="true" hidden="false" outlineLevel="0" max="8" min="8" style="241" width="7.21"/>
    <col collapsed="false" customWidth="true" hidden="false" outlineLevel="0" max="9" min="9" style="241" width="3.66"/>
    <col collapsed="false" customWidth="true" hidden="false" outlineLevel="0" max="10" min="10" style="241" width="3.44"/>
    <col collapsed="false" customWidth="true" hidden="false" outlineLevel="0" max="11" min="11" style="241" width="3.21"/>
    <col collapsed="false" customWidth="true" hidden="false" outlineLevel="0" max="12" min="12" style="241" width="3.99"/>
    <col collapsed="false" customWidth="true" hidden="false" outlineLevel="0" max="13" min="13" style="241" width="7.1"/>
    <col collapsed="false" customWidth="true" hidden="false" outlineLevel="0" max="14" min="14" style="241" width="1.33"/>
    <col collapsed="false" customWidth="true" hidden="false" outlineLevel="0" max="15" min="15" style="241" width="4.44"/>
    <col collapsed="false" customWidth="true" hidden="false" outlineLevel="0" max="16" min="16" style="241" width="5.78"/>
    <col collapsed="false" customWidth="true" hidden="false" outlineLevel="0" max="17" min="17" style="241" width="1.66"/>
    <col collapsed="false" customWidth="true" hidden="false" outlineLevel="0" max="18" min="18" style="241" width="3.77"/>
    <col collapsed="false" customWidth="true" hidden="false" outlineLevel="0" max="19" min="19" style="241" width="5.33"/>
    <col collapsed="false" customWidth="true" hidden="false" outlineLevel="0" max="20" min="20" style="241" width="10.99"/>
    <col collapsed="false" customWidth="false" hidden="false" outlineLevel="0" max="257" min="21" style="241" width="8.88"/>
  </cols>
  <sheetData>
    <row r="1" customFormat="false" ht="13.5" hidden="false" customHeight="true" outlineLevel="0" collapsed="false">
      <c r="A1" s="242"/>
      <c r="B1" s="242"/>
      <c r="C1" s="242"/>
      <c r="D1" s="242"/>
      <c r="E1" s="242"/>
      <c r="F1" s="242"/>
      <c r="G1" s="242"/>
      <c r="H1" s="242"/>
      <c r="I1" s="242"/>
      <c r="J1" s="242"/>
      <c r="K1" s="242"/>
      <c r="L1" s="242"/>
      <c r="M1" s="242"/>
      <c r="N1" s="242"/>
      <c r="O1" s="242"/>
      <c r="P1" s="242"/>
      <c r="Q1" s="243"/>
      <c r="R1" s="243"/>
      <c r="S1" s="100" t="s">
        <v>235</v>
      </c>
      <c r="T1" s="100"/>
    </row>
    <row r="2" customFormat="false" ht="29.25" hidden="false" customHeight="true" outlineLevel="0" collapsed="false">
      <c r="A2" s="244" t="s">
        <v>236</v>
      </c>
      <c r="B2" s="244"/>
      <c r="C2" s="244"/>
      <c r="D2" s="244"/>
      <c r="E2" s="244"/>
      <c r="F2" s="244"/>
      <c r="G2" s="244"/>
      <c r="H2" s="244"/>
      <c r="I2" s="244"/>
      <c r="J2" s="244"/>
      <c r="K2" s="244"/>
      <c r="L2" s="244"/>
      <c r="M2" s="244"/>
      <c r="N2" s="244"/>
      <c r="O2" s="244"/>
      <c r="P2" s="244"/>
      <c r="Q2" s="244"/>
      <c r="R2" s="244"/>
      <c r="S2" s="244"/>
      <c r="T2" s="244"/>
    </row>
    <row r="3" customFormat="false" ht="20.25" hidden="false" customHeight="true" outlineLevel="0" collapsed="false">
      <c r="A3" s="129" t="s">
        <v>158</v>
      </c>
      <c r="B3" s="245"/>
      <c r="C3" s="246" t="str">
        <f aca="false">현황!D7</f>
        <v>[  ]</v>
      </c>
      <c r="D3" s="247" t="s">
        <v>237</v>
      </c>
      <c r="E3" s="247"/>
      <c r="F3" s="247"/>
      <c r="G3" s="247"/>
      <c r="H3" s="247"/>
      <c r="I3" s="248"/>
      <c r="J3" s="246" t="s">
        <v>165</v>
      </c>
      <c r="K3" s="249" t="s">
        <v>238</v>
      </c>
      <c r="L3" s="249"/>
      <c r="M3" s="249"/>
      <c r="N3" s="250"/>
      <c r="O3" s="215" t="s">
        <v>165</v>
      </c>
      <c r="P3" s="251" t="s">
        <v>239</v>
      </c>
      <c r="Q3" s="252"/>
      <c r="R3" s="215" t="s">
        <v>165</v>
      </c>
      <c r="S3" s="251" t="s">
        <v>239</v>
      </c>
      <c r="T3" s="253" t="s">
        <v>240</v>
      </c>
    </row>
    <row r="4" customFormat="false" ht="20.25" hidden="false" customHeight="true" outlineLevel="0" collapsed="false">
      <c r="A4" s="129"/>
      <c r="B4" s="207" t="inlineStr">
        <is>
          <t xml:space="preserve">[  ]</t>
        </is>
      </c>
      <c r="C4" s="133" t="s">
        <v>241</v>
      </c>
      <c r="D4" s="133"/>
      <c r="E4" s="133"/>
      <c r="F4" s="133"/>
      <c r="G4" s="207" t="s">
        <v>165</v>
      </c>
      <c r="H4" s="254" t="s">
        <v>242</v>
      </c>
      <c r="I4" s="207" t="s">
        <v>165</v>
      </c>
      <c r="J4" s="255" t="s">
        <v>243</v>
      </c>
      <c r="K4" s="255"/>
      <c r="L4" s="207" t="s">
        <v>165</v>
      </c>
      <c r="M4" s="133" t="s">
        <v>211</v>
      </c>
      <c r="N4" s="256" t="s">
        <v>244</v>
      </c>
      <c r="O4" s="256"/>
      <c r="P4" s="256"/>
      <c r="Q4" s="257" t="s">
        <v>245</v>
      </c>
      <c r="R4" s="257"/>
      <c r="S4" s="257"/>
      <c r="T4" s="253"/>
    </row>
    <row r="5" customFormat="false" ht="18" hidden="false" customHeight="true" outlineLevel="0" collapsed="false">
      <c r="A5" s="258" t="s">
        <v>246</v>
      </c>
      <c r="B5" s="136" t="n">
        <f aca="false">SUM(B7:F14)</f>
        <v>0</v>
      </c>
      <c r="C5" s="136"/>
      <c r="D5" s="136"/>
      <c r="E5" s="136"/>
      <c r="F5" s="136"/>
      <c r="G5" s="136" t="n">
        <f aca="false">SUM(G7:H14)</f>
        <v>0</v>
      </c>
      <c r="H5" s="136"/>
      <c r="I5" s="136" t="n">
        <f aca="false">SUM(I7:K14)</f>
        <v>0</v>
      </c>
      <c r="J5" s="136"/>
      <c r="K5" s="136"/>
      <c r="L5" s="133" t="n">
        <f aca="false">SUM(L7:M14)</f>
        <v>0</v>
      </c>
      <c r="M5" s="133"/>
      <c r="N5" s="136" t="n">
        <f aca="false">SUM(N7:P14)</f>
        <v>0</v>
      </c>
      <c r="O5" s="136"/>
      <c r="P5" s="136"/>
      <c r="Q5" s="136" t="n">
        <f aca="false">SUM(Q7:S14)</f>
        <v>0</v>
      </c>
      <c r="R5" s="136"/>
      <c r="S5" s="136"/>
      <c r="T5" s="259" t="s">
        <v>32</v>
      </c>
    </row>
    <row r="6" customFormat="false" ht="18" hidden="false" customHeight="true" outlineLevel="0" collapsed="false">
      <c r="A6" s="260" t="s">
        <v>247</v>
      </c>
      <c r="B6" s="136"/>
      <c r="C6" s="136"/>
      <c r="D6" s="136"/>
      <c r="E6" s="136"/>
      <c r="F6" s="136"/>
      <c r="G6" s="136"/>
      <c r="H6" s="136"/>
      <c r="I6" s="136"/>
      <c r="J6" s="136"/>
      <c r="K6" s="136"/>
      <c r="L6" s="133"/>
      <c r="M6" s="133"/>
      <c r="N6" s="136"/>
      <c r="O6" s="136"/>
      <c r="P6" s="136"/>
      <c r="Q6" s="136"/>
      <c r="R6" s="136"/>
      <c r="S6" s="136"/>
      <c r="T6" s="259"/>
    </row>
    <row r="7" customFormat="false" ht="18" hidden="false" customHeight="true" outlineLevel="0" collapsed="false">
      <c r="A7" s="261" t="n">
        <v>1</v>
      </c>
      <c r="B7" s="136"/>
      <c r="C7" s="136"/>
      <c r="D7" s="136"/>
      <c r="E7" s="136"/>
      <c r="F7" s="136"/>
      <c r="G7" s="136"/>
      <c r="H7" s="136"/>
      <c r="I7" s="136"/>
      <c r="J7" s="136"/>
      <c r="K7" s="136"/>
      <c r="L7" s="133"/>
      <c r="M7" s="133"/>
      <c r="N7" s="136"/>
      <c r="O7" s="136"/>
      <c r="P7" s="136"/>
      <c r="Q7" s="136"/>
      <c r="R7" s="136"/>
      <c r="S7" s="136"/>
      <c r="T7" s="262" t="s">
        <v>32</v>
      </c>
    </row>
    <row r="8" customFormat="false" ht="18" hidden="false" customHeight="true" outlineLevel="0" collapsed="false">
      <c r="A8" s="261" t="n">
        <v>2</v>
      </c>
      <c r="B8" s="136"/>
      <c r="C8" s="136"/>
      <c r="D8" s="136"/>
      <c r="E8" s="136"/>
      <c r="F8" s="136"/>
      <c r="G8" s="136"/>
      <c r="H8" s="136"/>
      <c r="I8" s="136"/>
      <c r="J8" s="136"/>
      <c r="K8" s="136"/>
      <c r="L8" s="133"/>
      <c r="M8" s="133"/>
      <c r="N8" s="136"/>
      <c r="O8" s="136"/>
      <c r="P8" s="136"/>
      <c r="Q8" s="136"/>
      <c r="R8" s="136"/>
      <c r="S8" s="136"/>
      <c r="T8" s="262"/>
    </row>
    <row r="9" customFormat="false" ht="18" hidden="false" customHeight="true" outlineLevel="0" collapsed="false">
      <c r="A9" s="261" t="n">
        <v>3</v>
      </c>
      <c r="B9" s="136"/>
      <c r="C9" s="136"/>
      <c r="D9" s="136"/>
      <c r="E9" s="136"/>
      <c r="F9" s="136"/>
      <c r="G9" s="136"/>
      <c r="H9" s="136"/>
      <c r="I9" s="136"/>
      <c r="J9" s="136"/>
      <c r="K9" s="136"/>
      <c r="L9" s="133"/>
      <c r="M9" s="133"/>
      <c r="N9" s="136"/>
      <c r="O9" s="136"/>
      <c r="P9" s="136"/>
      <c r="Q9" s="136"/>
      <c r="R9" s="136"/>
      <c r="S9" s="136"/>
      <c r="T9" s="262"/>
    </row>
    <row r="10" customFormat="false" ht="18" hidden="false" customHeight="true" outlineLevel="0" collapsed="false">
      <c r="A10" s="261" t="n">
        <v>4</v>
      </c>
      <c r="B10" s="136"/>
      <c r="C10" s="136"/>
      <c r="D10" s="136"/>
      <c r="E10" s="136"/>
      <c r="F10" s="136"/>
      <c r="G10" s="136"/>
      <c r="H10" s="136"/>
      <c r="I10" s="136"/>
      <c r="J10" s="136"/>
      <c r="K10" s="136"/>
      <c r="L10" s="133"/>
      <c r="M10" s="133"/>
      <c r="N10" s="136"/>
      <c r="O10" s="136"/>
      <c r="P10" s="136"/>
      <c r="Q10" s="136"/>
      <c r="R10" s="136"/>
      <c r="S10" s="136"/>
      <c r="T10" s="262"/>
    </row>
    <row r="11" customFormat="false" ht="18" hidden="false" customHeight="true" outlineLevel="0" collapsed="false">
      <c r="A11" s="261" t="n">
        <v>5</v>
      </c>
      <c r="B11" s="136"/>
      <c r="C11" s="136"/>
      <c r="D11" s="136"/>
      <c r="E11" s="136"/>
      <c r="F11" s="136"/>
      <c r="G11" s="136"/>
      <c r="H11" s="136"/>
      <c r="I11" s="136"/>
      <c r="J11" s="136"/>
      <c r="K11" s="136"/>
      <c r="L11" s="133"/>
      <c r="M11" s="133"/>
      <c r="N11" s="136"/>
      <c r="O11" s="136"/>
      <c r="P11" s="136"/>
      <c r="Q11" s="136"/>
      <c r="R11" s="136"/>
      <c r="S11" s="136"/>
      <c r="T11" s="262"/>
    </row>
    <row r="12" customFormat="false" ht="18" hidden="false" customHeight="true" outlineLevel="0" collapsed="false">
      <c r="A12" s="261" t="n">
        <v>6</v>
      </c>
      <c r="B12" s="136"/>
      <c r="C12" s="136"/>
      <c r="D12" s="136"/>
      <c r="E12" s="136"/>
      <c r="F12" s="136"/>
      <c r="G12" s="136" t="s">
        <v>32</v>
      </c>
      <c r="H12" s="136"/>
      <c r="I12" s="136"/>
      <c r="J12" s="136"/>
      <c r="K12" s="136"/>
      <c r="L12" s="133" t="s">
        <v>32</v>
      </c>
      <c r="M12" s="133"/>
      <c r="N12" s="136" t="s">
        <v>32</v>
      </c>
      <c r="O12" s="136"/>
      <c r="P12" s="136"/>
      <c r="Q12" s="136" t="s">
        <v>32</v>
      </c>
      <c r="R12" s="136"/>
      <c r="S12" s="136"/>
      <c r="T12" s="262"/>
    </row>
    <row r="13" customFormat="false" ht="18" hidden="false" customHeight="true" outlineLevel="0" collapsed="false">
      <c r="A13" s="261" t="n">
        <v>7</v>
      </c>
      <c r="B13" s="136"/>
      <c r="C13" s="136"/>
      <c r="D13" s="136"/>
      <c r="E13" s="136"/>
      <c r="F13" s="136"/>
      <c r="G13" s="136" t="s">
        <v>32</v>
      </c>
      <c r="H13" s="136"/>
      <c r="I13" s="136"/>
      <c r="J13" s="136"/>
      <c r="K13" s="136"/>
      <c r="L13" s="133" t="s">
        <v>32</v>
      </c>
      <c r="M13" s="133"/>
      <c r="N13" s="136" t="s">
        <v>32</v>
      </c>
      <c r="O13" s="136"/>
      <c r="P13" s="136"/>
      <c r="Q13" s="136" t="s">
        <v>32</v>
      </c>
      <c r="R13" s="136"/>
      <c r="S13" s="136"/>
      <c r="T13" s="262"/>
    </row>
    <row r="14" customFormat="false" ht="18" hidden="false" customHeight="true" outlineLevel="0" collapsed="false">
      <c r="A14" s="263" t="n">
        <v>8</v>
      </c>
      <c r="B14" s="264"/>
      <c r="C14" s="264"/>
      <c r="D14" s="264"/>
      <c r="E14" s="264"/>
      <c r="F14" s="264"/>
      <c r="G14" s="265" t="s">
        <v>32</v>
      </c>
      <c r="H14" s="265"/>
      <c r="I14" s="264" t="s">
        <v>32</v>
      </c>
      <c r="J14" s="264"/>
      <c r="K14" s="264"/>
      <c r="L14" s="150" t="s">
        <v>32</v>
      </c>
      <c r="M14" s="150"/>
      <c r="N14" s="264" t="s">
        <v>32</v>
      </c>
      <c r="O14" s="264"/>
      <c r="P14" s="264"/>
      <c r="Q14" s="264" t="s">
        <v>32</v>
      </c>
      <c r="R14" s="264"/>
      <c r="S14" s="264"/>
      <c r="T14" s="266"/>
    </row>
    <row r="15" customFormat="false" ht="29.25" hidden="false" customHeight="true" outlineLevel="0" collapsed="false">
      <c r="A15" s="267" t="s">
        <v>248</v>
      </c>
      <c r="B15" s="267"/>
      <c r="C15" s="267"/>
      <c r="D15" s="267"/>
      <c r="E15" s="267"/>
      <c r="F15" s="267"/>
      <c r="G15" s="267"/>
      <c r="H15" s="267"/>
      <c r="I15" s="267"/>
      <c r="J15" s="267"/>
      <c r="K15" s="267"/>
      <c r="L15" s="267"/>
      <c r="M15" s="267"/>
      <c r="N15" s="267"/>
      <c r="O15" s="267"/>
      <c r="P15" s="267"/>
      <c r="Q15" s="267"/>
      <c r="R15" s="267"/>
      <c r="S15" s="267"/>
      <c r="T15" s="267"/>
    </row>
    <row r="16" customFormat="false" ht="20.25" hidden="false" customHeight="true" outlineLevel="0" collapsed="false">
      <c r="A16" s="268" t="s">
        <v>249</v>
      </c>
      <c r="B16" s="269" t="s">
        <v>250</v>
      </c>
      <c r="C16" s="269"/>
      <c r="D16" s="269"/>
      <c r="E16" s="269"/>
      <c r="F16" s="269"/>
      <c r="G16" s="270" t="s">
        <v>251</v>
      </c>
      <c r="H16" s="270"/>
      <c r="I16" s="270"/>
      <c r="J16" s="270"/>
      <c r="K16" s="270"/>
      <c r="L16" s="270"/>
      <c r="M16" s="270"/>
      <c r="N16" s="270"/>
      <c r="O16" s="270"/>
      <c r="P16" s="270"/>
      <c r="Q16" s="270"/>
      <c r="R16" s="270"/>
      <c r="S16" s="270"/>
      <c r="T16" s="270"/>
    </row>
    <row r="17" customFormat="false" ht="20.25" hidden="false" customHeight="true" outlineLevel="0" collapsed="false">
      <c r="A17" s="268"/>
      <c r="B17" s="269"/>
      <c r="C17" s="269"/>
      <c r="D17" s="269"/>
      <c r="E17" s="269"/>
      <c r="F17" s="269"/>
      <c r="G17" s="271" t="s">
        <v>252</v>
      </c>
      <c r="H17" s="271"/>
      <c r="I17" s="271"/>
      <c r="J17" s="271"/>
      <c r="K17" s="271"/>
      <c r="L17" s="271"/>
      <c r="M17" s="271"/>
      <c r="N17" s="271"/>
      <c r="O17" s="271"/>
      <c r="P17" s="271"/>
      <c r="Q17" s="271"/>
      <c r="R17" s="271"/>
      <c r="S17" s="271"/>
      <c r="T17" s="271"/>
    </row>
    <row r="18" customFormat="false" ht="20.25" hidden="false" customHeight="true" outlineLevel="0" collapsed="false">
      <c r="A18" s="268"/>
      <c r="B18" s="269"/>
      <c r="C18" s="269"/>
      <c r="D18" s="269"/>
      <c r="E18" s="269"/>
      <c r="F18" s="269"/>
      <c r="G18" s="271" t="s">
        <v>253</v>
      </c>
      <c r="H18" s="271"/>
      <c r="I18" s="271"/>
      <c r="J18" s="271"/>
      <c r="K18" s="271"/>
      <c r="L18" s="271"/>
      <c r="M18" s="271"/>
      <c r="N18" s="271"/>
      <c r="O18" s="271"/>
      <c r="P18" s="271"/>
      <c r="Q18" s="271"/>
      <c r="R18" s="271"/>
      <c r="S18" s="271"/>
      <c r="T18" s="271"/>
    </row>
    <row r="19" customFormat="false" ht="20.25" hidden="false" customHeight="true" outlineLevel="0" collapsed="false">
      <c r="A19" s="268"/>
      <c r="B19" s="269"/>
      <c r="C19" s="269"/>
      <c r="D19" s="269"/>
      <c r="E19" s="269"/>
      <c r="F19" s="269"/>
      <c r="G19" s="271" t="s">
        <v>254</v>
      </c>
      <c r="H19" s="271"/>
      <c r="I19" s="271"/>
      <c r="J19" s="271"/>
      <c r="K19" s="271"/>
      <c r="L19" s="271"/>
      <c r="M19" s="271"/>
      <c r="N19" s="271"/>
      <c r="O19" s="271"/>
      <c r="P19" s="271"/>
      <c r="Q19" s="271"/>
      <c r="R19" s="271"/>
      <c r="S19" s="271"/>
      <c r="T19" s="271"/>
    </row>
    <row r="20" customFormat="false" ht="20.25" hidden="false" customHeight="true" outlineLevel="0" collapsed="false">
      <c r="A20" s="268"/>
      <c r="B20" s="269"/>
      <c r="C20" s="269"/>
      <c r="D20" s="269"/>
      <c r="E20" s="269"/>
      <c r="F20" s="269"/>
      <c r="G20" s="272" t="s">
        <v>255</v>
      </c>
      <c r="H20" s="272"/>
      <c r="I20" s="272"/>
      <c r="J20" s="272"/>
      <c r="K20" s="272"/>
      <c r="L20" s="272"/>
      <c r="M20" s="272"/>
      <c r="N20" s="272"/>
      <c r="O20" s="272"/>
      <c r="P20" s="272"/>
      <c r="Q20" s="272"/>
      <c r="R20" s="272"/>
      <c r="S20" s="272"/>
      <c r="T20" s="272"/>
    </row>
    <row r="21" customFormat="false" ht="20.25" hidden="false" customHeight="true" outlineLevel="0" collapsed="false">
      <c r="A21" s="268"/>
      <c r="B21" s="273" t="s">
        <v>256</v>
      </c>
      <c r="C21" s="273"/>
      <c r="D21" s="273"/>
      <c r="E21" s="273"/>
      <c r="F21" s="273"/>
      <c r="G21" s="274" t="s">
        <v>257</v>
      </c>
      <c r="H21" s="274"/>
      <c r="I21" s="274"/>
      <c r="J21" s="274"/>
      <c r="K21" s="274"/>
      <c r="L21" s="274"/>
      <c r="M21" s="274"/>
      <c r="N21" s="274"/>
      <c r="O21" s="274"/>
      <c r="P21" s="274"/>
      <c r="Q21" s="274"/>
      <c r="R21" s="274"/>
      <c r="S21" s="274"/>
      <c r="T21" s="274"/>
    </row>
    <row r="22" customFormat="false" ht="20.25" hidden="false" customHeight="true" outlineLevel="0" collapsed="false">
      <c r="A22" s="275" t="s">
        <v>258</v>
      </c>
      <c r="B22" s="136" t="s">
        <v>259</v>
      </c>
      <c r="C22" s="136"/>
      <c r="D22" s="136"/>
      <c r="E22" s="136"/>
      <c r="F22" s="136"/>
      <c r="G22" s="276" t="s">
        <v>251</v>
      </c>
      <c r="H22" s="276"/>
      <c r="I22" s="276"/>
      <c r="J22" s="276"/>
      <c r="K22" s="276"/>
      <c r="L22" s="276"/>
      <c r="M22" s="276"/>
      <c r="N22" s="276"/>
      <c r="O22" s="276"/>
      <c r="P22" s="276"/>
      <c r="Q22" s="276"/>
      <c r="R22" s="276"/>
      <c r="S22" s="276"/>
      <c r="T22" s="276"/>
    </row>
    <row r="23" customFormat="false" ht="20.25" hidden="false" customHeight="true" outlineLevel="0" collapsed="false">
      <c r="A23" s="275"/>
      <c r="B23" s="136"/>
      <c r="C23" s="136"/>
      <c r="D23" s="136"/>
      <c r="E23" s="136"/>
      <c r="F23" s="136"/>
      <c r="G23" s="277" t="s">
        <v>252</v>
      </c>
      <c r="H23" s="277"/>
      <c r="I23" s="277"/>
      <c r="J23" s="277"/>
      <c r="K23" s="277"/>
      <c r="L23" s="277"/>
      <c r="M23" s="277"/>
      <c r="N23" s="277"/>
      <c r="O23" s="277"/>
      <c r="P23" s="277"/>
      <c r="Q23" s="277"/>
      <c r="R23" s="277"/>
      <c r="S23" s="277"/>
      <c r="T23" s="277"/>
    </row>
    <row r="24" customFormat="false" ht="20.25" hidden="false" customHeight="true" outlineLevel="0" collapsed="false">
      <c r="A24" s="275"/>
      <c r="B24" s="136"/>
      <c r="C24" s="136"/>
      <c r="D24" s="136"/>
      <c r="E24" s="136"/>
      <c r="F24" s="136"/>
      <c r="G24" s="277" t="s">
        <v>253</v>
      </c>
      <c r="H24" s="277"/>
      <c r="I24" s="277"/>
      <c r="J24" s="277"/>
      <c r="K24" s="277"/>
      <c r="L24" s="277"/>
      <c r="M24" s="277"/>
      <c r="N24" s="277"/>
      <c r="O24" s="277"/>
      <c r="P24" s="277"/>
      <c r="Q24" s="277"/>
      <c r="R24" s="277"/>
      <c r="S24" s="277"/>
      <c r="T24" s="277"/>
    </row>
    <row r="25" customFormat="false" ht="20.25" hidden="false" customHeight="true" outlineLevel="0" collapsed="false">
      <c r="A25" s="275"/>
      <c r="B25" s="136"/>
      <c r="C25" s="136"/>
      <c r="D25" s="136"/>
      <c r="E25" s="136"/>
      <c r="F25" s="136"/>
      <c r="G25" s="278" t="s">
        <v>257</v>
      </c>
      <c r="H25" s="278"/>
      <c r="I25" s="278"/>
      <c r="J25" s="278"/>
      <c r="K25" s="278"/>
      <c r="L25" s="278"/>
      <c r="M25" s="278"/>
      <c r="N25" s="278"/>
      <c r="O25" s="278"/>
      <c r="P25" s="278"/>
      <c r="Q25" s="278"/>
      <c r="R25" s="278"/>
      <c r="S25" s="278"/>
      <c r="T25" s="278"/>
    </row>
    <row r="26" customFormat="false" ht="20.25" hidden="false" customHeight="true" outlineLevel="0" collapsed="false">
      <c r="A26" s="275"/>
      <c r="B26" s="136" t="s">
        <v>260</v>
      </c>
      <c r="C26" s="136"/>
      <c r="D26" s="136"/>
      <c r="E26" s="136"/>
      <c r="F26" s="136"/>
      <c r="G26" s="276" t="s">
        <v>251</v>
      </c>
      <c r="H26" s="276"/>
      <c r="I26" s="276"/>
      <c r="J26" s="276"/>
      <c r="K26" s="276"/>
      <c r="L26" s="276"/>
      <c r="M26" s="276"/>
      <c r="N26" s="276"/>
      <c r="O26" s="276"/>
      <c r="P26" s="276"/>
      <c r="Q26" s="276"/>
      <c r="R26" s="276"/>
      <c r="S26" s="276"/>
      <c r="T26" s="276"/>
    </row>
    <row r="27" customFormat="false" ht="20.25" hidden="false" customHeight="true" outlineLevel="0" collapsed="false">
      <c r="A27" s="275"/>
      <c r="B27" s="136"/>
      <c r="C27" s="136"/>
      <c r="D27" s="136"/>
      <c r="E27" s="136"/>
      <c r="F27" s="136"/>
      <c r="G27" s="277" t="s">
        <v>252</v>
      </c>
      <c r="H27" s="277"/>
      <c r="I27" s="277"/>
      <c r="J27" s="277"/>
      <c r="K27" s="277"/>
      <c r="L27" s="277"/>
      <c r="M27" s="277"/>
      <c r="N27" s="277"/>
      <c r="O27" s="277"/>
      <c r="P27" s="277"/>
      <c r="Q27" s="277"/>
      <c r="R27" s="277"/>
      <c r="S27" s="277"/>
      <c r="T27" s="277"/>
    </row>
    <row r="28" customFormat="false" ht="20.25" hidden="false" customHeight="true" outlineLevel="0" collapsed="false">
      <c r="A28" s="275"/>
      <c r="B28" s="136"/>
      <c r="C28" s="136"/>
      <c r="D28" s="136"/>
      <c r="E28" s="136"/>
      <c r="F28" s="136"/>
      <c r="G28" s="277" t="s">
        <v>253</v>
      </c>
      <c r="H28" s="277"/>
      <c r="I28" s="277"/>
      <c r="J28" s="277"/>
      <c r="K28" s="277"/>
      <c r="L28" s="277"/>
      <c r="M28" s="277"/>
      <c r="N28" s="277"/>
      <c r="O28" s="277"/>
      <c r="P28" s="277"/>
      <c r="Q28" s="277"/>
      <c r="R28" s="277"/>
      <c r="S28" s="277"/>
      <c r="T28" s="277"/>
    </row>
    <row r="29" customFormat="false" ht="20.25" hidden="false" customHeight="true" outlineLevel="0" collapsed="false">
      <c r="A29" s="275"/>
      <c r="B29" s="136"/>
      <c r="C29" s="136"/>
      <c r="D29" s="136"/>
      <c r="E29" s="136"/>
      <c r="F29" s="136"/>
      <c r="G29" s="277" t="s">
        <v>254</v>
      </c>
      <c r="H29" s="277"/>
      <c r="I29" s="277"/>
      <c r="J29" s="277"/>
      <c r="K29" s="277"/>
      <c r="L29" s="277"/>
      <c r="M29" s="277"/>
      <c r="N29" s="277"/>
      <c r="O29" s="277"/>
      <c r="P29" s="277"/>
      <c r="Q29" s="277"/>
      <c r="R29" s="277"/>
      <c r="S29" s="277"/>
      <c r="T29" s="277"/>
    </row>
    <row r="30" customFormat="false" ht="20.25" hidden="false" customHeight="true" outlineLevel="0" collapsed="false">
      <c r="A30" s="275"/>
      <c r="B30" s="136"/>
      <c r="C30" s="136"/>
      <c r="D30" s="136"/>
      <c r="E30" s="136"/>
      <c r="F30" s="136"/>
      <c r="G30" s="277" t="s">
        <v>261</v>
      </c>
      <c r="H30" s="277"/>
      <c r="I30" s="277"/>
      <c r="J30" s="277"/>
      <c r="K30" s="277"/>
      <c r="L30" s="277"/>
      <c r="M30" s="277"/>
      <c r="N30" s="277"/>
      <c r="O30" s="277"/>
      <c r="P30" s="277"/>
      <c r="Q30" s="277"/>
      <c r="R30" s="277"/>
      <c r="S30" s="277"/>
      <c r="T30" s="277"/>
    </row>
    <row r="31" customFormat="false" ht="20.25" hidden="false" customHeight="true" outlineLevel="0" collapsed="false">
      <c r="A31" s="275"/>
      <c r="B31" s="136"/>
      <c r="C31" s="136"/>
      <c r="D31" s="136"/>
      <c r="E31" s="136"/>
      <c r="F31" s="136"/>
      <c r="G31" s="278" t="s">
        <v>262</v>
      </c>
      <c r="H31" s="278"/>
      <c r="I31" s="278"/>
      <c r="J31" s="278"/>
      <c r="K31" s="278"/>
      <c r="L31" s="278"/>
      <c r="M31" s="278"/>
      <c r="N31" s="278"/>
      <c r="O31" s="278"/>
      <c r="P31" s="278"/>
      <c r="Q31" s="278"/>
      <c r="R31" s="278"/>
      <c r="S31" s="278"/>
      <c r="T31" s="278"/>
    </row>
    <row r="32" customFormat="false" ht="20.25" hidden="false" customHeight="true" outlineLevel="0" collapsed="false">
      <c r="A32" s="275"/>
      <c r="B32" s="257" t="s">
        <v>263</v>
      </c>
      <c r="C32" s="257"/>
      <c r="D32" s="257"/>
      <c r="E32" s="257"/>
      <c r="F32" s="257"/>
      <c r="G32" s="277" t="s">
        <v>251</v>
      </c>
      <c r="H32" s="277"/>
      <c r="I32" s="277"/>
      <c r="J32" s="277"/>
      <c r="K32" s="277"/>
      <c r="L32" s="277"/>
      <c r="M32" s="277"/>
      <c r="N32" s="277"/>
      <c r="O32" s="277"/>
      <c r="P32" s="277"/>
      <c r="Q32" s="277"/>
      <c r="R32" s="277"/>
      <c r="S32" s="277"/>
      <c r="T32" s="277"/>
    </row>
    <row r="33" customFormat="false" ht="20.25" hidden="false" customHeight="true" outlineLevel="0" collapsed="false">
      <c r="A33" s="275"/>
      <c r="B33" s="257"/>
      <c r="C33" s="257"/>
      <c r="D33" s="257"/>
      <c r="E33" s="257"/>
      <c r="F33" s="257"/>
      <c r="G33" s="277" t="s">
        <v>252</v>
      </c>
      <c r="H33" s="277"/>
      <c r="I33" s="277"/>
      <c r="J33" s="277"/>
      <c r="K33" s="277"/>
      <c r="L33" s="277"/>
      <c r="M33" s="277"/>
      <c r="N33" s="277"/>
      <c r="O33" s="277"/>
      <c r="P33" s="277"/>
      <c r="Q33" s="277"/>
      <c r="R33" s="277"/>
      <c r="S33" s="277"/>
      <c r="T33" s="277"/>
    </row>
    <row r="34" customFormat="false" ht="20.25" hidden="false" customHeight="true" outlineLevel="0" collapsed="false">
      <c r="A34" s="275"/>
      <c r="B34" s="257"/>
      <c r="C34" s="257"/>
      <c r="D34" s="257"/>
      <c r="E34" s="257"/>
      <c r="F34" s="257"/>
      <c r="G34" s="277" t="s">
        <v>253</v>
      </c>
      <c r="H34" s="277"/>
      <c r="I34" s="277"/>
      <c r="J34" s="277"/>
      <c r="K34" s="277"/>
      <c r="L34" s="277"/>
      <c r="M34" s="277"/>
      <c r="N34" s="277"/>
      <c r="O34" s="277"/>
      <c r="P34" s="277"/>
      <c r="Q34" s="277"/>
      <c r="R34" s="277"/>
      <c r="S34" s="277"/>
      <c r="T34" s="277"/>
    </row>
    <row r="35" customFormat="false" ht="20.25" hidden="false" customHeight="true" outlineLevel="0" collapsed="false">
      <c r="A35" s="275"/>
      <c r="B35" s="257"/>
      <c r="C35" s="257"/>
      <c r="D35" s="257"/>
      <c r="E35" s="257"/>
      <c r="F35" s="257"/>
      <c r="G35" s="277" t="s">
        <v>254</v>
      </c>
      <c r="H35" s="277"/>
      <c r="I35" s="277"/>
      <c r="J35" s="277"/>
      <c r="K35" s="277"/>
      <c r="L35" s="277"/>
      <c r="M35" s="277"/>
      <c r="N35" s="277"/>
      <c r="O35" s="277"/>
      <c r="P35" s="277"/>
      <c r="Q35" s="277"/>
      <c r="R35" s="277"/>
      <c r="S35" s="277"/>
      <c r="T35" s="277"/>
    </row>
    <row r="36" customFormat="false" ht="20.25" hidden="false" customHeight="true" outlineLevel="0" collapsed="false">
      <c r="A36" s="275"/>
      <c r="B36" s="257"/>
      <c r="C36" s="257"/>
      <c r="D36" s="257"/>
      <c r="E36" s="257"/>
      <c r="F36" s="257"/>
      <c r="G36" s="277" t="s">
        <v>261</v>
      </c>
      <c r="H36" s="277"/>
      <c r="I36" s="277"/>
      <c r="J36" s="277"/>
      <c r="K36" s="277"/>
      <c r="L36" s="277"/>
      <c r="M36" s="277"/>
      <c r="N36" s="277"/>
      <c r="O36" s="277"/>
      <c r="P36" s="277"/>
      <c r="Q36" s="277"/>
      <c r="R36" s="277"/>
      <c r="S36" s="277"/>
      <c r="T36" s="277"/>
    </row>
    <row r="37" customFormat="false" ht="20.25" hidden="false" customHeight="true" outlineLevel="0" collapsed="false">
      <c r="A37" s="275"/>
      <c r="B37" s="257"/>
      <c r="C37" s="257"/>
      <c r="D37" s="257"/>
      <c r="E37" s="257"/>
      <c r="F37" s="257"/>
      <c r="G37" s="278" t="s">
        <v>264</v>
      </c>
      <c r="H37" s="278"/>
      <c r="I37" s="278"/>
      <c r="J37" s="278"/>
      <c r="K37" s="278"/>
      <c r="L37" s="278"/>
      <c r="M37" s="278"/>
      <c r="N37" s="278"/>
      <c r="O37" s="278"/>
      <c r="P37" s="278"/>
      <c r="Q37" s="278"/>
      <c r="R37" s="278"/>
      <c r="S37" s="278"/>
      <c r="T37" s="278"/>
    </row>
    <row r="38" customFormat="false" ht="69" hidden="false" customHeight="true" outlineLevel="0" collapsed="false">
      <c r="A38" s="279" t="s">
        <v>265</v>
      </c>
      <c r="B38" s="279"/>
      <c r="C38" s="279"/>
      <c r="D38" s="279"/>
      <c r="E38" s="279"/>
      <c r="F38" s="279"/>
      <c r="G38" s="279"/>
      <c r="H38" s="279"/>
      <c r="I38" s="279"/>
      <c r="J38" s="279"/>
      <c r="K38" s="279"/>
      <c r="L38" s="279"/>
      <c r="M38" s="279"/>
      <c r="N38" s="279"/>
      <c r="O38" s="279"/>
      <c r="P38" s="279"/>
      <c r="Q38" s="279"/>
      <c r="R38" s="279"/>
      <c r="S38" s="279"/>
      <c r="T38" s="279"/>
    </row>
  </sheetData>
  <mergeCells count="97">
    <mergeCell ref="A1:P1"/>
    <mergeCell ref="S1:T1"/>
    <mergeCell ref="A2:T2"/>
    <mergeCell ref="A3:A4"/>
    <mergeCell ref="D3:H3"/>
    <mergeCell ref="K3:M3"/>
    <mergeCell ref="T3:T4"/>
    <mergeCell ref="C4:F4"/>
    <mergeCell ref="J4:K4"/>
    <mergeCell ref="N4:P4"/>
    <mergeCell ref="Q4:S4"/>
    <mergeCell ref="B5:F6"/>
    <mergeCell ref="G5:H6"/>
    <mergeCell ref="I5:K6"/>
    <mergeCell ref="L5:M6"/>
    <mergeCell ref="N5:P6"/>
    <mergeCell ref="Q5:S6"/>
    <mergeCell ref="T5:T6"/>
    <mergeCell ref="B7:F7"/>
    <mergeCell ref="G7:H7"/>
    <mergeCell ref="I7:K7"/>
    <mergeCell ref="L7:M7"/>
    <mergeCell ref="N7:P7"/>
    <mergeCell ref="Q7:S7"/>
    <mergeCell ref="B8:F8"/>
    <mergeCell ref="G8:H8"/>
    <mergeCell ref="I8:K8"/>
    <mergeCell ref="L8:M8"/>
    <mergeCell ref="N8:P8"/>
    <mergeCell ref="Q8:S8"/>
    <mergeCell ref="B9:F9"/>
    <mergeCell ref="G9:H9"/>
    <mergeCell ref="I9:K9"/>
    <mergeCell ref="L9:M9"/>
    <mergeCell ref="N9:P9"/>
    <mergeCell ref="Q9:S9"/>
    <mergeCell ref="B10:F10"/>
    <mergeCell ref="G10:H10"/>
    <mergeCell ref="I10:K10"/>
    <mergeCell ref="L10:M10"/>
    <mergeCell ref="N10:P10"/>
    <mergeCell ref="Q10:S10"/>
    <mergeCell ref="B11:F11"/>
    <mergeCell ref="G11:H11"/>
    <mergeCell ref="I11:K11"/>
    <mergeCell ref="L11:M11"/>
    <mergeCell ref="N11:P11"/>
    <mergeCell ref="Q11:S11"/>
    <mergeCell ref="B12:F12"/>
    <mergeCell ref="G12:H12"/>
    <mergeCell ref="I12:K12"/>
    <mergeCell ref="L12:M12"/>
    <mergeCell ref="N12:P12"/>
    <mergeCell ref="Q12:S12"/>
    <mergeCell ref="B13:F13"/>
    <mergeCell ref="G13:H13"/>
    <mergeCell ref="I13:K13"/>
    <mergeCell ref="L13:M13"/>
    <mergeCell ref="N13:P13"/>
    <mergeCell ref="Q13:S13"/>
    <mergeCell ref="B14:F14"/>
    <mergeCell ref="G14:H14"/>
    <mergeCell ref="I14:K14"/>
    <mergeCell ref="L14:M14"/>
    <mergeCell ref="N14:P14"/>
    <mergeCell ref="Q14:S14"/>
    <mergeCell ref="A15:T15"/>
    <mergeCell ref="A16:A21"/>
    <mergeCell ref="B16:F20"/>
    <mergeCell ref="G16:T16"/>
    <mergeCell ref="G17:T17"/>
    <mergeCell ref="G18:T18"/>
    <mergeCell ref="G19:T19"/>
    <mergeCell ref="G20:T20"/>
    <mergeCell ref="B21:F21"/>
    <mergeCell ref="G21:T21"/>
    <mergeCell ref="A22:A37"/>
    <mergeCell ref="B22:F25"/>
    <mergeCell ref="G22:T22"/>
    <mergeCell ref="G23:T23"/>
    <mergeCell ref="G24:T24"/>
    <mergeCell ref="G25:T25"/>
    <mergeCell ref="B26:F31"/>
    <mergeCell ref="G26:T26"/>
    <mergeCell ref="G27:T27"/>
    <mergeCell ref="G28:T28"/>
    <mergeCell ref="G29:T29"/>
    <mergeCell ref="G30:T30"/>
    <mergeCell ref="G31:T31"/>
    <mergeCell ref="B32:F37"/>
    <mergeCell ref="G32:T32"/>
    <mergeCell ref="G33:T33"/>
    <mergeCell ref="G34:T34"/>
    <mergeCell ref="G35:T35"/>
    <mergeCell ref="G36:T36"/>
    <mergeCell ref="G37:T37"/>
    <mergeCell ref="A38:T38"/>
  </mergeCells>
  <dataValidations count="1">
    <dataValidation allowBlank="true" errorStyle="stop" operator="between" showDropDown="false" showErrorMessage="true" showInputMessage="false" sqref="C3 J3 O3 R3 B4 G4 I4 L4" type="list">
      <formula1>"[  ],[√]"</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W31"/>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T4" activeCellId="0" sqref="T4"/>
    </sheetView>
  </sheetViews>
  <sheetFormatPr defaultColWidth="8.88671875" defaultRowHeight="13.5" customHeight="false" zeroHeight="false" outlineLevelRow="0" outlineLevelCol="0"/>
  <cols>
    <col collapsed="false" customWidth="true" hidden="false" outlineLevel="0" max="1" min="1" style="241" width="10.99"/>
    <col collapsed="false" customWidth="true" hidden="false" outlineLevel="0" max="2" min="2" style="241" width="3.55"/>
    <col collapsed="false" customWidth="true" hidden="false" outlineLevel="0" max="3" min="3" style="241" width="3.44"/>
    <col collapsed="false" customWidth="true" hidden="false" outlineLevel="0" max="4" min="4" style="241" width="0.88"/>
    <col collapsed="false" customWidth="true" hidden="false" outlineLevel="0" max="5" min="5" style="241" width="3.66"/>
    <col collapsed="false" customWidth="true" hidden="false" outlineLevel="0" max="6" min="6" style="241" width="4.99"/>
    <col collapsed="false" customWidth="true" hidden="false" outlineLevel="0" max="7" min="7" style="241" width="3.66"/>
    <col collapsed="false" customWidth="true" hidden="false" outlineLevel="0" max="8" min="8" style="241" width="2.55"/>
    <col collapsed="false" customWidth="true" hidden="false" outlineLevel="0" max="9" min="9" style="241" width="2.66"/>
    <col collapsed="false" customWidth="true" hidden="false" outlineLevel="0" max="10" min="10" style="241" width="3.88"/>
    <col collapsed="false" customWidth="true" hidden="false" outlineLevel="0" max="11" min="11" style="241" width="5.1"/>
    <col collapsed="false" customWidth="true" hidden="false" outlineLevel="0" max="12" min="12" style="241" width="3.44"/>
    <col collapsed="false" customWidth="true" hidden="false" outlineLevel="0" max="13" min="13" style="241" width="5.78"/>
    <col collapsed="false" customWidth="true" hidden="false" outlineLevel="0" max="14" min="14" style="241" width="3.77"/>
    <col collapsed="false" customWidth="true" hidden="false" outlineLevel="0" max="15" min="15" style="241" width="4.55"/>
    <col collapsed="false" customWidth="true" hidden="false" outlineLevel="0" max="16" min="16" style="241" width="3.66"/>
    <col collapsed="false" customWidth="true" hidden="false" outlineLevel="0" max="17" min="17" style="241" width="4.1"/>
    <col collapsed="false" customWidth="true" hidden="false" outlineLevel="0" max="21" min="18" style="241" width="3.66"/>
    <col collapsed="false" customWidth="true" hidden="false" outlineLevel="0" max="23" min="22" style="241" width="2.55"/>
    <col collapsed="false" customWidth="false" hidden="false" outlineLevel="0" max="257" min="24" style="241" width="8.88"/>
  </cols>
  <sheetData>
    <row r="1" customFormat="false" ht="13.5" hidden="false" customHeight="true" outlineLevel="0" collapsed="false">
      <c r="A1" s="242"/>
      <c r="B1" s="242"/>
      <c r="C1" s="242"/>
      <c r="D1" s="242"/>
      <c r="E1" s="242"/>
      <c r="F1" s="242"/>
      <c r="G1" s="242"/>
      <c r="H1" s="242"/>
      <c r="I1" s="242"/>
      <c r="J1" s="242"/>
      <c r="K1" s="242"/>
      <c r="L1" s="242"/>
      <c r="M1" s="242"/>
      <c r="N1" s="243"/>
      <c r="O1" s="100" t="s">
        <v>235</v>
      </c>
      <c r="P1" s="100"/>
      <c r="Q1" s="100"/>
      <c r="R1" s="100"/>
      <c r="S1" s="100"/>
      <c r="T1" s="100"/>
      <c r="U1" s="100"/>
      <c r="V1" s="100"/>
      <c r="W1" s="100"/>
    </row>
    <row r="2" customFormat="false" ht="29.25" hidden="false" customHeight="true" outlineLevel="0" collapsed="false">
      <c r="A2" s="244" t="s">
        <v>266</v>
      </c>
      <c r="B2" s="244"/>
      <c r="C2" s="244"/>
      <c r="D2" s="244"/>
      <c r="E2" s="244"/>
      <c r="F2" s="244"/>
      <c r="G2" s="244"/>
      <c r="H2" s="244"/>
      <c r="I2" s="244"/>
      <c r="J2" s="244"/>
      <c r="K2" s="244"/>
      <c r="L2" s="244"/>
      <c r="M2" s="244"/>
      <c r="N2" s="244"/>
      <c r="O2" s="244"/>
    </row>
    <row r="3" customFormat="false" ht="20.25" hidden="false" customHeight="true" outlineLevel="0" collapsed="false">
      <c r="A3" s="129" t="s">
        <v>158</v>
      </c>
      <c r="B3" s="245"/>
      <c r="C3" s="246" t="inlineStr">
        <is>
          <t xml:space="preserve">[  ]</t>
        </is>
      </c>
      <c r="D3" s="247" t="s">
        <v>237</v>
      </c>
      <c r="E3" s="247"/>
      <c r="F3" s="247"/>
      <c r="G3" s="280" t="s">
        <v>165</v>
      </c>
      <c r="H3" s="280"/>
      <c r="I3" s="281" t="s">
        <v>238</v>
      </c>
      <c r="J3" s="281"/>
      <c r="K3" s="281"/>
      <c r="L3" s="282" t="s">
        <v>165</v>
      </c>
      <c r="M3" s="251" t="s">
        <v>239</v>
      </c>
      <c r="N3" s="282" t="s">
        <v>165</v>
      </c>
      <c r="O3" s="251" t="s">
        <v>239</v>
      </c>
      <c r="P3" s="282" t="s">
        <v>165</v>
      </c>
      <c r="Q3" s="283" t="s">
        <v>267</v>
      </c>
      <c r="R3" s="280"/>
      <c r="S3" s="246" t="s">
        <v>165</v>
      </c>
      <c r="T3" s="284" t="s">
        <v>268</v>
      </c>
      <c r="U3" s="284"/>
      <c r="V3" s="284"/>
      <c r="W3" s="284"/>
    </row>
    <row r="4" customFormat="false" ht="20.25" hidden="false" customHeight="true" outlineLevel="0" collapsed="false">
      <c r="A4" s="129"/>
      <c r="B4" s="207" t="inlineStr">
        <is>
          <t xml:space="preserve">[  ]</t>
        </is>
      </c>
      <c r="C4" s="133" t="s">
        <v>241</v>
      </c>
      <c r="D4" s="133"/>
      <c r="E4" s="207" t="s">
        <v>165</v>
      </c>
      <c r="F4" s="254" t="s">
        <v>242</v>
      </c>
      <c r="G4" s="207" t="s">
        <v>165</v>
      </c>
      <c r="H4" s="285" t="s">
        <v>269</v>
      </c>
      <c r="I4" s="285"/>
      <c r="J4" s="207" t="s">
        <v>165</v>
      </c>
      <c r="K4" s="133" t="s">
        <v>211</v>
      </c>
      <c r="L4" s="257" t="s">
        <v>270</v>
      </c>
      <c r="M4" s="257"/>
      <c r="N4" s="286" t="s">
        <v>271</v>
      </c>
      <c r="O4" s="286"/>
      <c r="P4" s="287" t="s">
        <v>272</v>
      </c>
      <c r="Q4" s="287"/>
      <c r="R4" s="207" t="s">
        <v>165</v>
      </c>
      <c r="S4" s="288" t="s">
        <v>273</v>
      </c>
      <c r="T4" s="207" t="s">
        <v>165</v>
      </c>
      <c r="U4" s="289" t="s">
        <v>274</v>
      </c>
      <c r="V4" s="289"/>
      <c r="W4" s="289"/>
    </row>
    <row r="5" customFormat="false" ht="18" hidden="false" customHeight="true" outlineLevel="0" collapsed="false">
      <c r="A5" s="258" t="s">
        <v>246</v>
      </c>
      <c r="B5" s="262" t="n">
        <f aca="false">SUM(B7:D31)</f>
        <v>0</v>
      </c>
      <c r="C5" s="262"/>
      <c r="D5" s="262"/>
      <c r="E5" s="136" t="n">
        <f aca="false">SUM(E7:F31)</f>
        <v>0</v>
      </c>
      <c r="F5" s="136"/>
      <c r="G5" s="136" t="n">
        <f aca="false">SUM(G7:I31)</f>
        <v>0</v>
      </c>
      <c r="H5" s="136"/>
      <c r="I5" s="136"/>
      <c r="J5" s="133" t="n">
        <f aca="false">SUM(J7:K31)</f>
        <v>0</v>
      </c>
      <c r="K5" s="133"/>
      <c r="L5" s="133" t="n">
        <f aca="false">SUM(L7:M31)</f>
        <v>0</v>
      </c>
      <c r="M5" s="133"/>
      <c r="N5" s="133" t="n">
        <f aca="false">SUM(N7:O31)</f>
        <v>0</v>
      </c>
      <c r="O5" s="133"/>
      <c r="P5" s="290" t="n">
        <f aca="false">SUM(P7:Q31)</f>
        <v>0</v>
      </c>
      <c r="Q5" s="290"/>
      <c r="R5" s="290" t="n">
        <f aca="false">SUM(R7:S31)</f>
        <v>0</v>
      </c>
      <c r="S5" s="290"/>
      <c r="T5" s="291" t="n">
        <f aca="false">SUM(T7:W31)</f>
        <v>0</v>
      </c>
      <c r="U5" s="291"/>
      <c r="V5" s="291"/>
      <c r="W5" s="291"/>
    </row>
    <row r="6" customFormat="false" ht="18" hidden="false" customHeight="true" outlineLevel="0" collapsed="false">
      <c r="A6" s="260" t="s">
        <v>247</v>
      </c>
      <c r="B6" s="262"/>
      <c r="C6" s="262"/>
      <c r="D6" s="262"/>
      <c r="E6" s="136"/>
      <c r="F6" s="136"/>
      <c r="G6" s="136"/>
      <c r="H6" s="136"/>
      <c r="I6" s="136"/>
      <c r="J6" s="133"/>
      <c r="K6" s="133"/>
      <c r="L6" s="133"/>
      <c r="M6" s="133"/>
      <c r="N6" s="133"/>
      <c r="O6" s="133"/>
      <c r="P6" s="290"/>
      <c r="Q6" s="290"/>
      <c r="R6" s="290"/>
      <c r="S6" s="290"/>
      <c r="T6" s="291"/>
      <c r="U6" s="291"/>
      <c r="V6" s="291"/>
      <c r="W6" s="291"/>
    </row>
    <row r="7" customFormat="false" ht="18" hidden="false" customHeight="true" outlineLevel="0" collapsed="false">
      <c r="A7" s="261"/>
      <c r="B7" s="136"/>
      <c r="C7" s="136"/>
      <c r="D7" s="136"/>
      <c r="E7" s="136"/>
      <c r="F7" s="136"/>
      <c r="G7" s="136"/>
      <c r="H7" s="136"/>
      <c r="I7" s="136"/>
      <c r="J7" s="136"/>
      <c r="K7" s="136"/>
      <c r="L7" s="136"/>
      <c r="M7" s="136"/>
      <c r="N7" s="136"/>
      <c r="O7" s="136"/>
      <c r="P7" s="290"/>
      <c r="Q7" s="290"/>
      <c r="R7" s="290"/>
      <c r="S7" s="290"/>
      <c r="T7" s="291"/>
      <c r="U7" s="291"/>
      <c r="V7" s="291"/>
      <c r="W7" s="291"/>
    </row>
    <row r="8" customFormat="false" ht="18" hidden="false" customHeight="true" outlineLevel="0" collapsed="false">
      <c r="A8" s="261"/>
      <c r="B8" s="136"/>
      <c r="C8" s="136"/>
      <c r="D8" s="136"/>
      <c r="E8" s="136"/>
      <c r="F8" s="136"/>
      <c r="G8" s="136"/>
      <c r="H8" s="136"/>
      <c r="I8" s="136"/>
      <c r="J8" s="136"/>
      <c r="K8" s="136"/>
      <c r="L8" s="136"/>
      <c r="M8" s="136"/>
      <c r="N8" s="136"/>
      <c r="O8" s="136"/>
      <c r="P8" s="290"/>
      <c r="Q8" s="290"/>
      <c r="R8" s="290"/>
      <c r="S8" s="290"/>
      <c r="T8" s="291"/>
      <c r="U8" s="291"/>
      <c r="V8" s="291"/>
      <c r="W8" s="291"/>
    </row>
    <row r="9" customFormat="false" ht="18" hidden="false" customHeight="true" outlineLevel="0" collapsed="false">
      <c r="A9" s="261"/>
      <c r="B9" s="136"/>
      <c r="C9" s="136"/>
      <c r="D9" s="136"/>
      <c r="E9" s="136"/>
      <c r="F9" s="136"/>
      <c r="G9" s="136"/>
      <c r="H9" s="136"/>
      <c r="I9" s="136"/>
      <c r="J9" s="136"/>
      <c r="K9" s="136"/>
      <c r="L9" s="136"/>
      <c r="M9" s="136"/>
      <c r="N9" s="136"/>
      <c r="O9" s="136"/>
      <c r="P9" s="290"/>
      <c r="Q9" s="290"/>
      <c r="R9" s="290"/>
      <c r="S9" s="290"/>
      <c r="T9" s="291"/>
      <c r="U9" s="291"/>
      <c r="V9" s="291"/>
      <c r="W9" s="291"/>
    </row>
    <row r="10" customFormat="false" ht="18" hidden="false" customHeight="true" outlineLevel="0" collapsed="false">
      <c r="A10" s="261"/>
      <c r="B10" s="136"/>
      <c r="C10" s="136"/>
      <c r="D10" s="136"/>
      <c r="E10" s="136"/>
      <c r="F10" s="136"/>
      <c r="G10" s="136"/>
      <c r="H10" s="136"/>
      <c r="I10" s="136"/>
      <c r="J10" s="136"/>
      <c r="K10" s="136"/>
      <c r="L10" s="136"/>
      <c r="M10" s="136"/>
      <c r="N10" s="136"/>
      <c r="O10" s="136"/>
      <c r="P10" s="290"/>
      <c r="Q10" s="290"/>
      <c r="R10" s="290"/>
      <c r="S10" s="290"/>
      <c r="T10" s="291"/>
      <c r="U10" s="291"/>
      <c r="V10" s="291"/>
      <c r="W10" s="291"/>
    </row>
    <row r="11" customFormat="false" ht="18" hidden="false" customHeight="true" outlineLevel="0" collapsed="false">
      <c r="A11" s="261"/>
      <c r="B11" s="136"/>
      <c r="C11" s="136"/>
      <c r="D11" s="136"/>
      <c r="E11" s="136"/>
      <c r="F11" s="136"/>
      <c r="G11" s="136"/>
      <c r="H11" s="136"/>
      <c r="I11" s="136"/>
      <c r="J11" s="136"/>
      <c r="K11" s="136"/>
      <c r="L11" s="136"/>
      <c r="M11" s="136"/>
      <c r="N11" s="136"/>
      <c r="O11" s="136"/>
      <c r="P11" s="290"/>
      <c r="Q11" s="290"/>
      <c r="R11" s="290"/>
      <c r="S11" s="290"/>
      <c r="T11" s="291"/>
      <c r="U11" s="291"/>
      <c r="V11" s="291"/>
      <c r="W11" s="291"/>
    </row>
    <row r="12" customFormat="false" ht="18" hidden="false" customHeight="true" outlineLevel="0" collapsed="false">
      <c r="A12" s="261"/>
      <c r="B12" s="136"/>
      <c r="C12" s="136"/>
      <c r="D12" s="136"/>
      <c r="E12" s="136"/>
      <c r="F12" s="136"/>
      <c r="G12" s="136"/>
      <c r="H12" s="136"/>
      <c r="I12" s="136"/>
      <c r="J12" s="136"/>
      <c r="K12" s="136"/>
      <c r="L12" s="136"/>
      <c r="M12" s="136"/>
      <c r="N12" s="136"/>
      <c r="O12" s="136"/>
      <c r="P12" s="290"/>
      <c r="Q12" s="290"/>
      <c r="R12" s="290"/>
      <c r="S12" s="290"/>
      <c r="T12" s="291"/>
      <c r="U12" s="291"/>
      <c r="V12" s="291"/>
      <c r="W12" s="291"/>
    </row>
    <row r="13" customFormat="false" ht="18" hidden="false" customHeight="true" outlineLevel="0" collapsed="false">
      <c r="A13" s="261"/>
      <c r="B13" s="136"/>
      <c r="C13" s="136"/>
      <c r="D13" s="136"/>
      <c r="E13" s="136"/>
      <c r="F13" s="136"/>
      <c r="G13" s="136"/>
      <c r="H13" s="136"/>
      <c r="I13" s="136"/>
      <c r="J13" s="136"/>
      <c r="K13" s="136"/>
      <c r="L13" s="136"/>
      <c r="M13" s="136"/>
      <c r="N13" s="136"/>
      <c r="O13" s="136"/>
      <c r="P13" s="290"/>
      <c r="Q13" s="290"/>
      <c r="R13" s="290"/>
      <c r="S13" s="290"/>
      <c r="T13" s="291"/>
      <c r="U13" s="291"/>
      <c r="V13" s="291"/>
      <c r="W13" s="291"/>
    </row>
    <row r="14" customFormat="false" ht="18" hidden="false" customHeight="true" outlineLevel="0" collapsed="false">
      <c r="A14" s="261"/>
      <c r="B14" s="136"/>
      <c r="C14" s="136"/>
      <c r="D14" s="136"/>
      <c r="E14" s="136"/>
      <c r="F14" s="136"/>
      <c r="G14" s="136"/>
      <c r="H14" s="136"/>
      <c r="I14" s="136"/>
      <c r="J14" s="136"/>
      <c r="K14" s="136"/>
      <c r="L14" s="136"/>
      <c r="M14" s="136"/>
      <c r="N14" s="136"/>
      <c r="O14" s="136"/>
      <c r="P14" s="290"/>
      <c r="Q14" s="290"/>
      <c r="R14" s="290"/>
      <c r="S14" s="290"/>
      <c r="T14" s="291"/>
      <c r="U14" s="291"/>
      <c r="V14" s="291"/>
      <c r="W14" s="291"/>
    </row>
    <row r="15" customFormat="false" ht="18" hidden="false" customHeight="true" outlineLevel="0" collapsed="false">
      <c r="A15" s="261"/>
      <c r="B15" s="136"/>
      <c r="C15" s="136"/>
      <c r="D15" s="136"/>
      <c r="E15" s="136"/>
      <c r="F15" s="136"/>
      <c r="G15" s="136"/>
      <c r="H15" s="136"/>
      <c r="I15" s="136"/>
      <c r="J15" s="136"/>
      <c r="K15" s="136"/>
      <c r="L15" s="136"/>
      <c r="M15" s="136"/>
      <c r="N15" s="136"/>
      <c r="O15" s="136"/>
      <c r="P15" s="290"/>
      <c r="Q15" s="290"/>
      <c r="R15" s="290"/>
      <c r="S15" s="290"/>
      <c r="T15" s="291"/>
      <c r="U15" s="291"/>
      <c r="V15" s="291"/>
      <c r="W15" s="291"/>
    </row>
    <row r="16" customFormat="false" ht="18" hidden="false" customHeight="true" outlineLevel="0" collapsed="false">
      <c r="A16" s="261"/>
      <c r="B16" s="136"/>
      <c r="C16" s="136"/>
      <c r="D16" s="136"/>
      <c r="E16" s="136"/>
      <c r="F16" s="136"/>
      <c r="G16" s="136"/>
      <c r="H16" s="136"/>
      <c r="I16" s="136"/>
      <c r="J16" s="136"/>
      <c r="K16" s="136"/>
      <c r="L16" s="136"/>
      <c r="M16" s="136"/>
      <c r="N16" s="136"/>
      <c r="O16" s="136"/>
      <c r="P16" s="290"/>
      <c r="Q16" s="290"/>
      <c r="R16" s="290"/>
      <c r="S16" s="290"/>
      <c r="T16" s="291"/>
      <c r="U16" s="291"/>
      <c r="V16" s="291"/>
      <c r="W16" s="291"/>
    </row>
    <row r="17" customFormat="false" ht="18" hidden="false" customHeight="true" outlineLevel="0" collapsed="false">
      <c r="A17" s="261"/>
      <c r="B17" s="136"/>
      <c r="C17" s="136"/>
      <c r="D17" s="136"/>
      <c r="E17" s="136"/>
      <c r="F17" s="136"/>
      <c r="G17" s="136"/>
      <c r="H17" s="136"/>
      <c r="I17" s="136"/>
      <c r="J17" s="136"/>
      <c r="K17" s="136"/>
      <c r="L17" s="136"/>
      <c r="M17" s="136"/>
      <c r="N17" s="136"/>
      <c r="O17" s="136"/>
      <c r="P17" s="290"/>
      <c r="Q17" s="290"/>
      <c r="R17" s="290"/>
      <c r="S17" s="290"/>
      <c r="T17" s="291"/>
      <c r="U17" s="291"/>
      <c r="V17" s="291"/>
      <c r="W17" s="291"/>
    </row>
    <row r="18" customFormat="false" ht="18" hidden="false" customHeight="true" outlineLevel="0" collapsed="false">
      <c r="A18" s="261"/>
      <c r="B18" s="136"/>
      <c r="C18" s="136"/>
      <c r="D18" s="136"/>
      <c r="E18" s="136"/>
      <c r="F18" s="136"/>
      <c r="G18" s="136"/>
      <c r="H18" s="136"/>
      <c r="I18" s="136"/>
      <c r="J18" s="136"/>
      <c r="K18" s="136"/>
      <c r="L18" s="136"/>
      <c r="M18" s="136"/>
      <c r="N18" s="136"/>
      <c r="O18" s="136"/>
      <c r="P18" s="290"/>
      <c r="Q18" s="290"/>
      <c r="R18" s="290"/>
      <c r="S18" s="290"/>
      <c r="T18" s="291"/>
      <c r="U18" s="291"/>
      <c r="V18" s="291"/>
      <c r="W18" s="291"/>
    </row>
    <row r="19" customFormat="false" ht="18" hidden="false" customHeight="true" outlineLevel="0" collapsed="false">
      <c r="A19" s="261"/>
      <c r="B19" s="136"/>
      <c r="C19" s="136"/>
      <c r="D19" s="136"/>
      <c r="E19" s="136"/>
      <c r="F19" s="136"/>
      <c r="G19" s="136"/>
      <c r="H19" s="136"/>
      <c r="I19" s="136"/>
      <c r="J19" s="136"/>
      <c r="K19" s="136"/>
      <c r="L19" s="136"/>
      <c r="M19" s="136"/>
      <c r="N19" s="136"/>
      <c r="O19" s="136"/>
      <c r="P19" s="290"/>
      <c r="Q19" s="290"/>
      <c r="R19" s="290"/>
      <c r="S19" s="290"/>
      <c r="T19" s="291"/>
      <c r="U19" s="291"/>
      <c r="V19" s="291"/>
      <c r="W19" s="291"/>
    </row>
    <row r="20" customFormat="false" ht="18" hidden="false" customHeight="true" outlineLevel="0" collapsed="false">
      <c r="A20" s="261"/>
      <c r="B20" s="136"/>
      <c r="C20" s="136"/>
      <c r="D20" s="136"/>
      <c r="E20" s="136"/>
      <c r="F20" s="136"/>
      <c r="G20" s="136"/>
      <c r="H20" s="136"/>
      <c r="I20" s="136"/>
      <c r="J20" s="136"/>
      <c r="K20" s="136"/>
      <c r="L20" s="136"/>
      <c r="M20" s="136"/>
      <c r="N20" s="136"/>
      <c r="O20" s="136"/>
      <c r="P20" s="290"/>
      <c r="Q20" s="290"/>
      <c r="R20" s="290"/>
      <c r="S20" s="290"/>
      <c r="T20" s="291"/>
      <c r="U20" s="291"/>
      <c r="V20" s="291"/>
      <c r="W20" s="291"/>
    </row>
    <row r="21" customFormat="false" ht="18" hidden="false" customHeight="true" outlineLevel="0" collapsed="false">
      <c r="A21" s="261"/>
      <c r="B21" s="136"/>
      <c r="C21" s="136"/>
      <c r="D21" s="136"/>
      <c r="E21" s="136"/>
      <c r="F21" s="136"/>
      <c r="G21" s="136"/>
      <c r="H21" s="136"/>
      <c r="I21" s="136"/>
      <c r="J21" s="136"/>
      <c r="K21" s="136"/>
      <c r="L21" s="136"/>
      <c r="M21" s="136"/>
      <c r="N21" s="136"/>
      <c r="O21" s="136"/>
      <c r="P21" s="290"/>
      <c r="Q21" s="290"/>
      <c r="R21" s="290"/>
      <c r="S21" s="290"/>
      <c r="T21" s="291"/>
      <c r="U21" s="291"/>
      <c r="V21" s="291"/>
      <c r="W21" s="291"/>
    </row>
    <row r="22" customFormat="false" ht="18" hidden="false" customHeight="true" outlineLevel="0" collapsed="false">
      <c r="A22" s="261"/>
      <c r="B22" s="136"/>
      <c r="C22" s="136"/>
      <c r="D22" s="136"/>
      <c r="E22" s="136"/>
      <c r="F22" s="136"/>
      <c r="G22" s="136"/>
      <c r="H22" s="136"/>
      <c r="I22" s="136"/>
      <c r="J22" s="136"/>
      <c r="K22" s="136"/>
      <c r="L22" s="136"/>
      <c r="M22" s="136"/>
      <c r="N22" s="136"/>
      <c r="O22" s="136"/>
      <c r="P22" s="290"/>
      <c r="Q22" s="290"/>
      <c r="R22" s="290"/>
      <c r="S22" s="290"/>
      <c r="T22" s="291"/>
      <c r="U22" s="291"/>
      <c r="V22" s="291"/>
      <c r="W22" s="291"/>
    </row>
    <row r="23" customFormat="false" ht="18" hidden="false" customHeight="true" outlineLevel="0" collapsed="false">
      <c r="A23" s="261"/>
      <c r="B23" s="136"/>
      <c r="C23" s="136"/>
      <c r="D23" s="136"/>
      <c r="E23" s="136"/>
      <c r="F23" s="136"/>
      <c r="G23" s="136"/>
      <c r="H23" s="136"/>
      <c r="I23" s="136"/>
      <c r="J23" s="136"/>
      <c r="K23" s="136"/>
      <c r="L23" s="136"/>
      <c r="M23" s="136"/>
      <c r="N23" s="136"/>
      <c r="O23" s="136"/>
      <c r="P23" s="290"/>
      <c r="Q23" s="290"/>
      <c r="R23" s="290"/>
      <c r="S23" s="290"/>
      <c r="T23" s="291"/>
      <c r="U23" s="291"/>
      <c r="V23" s="291"/>
      <c r="W23" s="291"/>
    </row>
    <row r="24" customFormat="false" ht="18" hidden="false" customHeight="true" outlineLevel="0" collapsed="false">
      <c r="A24" s="261"/>
      <c r="B24" s="136"/>
      <c r="C24" s="136"/>
      <c r="D24" s="136"/>
      <c r="E24" s="136"/>
      <c r="F24" s="136"/>
      <c r="G24" s="136"/>
      <c r="H24" s="136"/>
      <c r="I24" s="136"/>
      <c r="J24" s="136"/>
      <c r="K24" s="136"/>
      <c r="L24" s="136"/>
      <c r="M24" s="136"/>
      <c r="N24" s="136"/>
      <c r="O24" s="136"/>
      <c r="P24" s="290"/>
      <c r="Q24" s="290"/>
      <c r="R24" s="290"/>
      <c r="S24" s="290"/>
      <c r="T24" s="291"/>
      <c r="U24" s="291"/>
      <c r="V24" s="291"/>
      <c r="W24" s="291"/>
    </row>
    <row r="25" customFormat="false" ht="18" hidden="false" customHeight="true" outlineLevel="0" collapsed="false">
      <c r="A25" s="261"/>
      <c r="B25" s="136"/>
      <c r="C25" s="136"/>
      <c r="D25" s="136"/>
      <c r="E25" s="136"/>
      <c r="F25" s="136"/>
      <c r="G25" s="136"/>
      <c r="H25" s="136"/>
      <c r="I25" s="136"/>
      <c r="J25" s="136"/>
      <c r="K25" s="136"/>
      <c r="L25" s="136"/>
      <c r="M25" s="136"/>
      <c r="N25" s="136"/>
      <c r="O25" s="136"/>
      <c r="P25" s="290"/>
      <c r="Q25" s="290"/>
      <c r="R25" s="290"/>
      <c r="S25" s="290"/>
      <c r="T25" s="291"/>
      <c r="U25" s="291"/>
      <c r="V25" s="291"/>
      <c r="W25" s="291"/>
    </row>
    <row r="26" customFormat="false" ht="18" hidden="false" customHeight="true" outlineLevel="0" collapsed="false">
      <c r="A26" s="261"/>
      <c r="B26" s="136"/>
      <c r="C26" s="136"/>
      <c r="D26" s="136"/>
      <c r="E26" s="136"/>
      <c r="F26" s="136"/>
      <c r="G26" s="136"/>
      <c r="H26" s="136"/>
      <c r="I26" s="136"/>
      <c r="J26" s="136"/>
      <c r="K26" s="136"/>
      <c r="L26" s="136"/>
      <c r="M26" s="136"/>
      <c r="N26" s="136"/>
      <c r="O26" s="136"/>
      <c r="P26" s="290"/>
      <c r="Q26" s="290"/>
      <c r="R26" s="290"/>
      <c r="S26" s="290"/>
      <c r="T26" s="291"/>
      <c r="U26" s="291"/>
      <c r="V26" s="291"/>
      <c r="W26" s="291"/>
    </row>
    <row r="27" customFormat="false" ht="18" hidden="false" customHeight="true" outlineLevel="0" collapsed="false">
      <c r="A27" s="261"/>
      <c r="B27" s="136"/>
      <c r="C27" s="136"/>
      <c r="D27" s="136"/>
      <c r="E27" s="136"/>
      <c r="F27" s="136"/>
      <c r="G27" s="136"/>
      <c r="H27" s="136"/>
      <c r="I27" s="136"/>
      <c r="J27" s="136"/>
      <c r="K27" s="136"/>
      <c r="L27" s="136"/>
      <c r="M27" s="136"/>
      <c r="N27" s="136"/>
      <c r="O27" s="136"/>
      <c r="P27" s="290"/>
      <c r="Q27" s="290"/>
      <c r="R27" s="290"/>
      <c r="S27" s="290"/>
      <c r="T27" s="291"/>
      <c r="U27" s="291"/>
      <c r="V27" s="291"/>
      <c r="W27" s="291"/>
    </row>
    <row r="28" customFormat="false" ht="18" hidden="false" customHeight="true" outlineLevel="0" collapsed="false">
      <c r="A28" s="261"/>
      <c r="B28" s="136"/>
      <c r="C28" s="136"/>
      <c r="D28" s="136"/>
      <c r="E28" s="136"/>
      <c r="F28" s="136"/>
      <c r="G28" s="136"/>
      <c r="H28" s="136"/>
      <c r="I28" s="136"/>
      <c r="J28" s="136"/>
      <c r="K28" s="136"/>
      <c r="L28" s="136"/>
      <c r="M28" s="136"/>
      <c r="N28" s="136"/>
      <c r="O28" s="136"/>
      <c r="P28" s="290"/>
      <c r="Q28" s="290"/>
      <c r="R28" s="290"/>
      <c r="S28" s="290"/>
      <c r="T28" s="291"/>
      <c r="U28" s="291"/>
      <c r="V28" s="291"/>
      <c r="W28" s="291"/>
    </row>
    <row r="29" customFormat="false" ht="18" hidden="false" customHeight="true" outlineLevel="0" collapsed="false">
      <c r="A29" s="261"/>
      <c r="B29" s="136"/>
      <c r="C29" s="136"/>
      <c r="D29" s="136"/>
      <c r="E29" s="136" t="s">
        <v>32</v>
      </c>
      <c r="F29" s="136"/>
      <c r="G29" s="136"/>
      <c r="H29" s="136"/>
      <c r="I29" s="136"/>
      <c r="J29" s="136" t="s">
        <v>32</v>
      </c>
      <c r="K29" s="136"/>
      <c r="L29" s="136"/>
      <c r="M29" s="136"/>
      <c r="N29" s="136"/>
      <c r="O29" s="136"/>
      <c r="P29" s="290"/>
      <c r="Q29" s="290"/>
      <c r="R29" s="290"/>
      <c r="S29" s="290"/>
      <c r="T29" s="291"/>
      <c r="U29" s="291"/>
      <c r="V29" s="291"/>
      <c r="W29" s="291"/>
    </row>
    <row r="30" customFormat="false" ht="18" hidden="false" customHeight="true" outlineLevel="0" collapsed="false">
      <c r="A30" s="261"/>
      <c r="B30" s="262"/>
      <c r="C30" s="262"/>
      <c r="D30" s="262"/>
      <c r="E30" s="136" t="s">
        <v>32</v>
      </c>
      <c r="F30" s="136"/>
      <c r="G30" s="136"/>
      <c r="H30" s="136"/>
      <c r="I30" s="136"/>
      <c r="J30" s="133" t="s">
        <v>32</v>
      </c>
      <c r="K30" s="133"/>
      <c r="L30" s="133"/>
      <c r="M30" s="133"/>
      <c r="N30" s="133"/>
      <c r="O30" s="133"/>
      <c r="P30" s="290"/>
      <c r="Q30" s="290"/>
      <c r="R30" s="290"/>
      <c r="S30" s="290"/>
      <c r="T30" s="291"/>
      <c r="U30" s="291"/>
      <c r="V30" s="291"/>
      <c r="W30" s="291"/>
    </row>
    <row r="31" customFormat="false" ht="18" hidden="false" customHeight="true" outlineLevel="0" collapsed="false">
      <c r="A31" s="292"/>
      <c r="B31" s="266"/>
      <c r="C31" s="266"/>
      <c r="D31" s="266"/>
      <c r="E31" s="265" t="s">
        <v>32</v>
      </c>
      <c r="F31" s="265"/>
      <c r="G31" s="264" t="s">
        <v>32</v>
      </c>
      <c r="H31" s="264"/>
      <c r="I31" s="264"/>
      <c r="J31" s="150" t="s">
        <v>32</v>
      </c>
      <c r="K31" s="150"/>
      <c r="L31" s="150"/>
      <c r="M31" s="150"/>
      <c r="N31" s="150"/>
      <c r="O31" s="150"/>
      <c r="P31" s="293"/>
      <c r="Q31" s="293"/>
      <c r="R31" s="293"/>
      <c r="S31" s="293"/>
      <c r="T31" s="294"/>
      <c r="U31" s="294"/>
      <c r="V31" s="294"/>
      <c r="W31" s="294"/>
    </row>
  </sheetData>
  <mergeCells count="248">
    <mergeCell ref="A1:M1"/>
    <mergeCell ref="O1:W1"/>
    <mergeCell ref="A2:O2"/>
    <mergeCell ref="A3:A4"/>
    <mergeCell ref="D3:F3"/>
    <mergeCell ref="G3:H3"/>
    <mergeCell ref="I3:K3"/>
    <mergeCell ref="T3:W3"/>
    <mergeCell ref="C4:D4"/>
    <mergeCell ref="H4:I4"/>
    <mergeCell ref="L4:M4"/>
    <mergeCell ref="N4:O4"/>
    <mergeCell ref="P4:Q4"/>
    <mergeCell ref="U4:W4"/>
    <mergeCell ref="B5:D6"/>
    <mergeCell ref="E5:F6"/>
    <mergeCell ref="G5:I6"/>
    <mergeCell ref="J5:K6"/>
    <mergeCell ref="L5:M6"/>
    <mergeCell ref="N5:O6"/>
    <mergeCell ref="P5:Q6"/>
    <mergeCell ref="R5:S6"/>
    <mergeCell ref="T5:W6"/>
    <mergeCell ref="B7:D7"/>
    <mergeCell ref="E7:F7"/>
    <mergeCell ref="G7:I7"/>
    <mergeCell ref="J7:K7"/>
    <mergeCell ref="L7:M7"/>
    <mergeCell ref="N7:O7"/>
    <mergeCell ref="P7:Q7"/>
    <mergeCell ref="R7:S7"/>
    <mergeCell ref="T7:W7"/>
    <mergeCell ref="B8:D8"/>
    <mergeCell ref="E8:F8"/>
    <mergeCell ref="G8:I8"/>
    <mergeCell ref="J8:K8"/>
    <mergeCell ref="L8:M8"/>
    <mergeCell ref="N8:O8"/>
    <mergeCell ref="P8:Q8"/>
    <mergeCell ref="R8:S8"/>
    <mergeCell ref="T8:W8"/>
    <mergeCell ref="B9:D9"/>
    <mergeCell ref="E9:F9"/>
    <mergeCell ref="G9:I9"/>
    <mergeCell ref="J9:K9"/>
    <mergeCell ref="L9:M9"/>
    <mergeCell ref="N9:O9"/>
    <mergeCell ref="P9:Q9"/>
    <mergeCell ref="R9:S9"/>
    <mergeCell ref="T9:W9"/>
    <mergeCell ref="B10:D10"/>
    <mergeCell ref="E10:F10"/>
    <mergeCell ref="G10:I10"/>
    <mergeCell ref="J10:K10"/>
    <mergeCell ref="L10:M10"/>
    <mergeCell ref="N10:O10"/>
    <mergeCell ref="P10:Q10"/>
    <mergeCell ref="R10:S10"/>
    <mergeCell ref="T10:W10"/>
    <mergeCell ref="B11:D11"/>
    <mergeCell ref="E11:F11"/>
    <mergeCell ref="G11:I11"/>
    <mergeCell ref="J11:K11"/>
    <mergeCell ref="L11:M11"/>
    <mergeCell ref="N11:O11"/>
    <mergeCell ref="P11:Q11"/>
    <mergeCell ref="R11:S11"/>
    <mergeCell ref="T11:W11"/>
    <mergeCell ref="B12:D12"/>
    <mergeCell ref="E12:F12"/>
    <mergeCell ref="G12:I12"/>
    <mergeCell ref="J12:K12"/>
    <mergeCell ref="L12:M12"/>
    <mergeCell ref="N12:O12"/>
    <mergeCell ref="P12:Q12"/>
    <mergeCell ref="R12:S12"/>
    <mergeCell ref="T12:W12"/>
    <mergeCell ref="B13:D13"/>
    <mergeCell ref="E13:F13"/>
    <mergeCell ref="G13:I13"/>
    <mergeCell ref="J13:K13"/>
    <mergeCell ref="L13:M13"/>
    <mergeCell ref="N13:O13"/>
    <mergeCell ref="P13:Q13"/>
    <mergeCell ref="R13:S13"/>
    <mergeCell ref="T13:W13"/>
    <mergeCell ref="B14:D14"/>
    <mergeCell ref="E14:F14"/>
    <mergeCell ref="G14:I14"/>
    <mergeCell ref="J14:K14"/>
    <mergeCell ref="L14:M14"/>
    <mergeCell ref="N14:O14"/>
    <mergeCell ref="P14:Q14"/>
    <mergeCell ref="R14:S14"/>
    <mergeCell ref="T14:W14"/>
    <mergeCell ref="B15:D15"/>
    <mergeCell ref="E15:F15"/>
    <mergeCell ref="G15:I15"/>
    <mergeCell ref="J15:K15"/>
    <mergeCell ref="L15:M15"/>
    <mergeCell ref="N15:O15"/>
    <mergeCell ref="P15:Q15"/>
    <mergeCell ref="R15:S15"/>
    <mergeCell ref="T15:W15"/>
    <mergeCell ref="B16:D16"/>
    <mergeCell ref="E16:F16"/>
    <mergeCell ref="G16:I16"/>
    <mergeCell ref="J16:K16"/>
    <mergeCell ref="L16:M16"/>
    <mergeCell ref="N16:O16"/>
    <mergeCell ref="P16:Q16"/>
    <mergeCell ref="R16:S16"/>
    <mergeCell ref="T16:W16"/>
    <mergeCell ref="B17:D17"/>
    <mergeCell ref="E17:F17"/>
    <mergeCell ref="G17:I17"/>
    <mergeCell ref="J17:K17"/>
    <mergeCell ref="L17:M17"/>
    <mergeCell ref="N17:O17"/>
    <mergeCell ref="P17:Q17"/>
    <mergeCell ref="R17:S17"/>
    <mergeCell ref="T17:W17"/>
    <mergeCell ref="B18:D18"/>
    <mergeCell ref="E18:F18"/>
    <mergeCell ref="G18:I18"/>
    <mergeCell ref="J18:K18"/>
    <mergeCell ref="L18:M18"/>
    <mergeCell ref="N18:O18"/>
    <mergeCell ref="P18:Q18"/>
    <mergeCell ref="R18:S18"/>
    <mergeCell ref="T18:W18"/>
    <mergeCell ref="B19:D19"/>
    <mergeCell ref="E19:F19"/>
    <mergeCell ref="G19:I19"/>
    <mergeCell ref="J19:K19"/>
    <mergeCell ref="L19:M19"/>
    <mergeCell ref="N19:O19"/>
    <mergeCell ref="P19:Q19"/>
    <mergeCell ref="R19:S19"/>
    <mergeCell ref="T19:W19"/>
    <mergeCell ref="B20:D20"/>
    <mergeCell ref="E20:F20"/>
    <mergeCell ref="G20:I20"/>
    <mergeCell ref="J20:K20"/>
    <mergeCell ref="L20:M20"/>
    <mergeCell ref="N20:O20"/>
    <mergeCell ref="P20:Q20"/>
    <mergeCell ref="R20:S20"/>
    <mergeCell ref="T20:W20"/>
    <mergeCell ref="B21:D21"/>
    <mergeCell ref="E21:F21"/>
    <mergeCell ref="G21:I21"/>
    <mergeCell ref="J21:K21"/>
    <mergeCell ref="L21:M21"/>
    <mergeCell ref="N21:O21"/>
    <mergeCell ref="P21:Q21"/>
    <mergeCell ref="R21:S21"/>
    <mergeCell ref="T21:W21"/>
    <mergeCell ref="B22:D22"/>
    <mergeCell ref="E22:F22"/>
    <mergeCell ref="G22:I22"/>
    <mergeCell ref="J22:K22"/>
    <mergeCell ref="L22:M22"/>
    <mergeCell ref="N22:O22"/>
    <mergeCell ref="P22:Q22"/>
    <mergeCell ref="R22:S22"/>
    <mergeCell ref="T22:W22"/>
    <mergeCell ref="B23:D23"/>
    <mergeCell ref="E23:F23"/>
    <mergeCell ref="G23:I23"/>
    <mergeCell ref="J23:K23"/>
    <mergeCell ref="L23:M23"/>
    <mergeCell ref="N23:O23"/>
    <mergeCell ref="P23:Q23"/>
    <mergeCell ref="R23:S23"/>
    <mergeCell ref="T23:W23"/>
    <mergeCell ref="B24:D24"/>
    <mergeCell ref="E24:F24"/>
    <mergeCell ref="G24:I24"/>
    <mergeCell ref="J24:K24"/>
    <mergeCell ref="L24:M24"/>
    <mergeCell ref="N24:O24"/>
    <mergeCell ref="P24:Q24"/>
    <mergeCell ref="R24:S24"/>
    <mergeCell ref="T24:W24"/>
    <mergeCell ref="B25:D25"/>
    <mergeCell ref="E25:F25"/>
    <mergeCell ref="G25:I25"/>
    <mergeCell ref="J25:K25"/>
    <mergeCell ref="L25:M25"/>
    <mergeCell ref="N25:O25"/>
    <mergeCell ref="P25:Q25"/>
    <mergeCell ref="R25:S25"/>
    <mergeCell ref="T25:W25"/>
    <mergeCell ref="B26:D26"/>
    <mergeCell ref="E26:F26"/>
    <mergeCell ref="G26:I26"/>
    <mergeCell ref="J26:K26"/>
    <mergeCell ref="L26:M26"/>
    <mergeCell ref="N26:O26"/>
    <mergeCell ref="P26:Q26"/>
    <mergeCell ref="R26:S26"/>
    <mergeCell ref="T26:W26"/>
    <mergeCell ref="B27:D27"/>
    <mergeCell ref="E27:F27"/>
    <mergeCell ref="G27:I27"/>
    <mergeCell ref="J27:K27"/>
    <mergeCell ref="L27:M27"/>
    <mergeCell ref="N27:O27"/>
    <mergeCell ref="P27:Q27"/>
    <mergeCell ref="R27:S27"/>
    <mergeCell ref="T27:W27"/>
    <mergeCell ref="B28:D28"/>
    <mergeCell ref="E28:F28"/>
    <mergeCell ref="G28:I28"/>
    <mergeCell ref="J28:K28"/>
    <mergeCell ref="L28:M28"/>
    <mergeCell ref="N28:O28"/>
    <mergeCell ref="P28:Q28"/>
    <mergeCell ref="R28:S28"/>
    <mergeCell ref="T28:W28"/>
    <mergeCell ref="B29:D29"/>
    <mergeCell ref="E29:F29"/>
    <mergeCell ref="G29:I29"/>
    <mergeCell ref="J29:K29"/>
    <mergeCell ref="L29:M29"/>
    <mergeCell ref="N29:O29"/>
    <mergeCell ref="P29:Q29"/>
    <mergeCell ref="R29:S29"/>
    <mergeCell ref="T29:W29"/>
    <mergeCell ref="B30:D30"/>
    <mergeCell ref="E30:F30"/>
    <mergeCell ref="G30:I30"/>
    <mergeCell ref="J30:K30"/>
    <mergeCell ref="L30:M30"/>
    <mergeCell ref="N30:O30"/>
    <mergeCell ref="P30:Q30"/>
    <mergeCell ref="R30:S30"/>
    <mergeCell ref="T30:W30"/>
    <mergeCell ref="B31:D31"/>
    <mergeCell ref="E31:F31"/>
    <mergeCell ref="G31:I31"/>
    <mergeCell ref="J31:K31"/>
    <mergeCell ref="L31:M31"/>
    <mergeCell ref="N31:O31"/>
    <mergeCell ref="P31:Q31"/>
    <mergeCell ref="R31:S31"/>
    <mergeCell ref="T31:W31"/>
  </mergeCells>
  <dataValidations count="1">
    <dataValidation allowBlank="true" errorStyle="stop" operator="between" showDropDown="false" showErrorMessage="true" showInputMessage="false" sqref="C3 G3:G4 L3 N3 P3 R3:S3 B4 E4 J4 R4 T4" type="list">
      <formula1>"[  ],[√]"</formula1>
      <formula2>0</formula2>
    </dataValidation>
  </dataValidations>
  <printOptions headings="false" gridLines="false" gridLinesSet="true" horizontalCentered="false" verticalCentered="false"/>
  <pageMargins left="0.3937007874015748" right="0.15748031496062992" top="0.31496062992125984"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I47"/>
  <sheetViews>
    <sheetView showFormulas="false" showGridLines="true" showRowColHeaders="true" showZeros="false" rightToLeft="false" tabSelected="false" showOutlineSymbols="true" defaultGridColor="true" view="normal" topLeftCell="A19" colorId="64" zoomScale="100" zoomScaleNormal="100" zoomScalePageLayoutView="100" workbookViewId="0">
      <selection pane="topLeft" activeCell="B24" activeCellId="0" sqref="B24:B26"/>
    </sheetView>
  </sheetViews>
  <sheetFormatPr defaultColWidth="8.88671875" defaultRowHeight="13.5" customHeight="false" zeroHeight="false" outlineLevelRow="0" outlineLevelCol="0"/>
  <cols>
    <col collapsed="false" customWidth="true" hidden="false" outlineLevel="0" max="1" min="1" style="241" width="3.88"/>
    <col collapsed="false" customWidth="true" hidden="false" outlineLevel="0" max="2" min="2" style="241" width="12.44"/>
    <col collapsed="false" customWidth="true" hidden="false" outlineLevel="0" max="8" min="3" style="241" width="10.99"/>
    <col collapsed="false" customWidth="false" hidden="false" outlineLevel="0" max="257" min="9" style="241" width="8.88"/>
  </cols>
  <sheetData>
    <row r="1" customFormat="false" ht="13.5" hidden="false" customHeight="true" outlineLevel="0" collapsed="false">
      <c r="B1" s="242"/>
      <c r="C1" s="242"/>
      <c r="D1" s="242"/>
      <c r="E1" s="242"/>
      <c r="F1" s="242"/>
      <c r="G1" s="242"/>
      <c r="H1" s="100" t="s">
        <v>275</v>
      </c>
      <c r="I1" s="100"/>
    </row>
    <row r="2" customFormat="false" ht="17.25" hidden="false" customHeight="true" outlineLevel="0" collapsed="false">
      <c r="A2" s="249" t="s">
        <v>258</v>
      </c>
      <c r="B2" s="249"/>
      <c r="C2" s="131" t="s">
        <v>276</v>
      </c>
      <c r="D2" s="295" t="str">
        <f aca="false">현1!G16</f>
        <v>◦ 설비의 종류: [  ]옥내소화전설비 [  ]옥외소화전설비 [  ]스프링클러설비</v>
      </c>
      <c r="E2" s="295"/>
      <c r="F2" s="295"/>
      <c r="G2" s="295"/>
      <c r="H2" s="295"/>
      <c r="I2" s="295"/>
    </row>
    <row r="3" customFormat="false" ht="17.25" hidden="false" customHeight="true" outlineLevel="0" collapsed="false">
      <c r="A3" s="249"/>
      <c r="B3" s="249"/>
      <c r="C3" s="131"/>
      <c r="D3" s="277" t="str">
        <f aca="false">현1!G17</f>
        <v>               [  ]간이스프링클러설비 [  ]화재조기진압용스프링클러설비 </v>
      </c>
      <c r="E3" s="277"/>
      <c r="F3" s="277"/>
      <c r="G3" s="277"/>
      <c r="H3" s="277"/>
      <c r="I3" s="277"/>
    </row>
    <row r="4" customFormat="false" ht="17.25" hidden="false" customHeight="true" outlineLevel="0" collapsed="false">
      <c r="A4" s="249"/>
      <c r="B4" s="249"/>
      <c r="C4" s="131"/>
      <c r="D4" s="277" t="str">
        <f aca="false">현1!G18</f>
        <v>               [  ]물분무소화설비 [  ]미분무소화설비 [  ]포소화설비</v>
      </c>
      <c r="E4" s="277"/>
      <c r="F4" s="277"/>
      <c r="G4" s="277"/>
      <c r="H4" s="277"/>
      <c r="I4" s="277"/>
    </row>
    <row r="5" customFormat="false" ht="17.25" hidden="false" customHeight="true" outlineLevel="0" collapsed="false">
      <c r="A5" s="249"/>
      <c r="B5" s="249"/>
      <c r="C5" s="131"/>
      <c r="D5" s="277" t="str">
        <f aca="false">현1!G19</f>
        <v>◦ 설치장소: 동명(            ) [  ]지상/[  ]지하 (   )층, 실명(            )</v>
      </c>
      <c r="E5" s="277"/>
      <c r="F5" s="277"/>
      <c r="G5" s="277"/>
      <c r="H5" s="277"/>
      <c r="I5" s="277"/>
    </row>
    <row r="6" customFormat="false" ht="17.25" hidden="false" customHeight="true" outlineLevel="0" collapsed="false">
      <c r="A6" s="249"/>
      <c r="B6" s="249"/>
      <c r="C6" s="131"/>
      <c r="D6" s="271" t="s">
        <v>277</v>
      </c>
      <c r="E6" s="271"/>
      <c r="F6" s="271"/>
      <c r="G6" s="271"/>
      <c r="H6" s="271"/>
      <c r="I6" s="271"/>
    </row>
    <row r="7" customFormat="false" ht="17.25" hidden="false" customHeight="true" outlineLevel="0" collapsed="false">
      <c r="A7" s="249"/>
      <c r="B7" s="249"/>
      <c r="C7" s="131"/>
      <c r="D7" s="271" t="s">
        <v>278</v>
      </c>
      <c r="E7" s="271"/>
      <c r="F7" s="271"/>
      <c r="G7" s="271"/>
      <c r="H7" s="271"/>
      <c r="I7" s="271"/>
    </row>
    <row r="8" customFormat="false" ht="17.25" hidden="false" customHeight="true" outlineLevel="0" collapsed="false">
      <c r="A8" s="249"/>
      <c r="B8" s="249"/>
      <c r="C8" s="131"/>
      <c r="D8" s="271" t="s">
        <v>279</v>
      </c>
      <c r="E8" s="271"/>
      <c r="F8" s="271"/>
      <c r="G8" s="271"/>
      <c r="H8" s="271"/>
      <c r="I8" s="271"/>
    </row>
    <row r="9" customFormat="false" ht="17.25" hidden="false" customHeight="true" outlineLevel="0" collapsed="false">
      <c r="A9" s="249"/>
      <c r="B9" s="249"/>
      <c r="C9" s="131"/>
      <c r="D9" s="271" t="s">
        <v>278</v>
      </c>
      <c r="E9" s="271"/>
      <c r="F9" s="271"/>
      <c r="G9" s="271"/>
      <c r="H9" s="271"/>
      <c r="I9" s="271"/>
    </row>
    <row r="10" customFormat="false" ht="17.25" hidden="false" customHeight="true" outlineLevel="0" collapsed="false">
      <c r="A10" s="249"/>
      <c r="B10" s="249"/>
      <c r="C10" s="131"/>
      <c r="D10" s="271" t="s">
        <v>280</v>
      </c>
      <c r="E10" s="271"/>
      <c r="F10" s="271"/>
      <c r="G10" s="271"/>
      <c r="H10" s="271"/>
      <c r="I10" s="271"/>
    </row>
    <row r="11" customFormat="false" ht="17.25" hidden="false" customHeight="true" outlineLevel="0" collapsed="false">
      <c r="A11" s="249"/>
      <c r="B11" s="249"/>
      <c r="C11" s="131"/>
      <c r="D11" s="271" t="s">
        <v>281</v>
      </c>
      <c r="E11" s="271"/>
      <c r="F11" s="271"/>
      <c r="G11" s="271"/>
      <c r="H11" s="271"/>
      <c r="I11" s="271"/>
    </row>
    <row r="12" customFormat="false" ht="17.25" hidden="false" customHeight="true" outlineLevel="0" collapsed="false">
      <c r="A12" s="249"/>
      <c r="B12" s="249"/>
      <c r="C12" s="131"/>
      <c r="D12" s="271" t="s">
        <v>282</v>
      </c>
      <c r="E12" s="271"/>
      <c r="F12" s="271"/>
      <c r="G12" s="271"/>
      <c r="H12" s="271"/>
      <c r="I12" s="271"/>
    </row>
    <row r="13" customFormat="false" ht="17.25" hidden="false" customHeight="true" outlineLevel="0" collapsed="false">
      <c r="A13" s="249"/>
      <c r="B13" s="249"/>
      <c r="C13" s="131"/>
      <c r="D13" s="271" t="s">
        <v>283</v>
      </c>
      <c r="E13" s="271"/>
      <c r="F13" s="271"/>
      <c r="G13" s="271"/>
      <c r="H13" s="271"/>
      <c r="I13" s="271"/>
    </row>
    <row r="14" customFormat="false" ht="17.25" hidden="false" customHeight="true" outlineLevel="0" collapsed="false">
      <c r="A14" s="249"/>
      <c r="B14" s="249"/>
      <c r="C14" s="131"/>
      <c r="D14" s="271" t="s">
        <v>284</v>
      </c>
      <c r="E14" s="271"/>
      <c r="F14" s="271"/>
      <c r="G14" s="271"/>
      <c r="H14" s="271"/>
      <c r="I14" s="271"/>
    </row>
    <row r="15" customFormat="false" ht="17.25" hidden="false" customHeight="true" outlineLevel="0" collapsed="false">
      <c r="A15" s="249"/>
      <c r="B15" s="249"/>
      <c r="C15" s="131"/>
      <c r="D15" s="272" t="s">
        <v>285</v>
      </c>
      <c r="E15" s="272"/>
      <c r="F15" s="272"/>
      <c r="G15" s="272"/>
      <c r="H15" s="272"/>
      <c r="I15" s="272"/>
    </row>
    <row r="16" customFormat="false" ht="17.25" hidden="false" customHeight="true" outlineLevel="0" collapsed="false">
      <c r="A16" s="133" t="s">
        <v>286</v>
      </c>
      <c r="B16" s="133"/>
      <c r="C16" s="296" t="str">
        <f aca="false">D2</f>
        <v>◦ 설비의 종류: [  ]옥내소화전설비 [  ]옥외소화전설비 [  ]스프링클러설비</v>
      </c>
      <c r="D16" s="296"/>
      <c r="E16" s="296"/>
      <c r="F16" s="296"/>
      <c r="G16" s="296"/>
      <c r="H16" s="296"/>
      <c r="I16" s="296"/>
    </row>
    <row r="17" customFormat="false" ht="17.25" hidden="false" customHeight="true" outlineLevel="0" collapsed="false">
      <c r="A17" s="133"/>
      <c r="B17" s="133"/>
      <c r="C17" s="297" t="str">
        <f aca="false">D3</f>
        <v>               [  ]간이스프링클러설비 [  ]화재조기진압용스프링클러설비 </v>
      </c>
      <c r="D17" s="297"/>
      <c r="E17" s="297"/>
      <c r="F17" s="297"/>
      <c r="G17" s="297"/>
      <c r="H17" s="297"/>
      <c r="I17" s="297"/>
    </row>
    <row r="18" customFormat="false" ht="17.25" hidden="false" customHeight="true" outlineLevel="0" collapsed="false">
      <c r="A18" s="133"/>
      <c r="B18" s="133"/>
      <c r="C18" s="297" t="str">
        <f aca="false">D4</f>
        <v>               [  ]물분무소화설비 [  ]미분무소화설비 [  ]포소화설비</v>
      </c>
      <c r="D18" s="297"/>
      <c r="E18" s="297"/>
      <c r="F18" s="297"/>
      <c r="G18" s="297"/>
      <c r="H18" s="297"/>
      <c r="I18" s="297"/>
    </row>
    <row r="19" customFormat="false" ht="17.25" hidden="false" customHeight="true" outlineLevel="0" collapsed="false">
      <c r="A19" s="133"/>
      <c r="B19" s="133"/>
      <c r="C19" s="272" t="s">
        <v>287</v>
      </c>
      <c r="D19" s="272"/>
      <c r="E19" s="272"/>
      <c r="F19" s="272"/>
      <c r="G19" s="272"/>
      <c r="H19" s="272"/>
      <c r="I19" s="272"/>
    </row>
    <row r="20" customFormat="false" ht="17.25" hidden="false" customHeight="true" outlineLevel="0" collapsed="false">
      <c r="A20" s="150" t="s">
        <v>288</v>
      </c>
      <c r="B20" s="150"/>
      <c r="C20" s="296" t="s">
        <v>289</v>
      </c>
      <c r="D20" s="296"/>
      <c r="E20" s="296"/>
      <c r="F20" s="296"/>
      <c r="G20" s="296"/>
      <c r="H20" s="296"/>
      <c r="I20" s="296"/>
    </row>
    <row r="21" customFormat="false" ht="17.25" hidden="false" customHeight="true" outlineLevel="0" collapsed="false">
      <c r="A21" s="150"/>
      <c r="B21" s="150"/>
      <c r="C21" s="297" t="s">
        <v>290</v>
      </c>
      <c r="D21" s="297"/>
      <c r="E21" s="297"/>
      <c r="F21" s="297"/>
      <c r="G21" s="297"/>
      <c r="H21" s="297"/>
      <c r="I21" s="297"/>
    </row>
    <row r="22" customFormat="false" ht="17.25" hidden="false" customHeight="true" outlineLevel="0" collapsed="false">
      <c r="A22" s="150"/>
      <c r="B22" s="150"/>
      <c r="C22" s="298" t="s">
        <v>254</v>
      </c>
      <c r="D22" s="298"/>
      <c r="E22" s="298"/>
      <c r="F22" s="298"/>
      <c r="G22" s="298"/>
      <c r="H22" s="298"/>
      <c r="I22" s="298"/>
    </row>
    <row r="23" customFormat="false" ht="23.25" hidden="false" customHeight="true" outlineLevel="0" collapsed="false">
      <c r="A23" s="299" t="s">
        <v>291</v>
      </c>
      <c r="B23" s="299"/>
      <c r="C23" s="299"/>
      <c r="D23" s="299"/>
      <c r="E23" s="299"/>
      <c r="F23" s="299"/>
      <c r="G23" s="299"/>
      <c r="H23" s="299"/>
      <c r="I23" s="299"/>
    </row>
    <row r="24" customFormat="false" ht="17.25" hidden="false" customHeight="true" outlineLevel="0" collapsed="false">
      <c r="A24" s="300" t="str">
        <f aca="false">현황!C12</f>
        <v>[  ]</v>
      </c>
      <c r="B24" s="249" t="s">
        <v>292</v>
      </c>
      <c r="C24" s="270" t="s">
        <v>293</v>
      </c>
      <c r="D24" s="270"/>
      <c r="E24" s="270"/>
      <c r="F24" s="270"/>
      <c r="G24" s="270"/>
      <c r="H24" s="270"/>
      <c r="I24" s="270"/>
    </row>
    <row r="25" customFormat="false" ht="17.25" hidden="false" customHeight="true" outlineLevel="0" collapsed="false">
      <c r="A25" s="300"/>
      <c r="B25" s="249"/>
      <c r="C25" s="271" t="s">
        <v>294</v>
      </c>
      <c r="D25" s="271"/>
      <c r="E25" s="271"/>
      <c r="F25" s="271"/>
      <c r="G25" s="271"/>
      <c r="H25" s="271"/>
      <c r="I25" s="271"/>
    </row>
    <row r="26" customFormat="false" ht="17.25" hidden="false" customHeight="true" outlineLevel="0" collapsed="false">
      <c r="A26" s="300"/>
      <c r="B26" s="249"/>
      <c r="C26" s="272" t="s">
        <v>295</v>
      </c>
      <c r="D26" s="272"/>
      <c r="E26" s="272"/>
      <c r="F26" s="272"/>
      <c r="G26" s="272"/>
      <c r="H26" s="272"/>
      <c r="I26" s="272"/>
    </row>
    <row r="27" customFormat="false" ht="17.25" hidden="false" customHeight="true" outlineLevel="0" collapsed="false">
      <c r="A27" s="291" t="str">
        <f aca="false">현황!C25</f>
        <v>[  ]</v>
      </c>
      <c r="B27" s="275" t="s">
        <v>296</v>
      </c>
      <c r="C27" s="123" t="s">
        <v>297</v>
      </c>
      <c r="D27" s="123"/>
      <c r="E27" s="123"/>
      <c r="F27" s="123"/>
      <c r="G27" s="123"/>
      <c r="H27" s="123"/>
      <c r="I27" s="123"/>
    </row>
    <row r="28" customFormat="false" ht="17.25" hidden="false" customHeight="true" outlineLevel="0" collapsed="false">
      <c r="A28" s="291" t="str">
        <f aca="false">현황!C13</f>
        <v>[  ]</v>
      </c>
      <c r="B28" s="275" t="s">
        <v>179</v>
      </c>
      <c r="C28" s="276" t="s">
        <v>298</v>
      </c>
      <c r="D28" s="276"/>
      <c r="E28" s="276"/>
      <c r="F28" s="276"/>
      <c r="G28" s="276"/>
      <c r="H28" s="276"/>
      <c r="I28" s="276"/>
    </row>
    <row r="29" customFormat="false" ht="17.25" hidden="false" customHeight="true" outlineLevel="0" collapsed="false">
      <c r="A29" s="291"/>
      <c r="B29" s="275"/>
      <c r="C29" s="278" t="s">
        <v>293</v>
      </c>
      <c r="D29" s="278"/>
      <c r="E29" s="278"/>
      <c r="F29" s="278"/>
      <c r="G29" s="278"/>
      <c r="H29" s="278"/>
      <c r="I29" s="278"/>
    </row>
    <row r="30" customFormat="false" ht="17.25" hidden="false" customHeight="true" outlineLevel="0" collapsed="false">
      <c r="A30" s="291" t="str">
        <f aca="false">현황!C14</f>
        <v>[  ]</v>
      </c>
      <c r="B30" s="275" t="s">
        <v>299</v>
      </c>
      <c r="C30" s="276" t="s">
        <v>300</v>
      </c>
      <c r="D30" s="276"/>
      <c r="E30" s="276"/>
      <c r="F30" s="276"/>
      <c r="G30" s="276"/>
      <c r="H30" s="276"/>
      <c r="I30" s="276"/>
    </row>
    <row r="31" customFormat="false" ht="17.25" hidden="false" customHeight="true" outlineLevel="0" collapsed="false">
      <c r="A31" s="291"/>
      <c r="B31" s="275"/>
      <c r="C31" s="278" t="s">
        <v>293</v>
      </c>
      <c r="D31" s="278"/>
      <c r="E31" s="278"/>
      <c r="F31" s="278"/>
      <c r="G31" s="278"/>
      <c r="H31" s="278"/>
      <c r="I31" s="278"/>
    </row>
    <row r="32" customFormat="false" ht="17.25" hidden="false" customHeight="true" outlineLevel="0" collapsed="false">
      <c r="A32" s="291" t="str">
        <f aca="false">현황!C15</f>
        <v>[  ]</v>
      </c>
      <c r="B32" s="275" t="s">
        <v>301</v>
      </c>
      <c r="C32" s="276" t="s">
        <v>293</v>
      </c>
      <c r="D32" s="276"/>
      <c r="E32" s="276"/>
      <c r="F32" s="276"/>
      <c r="G32" s="276"/>
      <c r="H32" s="276"/>
      <c r="I32" s="276"/>
    </row>
    <row r="33" customFormat="false" ht="17.25" hidden="false" customHeight="true" outlineLevel="0" collapsed="false">
      <c r="A33" s="291"/>
      <c r="B33" s="275"/>
      <c r="C33" s="278" t="s">
        <v>294</v>
      </c>
      <c r="D33" s="278"/>
      <c r="E33" s="278"/>
      <c r="F33" s="278"/>
      <c r="G33" s="278"/>
      <c r="H33" s="278"/>
      <c r="I33" s="278"/>
    </row>
    <row r="34" customFormat="false" ht="17.25" hidden="false" customHeight="true" outlineLevel="0" collapsed="false">
      <c r="A34" s="291" t="str">
        <f aca="false">현황!C16</f>
        <v>[  ]</v>
      </c>
      <c r="B34" s="275" t="s">
        <v>302</v>
      </c>
      <c r="C34" s="276" t="s">
        <v>293</v>
      </c>
      <c r="D34" s="276"/>
      <c r="E34" s="276"/>
      <c r="F34" s="276"/>
      <c r="G34" s="276"/>
      <c r="H34" s="276"/>
      <c r="I34" s="276"/>
    </row>
    <row r="35" customFormat="false" ht="17.25" hidden="false" customHeight="true" outlineLevel="0" collapsed="false">
      <c r="A35" s="291"/>
      <c r="B35" s="275"/>
      <c r="C35" s="278" t="s">
        <v>294</v>
      </c>
      <c r="D35" s="278"/>
      <c r="E35" s="278"/>
      <c r="F35" s="278"/>
      <c r="G35" s="278"/>
      <c r="H35" s="278"/>
      <c r="I35" s="278"/>
    </row>
    <row r="36" customFormat="false" ht="17.25" hidden="false" customHeight="true" outlineLevel="0" collapsed="false">
      <c r="A36" s="294" t="str">
        <f aca="false">현황!C18</f>
        <v>[  ]</v>
      </c>
      <c r="B36" s="301" t="s">
        <v>303</v>
      </c>
      <c r="C36" s="277" t="s">
        <v>304</v>
      </c>
      <c r="D36" s="277"/>
      <c r="E36" s="277"/>
      <c r="F36" s="277"/>
      <c r="G36" s="277"/>
      <c r="H36" s="277"/>
      <c r="I36" s="277"/>
    </row>
    <row r="37" customFormat="false" ht="17.25" hidden="false" customHeight="true" outlineLevel="0" collapsed="false">
      <c r="A37" s="294"/>
      <c r="B37" s="301"/>
      <c r="C37" s="277" t="s">
        <v>305</v>
      </c>
      <c r="D37" s="277"/>
      <c r="E37" s="277"/>
      <c r="F37" s="277"/>
      <c r="G37" s="277"/>
      <c r="H37" s="277"/>
      <c r="I37" s="277"/>
    </row>
    <row r="38" customFormat="false" ht="17.25" hidden="false" customHeight="true" outlineLevel="0" collapsed="false">
      <c r="A38" s="294"/>
      <c r="B38" s="301"/>
      <c r="C38" s="302" t="s">
        <v>293</v>
      </c>
      <c r="D38" s="302"/>
      <c r="E38" s="302"/>
      <c r="F38" s="302"/>
      <c r="G38" s="302"/>
      <c r="H38" s="302"/>
      <c r="I38" s="302"/>
    </row>
    <row r="39" customFormat="false" ht="23.25" hidden="false" customHeight="true" outlineLevel="0" collapsed="false">
      <c r="A39" s="299" t="s">
        <v>306</v>
      </c>
      <c r="B39" s="299"/>
      <c r="C39" s="299"/>
      <c r="D39" s="299"/>
      <c r="E39" s="299"/>
      <c r="F39" s="299"/>
      <c r="G39" s="299"/>
      <c r="H39" s="299"/>
      <c r="I39" s="299"/>
    </row>
    <row r="40" customFormat="false" ht="17.25" hidden="false" customHeight="true" outlineLevel="0" collapsed="false">
      <c r="A40" s="303" t="str">
        <f aca="false">현황!C19</f>
        <v>[  ]</v>
      </c>
      <c r="B40" s="304" t="s">
        <v>307</v>
      </c>
      <c r="C40" s="295" t="s">
        <v>308</v>
      </c>
      <c r="D40" s="295"/>
      <c r="E40" s="295"/>
      <c r="F40" s="295"/>
      <c r="G40" s="295"/>
      <c r="H40" s="295"/>
      <c r="I40" s="295"/>
    </row>
    <row r="41" customFormat="false" ht="17.25" hidden="false" customHeight="true" outlineLevel="0" collapsed="false">
      <c r="A41" s="305" t="str">
        <f aca="false">현황!C20</f>
        <v>[  ]</v>
      </c>
      <c r="B41" s="306" t="s">
        <v>309</v>
      </c>
      <c r="C41" s="277" t="s">
        <v>293</v>
      </c>
      <c r="D41" s="277"/>
      <c r="E41" s="277"/>
      <c r="F41" s="277"/>
      <c r="G41" s="277"/>
      <c r="H41" s="277"/>
      <c r="I41" s="277"/>
    </row>
    <row r="42" customFormat="false" ht="17.25" hidden="false" customHeight="true" outlineLevel="0" collapsed="false">
      <c r="A42" s="305" t="str">
        <f aca="false">현황!C21</f>
        <v>[  ]</v>
      </c>
      <c r="B42" s="307" t="s">
        <v>310</v>
      </c>
      <c r="C42" s="277" t="s">
        <v>311</v>
      </c>
      <c r="D42" s="277"/>
      <c r="E42" s="277"/>
      <c r="F42" s="277"/>
      <c r="G42" s="277"/>
      <c r="H42" s="277"/>
      <c r="I42" s="277"/>
    </row>
    <row r="43" customFormat="false" ht="17.25" hidden="false" customHeight="true" outlineLevel="0" collapsed="false">
      <c r="A43" s="305"/>
      <c r="B43" s="307"/>
      <c r="C43" s="277" t="s">
        <v>312</v>
      </c>
      <c r="D43" s="277"/>
      <c r="E43" s="277"/>
      <c r="F43" s="277"/>
      <c r="G43" s="277"/>
      <c r="H43" s="277"/>
      <c r="I43" s="277"/>
    </row>
    <row r="44" customFormat="false" ht="17.25" hidden="false" customHeight="true" outlineLevel="0" collapsed="false">
      <c r="A44" s="305" t="str">
        <f aca="false">현황!C22</f>
        <v>[  ]</v>
      </c>
      <c r="B44" s="306" t="s">
        <v>241</v>
      </c>
      <c r="C44" s="277" t="s">
        <v>313</v>
      </c>
      <c r="D44" s="277"/>
      <c r="E44" s="277"/>
      <c r="F44" s="277"/>
      <c r="G44" s="277"/>
      <c r="H44" s="277"/>
      <c r="I44" s="277"/>
    </row>
    <row r="45" customFormat="false" ht="17.25" hidden="false" customHeight="true" outlineLevel="0" collapsed="false">
      <c r="A45" s="305" t="str">
        <f aca="false">현황!C23</f>
        <v>[  ]</v>
      </c>
      <c r="B45" s="306" t="s">
        <v>314</v>
      </c>
      <c r="C45" s="277" t="s">
        <v>315</v>
      </c>
      <c r="D45" s="277"/>
      <c r="E45" s="277"/>
      <c r="F45" s="277"/>
      <c r="G45" s="277"/>
      <c r="H45" s="277"/>
      <c r="I45" s="277"/>
    </row>
    <row r="46" customFormat="false" ht="17.25" hidden="false" customHeight="true" outlineLevel="0" collapsed="false">
      <c r="A46" s="305" t="str">
        <f aca="false">현황!C24</f>
        <v>[  ]</v>
      </c>
      <c r="B46" s="306" t="s">
        <v>316</v>
      </c>
      <c r="C46" s="277" t="s">
        <v>317</v>
      </c>
      <c r="D46" s="277"/>
      <c r="E46" s="277"/>
      <c r="F46" s="277"/>
      <c r="G46" s="277"/>
      <c r="H46" s="277"/>
      <c r="I46" s="277"/>
    </row>
    <row r="47" customFormat="false" ht="17.25" hidden="false" customHeight="true" outlineLevel="0" collapsed="false">
      <c r="A47" s="308"/>
      <c r="B47" s="309"/>
      <c r="C47" s="302" t="s">
        <v>318</v>
      </c>
      <c r="D47" s="302"/>
      <c r="E47" s="302"/>
      <c r="F47" s="302"/>
      <c r="G47" s="302"/>
      <c r="H47" s="302"/>
      <c r="I47" s="302"/>
    </row>
  </sheetData>
  <mergeCells count="66">
    <mergeCell ref="B1:G1"/>
    <mergeCell ref="H1:I1"/>
    <mergeCell ref="A2:B15"/>
    <mergeCell ref="C2:C15"/>
    <mergeCell ref="D2:I2"/>
    <mergeCell ref="D3:I3"/>
    <mergeCell ref="D4:I4"/>
    <mergeCell ref="D5:I5"/>
    <mergeCell ref="D6:I6"/>
    <mergeCell ref="D7:I7"/>
    <mergeCell ref="D8:I8"/>
    <mergeCell ref="D9:I9"/>
    <mergeCell ref="D10:I10"/>
    <mergeCell ref="D11:I11"/>
    <mergeCell ref="D12:I12"/>
    <mergeCell ref="D13:I13"/>
    <mergeCell ref="D14:I14"/>
    <mergeCell ref="D15:I15"/>
    <mergeCell ref="A16:B19"/>
    <mergeCell ref="C16:I16"/>
    <mergeCell ref="C17:I17"/>
    <mergeCell ref="C18:I18"/>
    <mergeCell ref="C19:I19"/>
    <mergeCell ref="A20:B22"/>
    <mergeCell ref="C20:I20"/>
    <mergeCell ref="C21:I21"/>
    <mergeCell ref="C22:I22"/>
    <mergeCell ref="A23:I23"/>
    <mergeCell ref="A24:A26"/>
    <mergeCell ref="B24:B26"/>
    <mergeCell ref="C24:I24"/>
    <mergeCell ref="C25:I25"/>
    <mergeCell ref="C26:I26"/>
    <mergeCell ref="C27:I27"/>
    <mergeCell ref="A28:A29"/>
    <mergeCell ref="B28:B29"/>
    <mergeCell ref="C28:I28"/>
    <mergeCell ref="C29:I29"/>
    <mergeCell ref="A30:A31"/>
    <mergeCell ref="B30:B31"/>
    <mergeCell ref="C30:I30"/>
    <mergeCell ref="C31:I31"/>
    <mergeCell ref="A32:A33"/>
    <mergeCell ref="B32:B33"/>
    <mergeCell ref="C32:I32"/>
    <mergeCell ref="C33:I33"/>
    <mergeCell ref="A34:A35"/>
    <mergeCell ref="B34:B35"/>
    <mergeCell ref="C34:I34"/>
    <mergeCell ref="C35:I35"/>
    <mergeCell ref="A36:A38"/>
    <mergeCell ref="B36:B38"/>
    <mergeCell ref="C36:I36"/>
    <mergeCell ref="C37:I37"/>
    <mergeCell ref="C38:I38"/>
    <mergeCell ref="A39:I39"/>
    <mergeCell ref="C40:I40"/>
    <mergeCell ref="C41:I41"/>
    <mergeCell ref="A42:A43"/>
    <mergeCell ref="B42:B43"/>
    <mergeCell ref="C42:I42"/>
    <mergeCell ref="C43:I43"/>
    <mergeCell ref="C44:I44"/>
    <mergeCell ref="C45:I45"/>
    <mergeCell ref="C46:I46"/>
    <mergeCell ref="C47:I47"/>
  </mergeCells>
  <printOptions headings="false" gridLines="false" gridLinesSet="true" horizontalCentered="false" verticalCentered="false"/>
  <pageMargins left="0.3937007874015748" right="0.15748031496062992" top="0.31496062992125984"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1:I46"/>
  <sheetViews>
    <sheetView showFormulas="false" showGridLines="true" showRowColHeaders="true" showZeros="false" rightToLeft="false" tabSelected="false" showOutlineSymbols="true" defaultGridColor="true" view="normal" topLeftCell="A25" colorId="64" zoomScale="100" zoomScaleNormal="100" zoomScalePageLayoutView="100" workbookViewId="0">
      <selection pane="topLeft" activeCell="A40" activeCellId="0" sqref="A40:I40"/>
    </sheetView>
  </sheetViews>
  <sheetFormatPr defaultColWidth="8.88671875" defaultRowHeight="13.5" customHeight="false" zeroHeight="false" outlineLevelRow="0" outlineLevelCol="0"/>
  <cols>
    <col collapsed="false" customWidth="true" hidden="false" outlineLevel="0" max="1" min="1" style="241" width="3.44"/>
    <col collapsed="false" customWidth="true" hidden="false" outlineLevel="0" max="2" min="2" style="241" width="10.77"/>
    <col collapsed="false" customWidth="true" hidden="false" outlineLevel="0" max="8" min="3" style="241" width="10.99"/>
    <col collapsed="false" customWidth="true" hidden="false" outlineLevel="0" max="9" min="9" style="241" width="8.33"/>
    <col collapsed="false" customWidth="false" hidden="false" outlineLevel="0" max="257" min="10" style="241" width="8.88"/>
  </cols>
  <sheetData>
    <row r="1" customFormat="false" ht="13.5" hidden="false" customHeight="true" outlineLevel="0" collapsed="false">
      <c r="B1" s="242"/>
      <c r="C1" s="242"/>
      <c r="D1" s="242"/>
      <c r="E1" s="242"/>
      <c r="F1" s="242"/>
      <c r="G1" s="242"/>
      <c r="H1" s="310" t="s">
        <v>319</v>
      </c>
      <c r="I1" s="310"/>
    </row>
    <row r="2" customFormat="false" ht="19.5" hidden="false" customHeight="true" outlineLevel="0" collapsed="false">
      <c r="A2" s="311" t="s">
        <v>320</v>
      </c>
      <c r="B2" s="311"/>
      <c r="C2" s="311"/>
      <c r="D2" s="311"/>
      <c r="E2" s="311"/>
      <c r="F2" s="311"/>
      <c r="G2" s="311"/>
      <c r="H2" s="311"/>
      <c r="I2" s="311"/>
    </row>
    <row r="3" customFormat="false" ht="17.25" hidden="false" customHeight="true" outlineLevel="0" collapsed="false">
      <c r="A3" s="300" t="str">
        <f aca="false">현황!C26</f>
        <v>[  ]</v>
      </c>
      <c r="B3" s="249" t="s">
        <v>321</v>
      </c>
      <c r="C3" s="295" t="s">
        <v>293</v>
      </c>
      <c r="D3" s="295"/>
      <c r="E3" s="295"/>
      <c r="F3" s="295"/>
      <c r="G3" s="295"/>
      <c r="H3" s="295"/>
      <c r="I3" s="295"/>
    </row>
    <row r="4" customFormat="false" ht="17.25" hidden="false" customHeight="true" outlineLevel="0" collapsed="false">
      <c r="A4" s="300"/>
      <c r="B4" s="249"/>
      <c r="C4" s="278" t="s">
        <v>322</v>
      </c>
      <c r="D4" s="278"/>
      <c r="E4" s="278"/>
      <c r="F4" s="278"/>
      <c r="G4" s="278"/>
      <c r="H4" s="278"/>
      <c r="I4" s="278"/>
    </row>
    <row r="5" customFormat="false" ht="17.25" hidden="false" customHeight="true" outlineLevel="0" collapsed="false">
      <c r="A5" s="291" t="str">
        <f aca="false">현황!C27</f>
        <v>[  ]</v>
      </c>
      <c r="B5" s="275" t="s">
        <v>210</v>
      </c>
      <c r="C5" s="276" t="s">
        <v>323</v>
      </c>
      <c r="D5" s="276"/>
      <c r="E5" s="276"/>
      <c r="F5" s="276"/>
      <c r="G5" s="276"/>
      <c r="H5" s="276"/>
      <c r="I5" s="276"/>
    </row>
    <row r="6" customFormat="false" ht="17.25" hidden="false" customHeight="true" outlineLevel="0" collapsed="false">
      <c r="A6" s="291"/>
      <c r="B6" s="275"/>
      <c r="C6" s="277" t="s">
        <v>293</v>
      </c>
      <c r="D6" s="277"/>
      <c r="E6" s="277"/>
      <c r="F6" s="277"/>
      <c r="G6" s="277"/>
      <c r="H6" s="277"/>
      <c r="I6" s="277"/>
    </row>
    <row r="7" customFormat="false" ht="17.25" hidden="false" customHeight="true" outlineLevel="0" collapsed="false">
      <c r="A7" s="291"/>
      <c r="B7" s="275"/>
      <c r="C7" s="278" t="s">
        <v>324</v>
      </c>
      <c r="D7" s="278"/>
      <c r="E7" s="278"/>
      <c r="F7" s="278"/>
      <c r="G7" s="278"/>
      <c r="H7" s="278"/>
      <c r="I7" s="278"/>
    </row>
    <row r="8" customFormat="false" ht="17.25" hidden="false" customHeight="true" outlineLevel="0" collapsed="false">
      <c r="A8" s="291" t="str">
        <f aca="false">현황!C28</f>
        <v>[  ]</v>
      </c>
      <c r="B8" s="312" t="s">
        <v>325</v>
      </c>
      <c r="C8" s="276" t="inlineStr">
        <is>
          <t xml:space="preserve">◦ 수신기 위치: 동명(   ) [  ]지상/[  ]지하 (   )층 실명(     )</t>
        </is>
      </c>
      <c r="D8" s="276"/>
      <c r="E8" s="276"/>
      <c r="F8" s="276"/>
      <c r="G8" s="276"/>
      <c r="H8" s="276"/>
      <c r="I8" s="276"/>
    </row>
    <row r="9" customFormat="false" ht="17.25" hidden="false" customHeight="true" outlineLevel="0" collapsed="false">
      <c r="A9" s="291"/>
      <c r="B9" s="312"/>
      <c r="C9" s="277" t="inlineStr">
        <is>
          <t xml:space="preserve">◦ 경보방식 [  ]전층경보 [  ]우선경보, 시각경보기 [  ]유 [  ]무</t>
        </is>
      </c>
      <c r="D9" s="277"/>
      <c r="E9" s="277"/>
      <c r="F9" s="277"/>
      <c r="G9" s="277"/>
      <c r="H9" s="277"/>
      <c r="I9" s="277"/>
    </row>
    <row r="10" customFormat="false" ht="17.25" hidden="false" customHeight="true" outlineLevel="0" collapsed="false">
      <c r="A10" s="291"/>
      <c r="B10" s="312"/>
      <c r="C10" s="277" t="inlineStr">
        <is>
          <t xml:space="preserve">◦ 설치장소: 동명(   ) [  ]전체층/[  ]일부층 [  ]지상/[  ]지하(  )층 ~ [  ]지상/[  ]지하(  )층</t>
        </is>
      </c>
      <c r="D10" s="277"/>
      <c r="E10" s="277"/>
      <c r="F10" s="277"/>
      <c r="G10" s="277"/>
      <c r="H10" s="277"/>
      <c r="I10" s="277"/>
    </row>
    <row r="11" customFormat="false" ht="17.25" hidden="false" customHeight="true" outlineLevel="0" collapsed="false">
      <c r="A11" s="291"/>
      <c r="B11" s="312"/>
      <c r="C11" s="277" t="s">
        <v>294</v>
      </c>
      <c r="D11" s="277"/>
      <c r="E11" s="277"/>
      <c r="F11" s="277"/>
      <c r="G11" s="277"/>
      <c r="H11" s="277"/>
      <c r="I11" s="277"/>
    </row>
    <row r="12" customFormat="false" ht="17.25" hidden="false" customHeight="true" outlineLevel="0" collapsed="false">
      <c r="A12" s="291"/>
      <c r="B12" s="312"/>
      <c r="C12" s="278" t="inlineStr">
        <is>
          <t xml:space="preserve">◦ 감지기종류 [  ]열 [  ]연기 [  ]그 밖의 것([  ]불꽃 [  ]아날로그식 [  ]복합형)</t>
        </is>
      </c>
      <c r="D12" s="278"/>
      <c r="E12" s="278"/>
      <c r="F12" s="278"/>
      <c r="G12" s="278"/>
      <c r="H12" s="278"/>
      <c r="I12" s="278"/>
    </row>
    <row r="13" customFormat="false" ht="17.25" hidden="false" customHeight="true" outlineLevel="0" collapsed="false">
      <c r="A13" s="291" t="str">
        <f aca="false">현황!C29</f>
        <v>[  ]</v>
      </c>
      <c r="B13" s="275" t="s">
        <v>215</v>
      </c>
      <c r="C13" s="276" t="s">
        <v>330</v>
      </c>
      <c r="D13" s="276"/>
      <c r="E13" s="276"/>
      <c r="F13" s="276"/>
      <c r="G13" s="276"/>
      <c r="H13" s="276"/>
      <c r="I13" s="276"/>
    </row>
    <row r="14" customFormat="false" ht="17.25" hidden="false" customHeight="true" outlineLevel="0" collapsed="false">
      <c r="A14" s="291"/>
      <c r="B14" s="275"/>
      <c r="C14" s="278" t="s">
        <v>331</v>
      </c>
      <c r="D14" s="278"/>
      <c r="E14" s="278"/>
      <c r="F14" s="278"/>
      <c r="G14" s="278"/>
      <c r="H14" s="278"/>
      <c r="I14" s="278"/>
    </row>
    <row r="15" customFormat="false" ht="33.75" hidden="false" customHeight="true" outlineLevel="0" collapsed="false">
      <c r="A15" s="313" t="str">
        <f aca="false">현황!C31</f>
        <v>[  ]</v>
      </c>
      <c r="B15" s="314" t="s">
        <v>332</v>
      </c>
      <c r="C15" s="277" t="s">
        <v>333</v>
      </c>
      <c r="D15" s="277"/>
      <c r="E15" s="277"/>
      <c r="F15" s="277"/>
      <c r="G15" s="277"/>
      <c r="H15" s="277"/>
      <c r="I15" s="277"/>
    </row>
    <row r="16" customFormat="false" ht="17.25" hidden="false" customHeight="true" outlineLevel="0" collapsed="false">
      <c r="A16" s="291" t="str">
        <f aca="false">현황!C30</f>
        <v>[  ]</v>
      </c>
      <c r="B16" s="275" t="s">
        <v>217</v>
      </c>
      <c r="C16" s="276" t="s">
        <v>334</v>
      </c>
      <c r="D16" s="276"/>
      <c r="E16" s="276"/>
      <c r="F16" s="276"/>
      <c r="G16" s="276"/>
      <c r="H16" s="276"/>
      <c r="I16" s="276"/>
    </row>
    <row r="17" customFormat="false" ht="17.25" hidden="false" customHeight="true" outlineLevel="0" collapsed="false">
      <c r="A17" s="291"/>
      <c r="B17" s="275"/>
      <c r="C17" s="277" t="s">
        <v>335</v>
      </c>
      <c r="D17" s="277"/>
      <c r="E17" s="277"/>
      <c r="F17" s="277"/>
      <c r="G17" s="277"/>
      <c r="H17" s="277"/>
      <c r="I17" s="277"/>
    </row>
    <row r="18" customFormat="false" ht="17.25" hidden="false" customHeight="true" outlineLevel="0" collapsed="false">
      <c r="A18" s="291"/>
      <c r="B18" s="275"/>
      <c r="C18" s="278" t="s">
        <v>336</v>
      </c>
      <c r="D18" s="278"/>
      <c r="E18" s="278"/>
      <c r="F18" s="278"/>
      <c r="G18" s="278"/>
      <c r="H18" s="278"/>
      <c r="I18" s="278"/>
    </row>
    <row r="19" customFormat="false" ht="17.25" hidden="false" customHeight="true" outlineLevel="0" collapsed="false">
      <c r="A19" s="291" t="str">
        <f aca="false">현황!C32</f>
        <v>[  ]</v>
      </c>
      <c r="B19" s="275" t="s">
        <v>220</v>
      </c>
      <c r="C19" s="276" t="s">
        <v>334</v>
      </c>
      <c r="D19" s="276"/>
      <c r="E19" s="276"/>
      <c r="F19" s="276"/>
      <c r="G19" s="276"/>
      <c r="H19" s="276"/>
      <c r="I19" s="276"/>
    </row>
    <row r="20" customFormat="false" ht="17.25" hidden="false" customHeight="true" outlineLevel="0" collapsed="false">
      <c r="A20" s="291"/>
      <c r="B20" s="275"/>
      <c r="C20" s="278" t="s">
        <v>337</v>
      </c>
      <c r="D20" s="278"/>
      <c r="E20" s="278"/>
      <c r="F20" s="278"/>
      <c r="G20" s="278"/>
      <c r="H20" s="278"/>
      <c r="I20" s="278"/>
    </row>
    <row r="21" customFormat="false" ht="17.25" hidden="false" customHeight="true" outlineLevel="0" collapsed="false">
      <c r="A21" s="294" t="str">
        <f aca="false">현황!C33</f>
        <v>[  ]</v>
      </c>
      <c r="B21" s="301" t="s">
        <v>338</v>
      </c>
      <c r="C21" s="277" t="s">
        <v>339</v>
      </c>
      <c r="D21" s="277"/>
      <c r="E21" s="277"/>
      <c r="F21" s="277"/>
      <c r="G21" s="277"/>
      <c r="H21" s="277"/>
      <c r="I21" s="277"/>
    </row>
    <row r="22" customFormat="false" ht="17.25" hidden="false" customHeight="true" outlineLevel="0" collapsed="false">
      <c r="A22" s="294"/>
      <c r="B22" s="301"/>
      <c r="C22" s="277" t="s">
        <v>340</v>
      </c>
      <c r="D22" s="277"/>
      <c r="E22" s="277"/>
      <c r="F22" s="277"/>
      <c r="G22" s="277"/>
      <c r="H22" s="277"/>
      <c r="I22" s="277"/>
    </row>
    <row r="23" customFormat="false" ht="17.25" hidden="false" customHeight="true" outlineLevel="0" collapsed="false">
      <c r="A23" s="294"/>
      <c r="B23" s="301"/>
      <c r="C23" s="302" t="s">
        <v>341</v>
      </c>
      <c r="D23" s="302"/>
      <c r="E23" s="302"/>
      <c r="F23" s="302"/>
      <c r="G23" s="302"/>
      <c r="H23" s="302"/>
      <c r="I23" s="302"/>
    </row>
    <row r="24" customFormat="false" ht="19.5" hidden="false" customHeight="true" outlineLevel="0" collapsed="false">
      <c r="A24" s="299" t="s">
        <v>342</v>
      </c>
      <c r="B24" s="299"/>
      <c r="C24" s="299"/>
      <c r="D24" s="299"/>
      <c r="E24" s="299"/>
      <c r="F24" s="299"/>
      <c r="G24" s="299"/>
      <c r="H24" s="299"/>
      <c r="I24" s="299"/>
    </row>
    <row r="25" customFormat="false" ht="17.25" hidden="false" customHeight="true" outlineLevel="0" collapsed="false">
      <c r="A25" s="300" t="str">
        <f aca="false">현황!Y6</f>
        <v>[  ]</v>
      </c>
      <c r="B25" s="275" t="s">
        <v>166</v>
      </c>
      <c r="C25" s="276" t="s">
        <v>343</v>
      </c>
      <c r="D25" s="276"/>
      <c r="E25" s="276"/>
      <c r="F25" s="276"/>
      <c r="G25" s="276"/>
      <c r="H25" s="276"/>
      <c r="I25" s="276"/>
    </row>
    <row r="26" customFormat="false" ht="17.25" hidden="false" customHeight="true" outlineLevel="0" collapsed="false">
      <c r="A26" s="300"/>
      <c r="B26" s="275"/>
      <c r="C26" s="277" t="s">
        <v>344</v>
      </c>
      <c r="D26" s="277"/>
      <c r="E26" s="277"/>
      <c r="F26" s="277"/>
      <c r="G26" s="277"/>
      <c r="H26" s="277"/>
      <c r="I26" s="277"/>
    </row>
    <row r="27" customFormat="false" ht="17.25" hidden="false" customHeight="true" outlineLevel="0" collapsed="false">
      <c r="A27" s="300"/>
      <c r="B27" s="275"/>
      <c r="C27" s="277" t="s">
        <v>293</v>
      </c>
      <c r="D27" s="277"/>
      <c r="E27" s="277"/>
      <c r="F27" s="277"/>
      <c r="G27" s="277"/>
      <c r="H27" s="277"/>
      <c r="I27" s="277"/>
    </row>
    <row r="28" customFormat="false" ht="17.25" hidden="false" customHeight="true" outlineLevel="0" collapsed="false">
      <c r="A28" s="300"/>
      <c r="B28" s="275"/>
      <c r="C28" s="278" t="s">
        <v>294</v>
      </c>
      <c r="D28" s="278"/>
      <c r="E28" s="278"/>
      <c r="F28" s="278"/>
      <c r="G28" s="278"/>
      <c r="H28" s="278"/>
      <c r="I28" s="278"/>
    </row>
    <row r="29" customFormat="false" ht="17.25" hidden="false" customHeight="true" outlineLevel="0" collapsed="false">
      <c r="A29" s="291" t="str">
        <f aca="false">현황!Y12</f>
        <v>[  ]</v>
      </c>
      <c r="B29" s="275" t="s">
        <v>345</v>
      </c>
      <c r="C29" s="276" t="s">
        <v>346</v>
      </c>
      <c r="D29" s="276"/>
      <c r="E29" s="276"/>
      <c r="F29" s="276"/>
      <c r="G29" s="276"/>
      <c r="H29" s="276"/>
      <c r="I29" s="276"/>
    </row>
    <row r="30" customFormat="false" ht="17.25" hidden="false" customHeight="true" outlineLevel="0" collapsed="false">
      <c r="A30" s="291"/>
      <c r="B30" s="275"/>
      <c r="C30" s="277" t="s">
        <v>293</v>
      </c>
      <c r="D30" s="277"/>
      <c r="E30" s="277"/>
      <c r="F30" s="277"/>
      <c r="G30" s="277"/>
      <c r="H30" s="277"/>
      <c r="I30" s="277"/>
    </row>
    <row r="31" customFormat="false" ht="17.25" hidden="false" customHeight="true" outlineLevel="0" collapsed="false">
      <c r="A31" s="291"/>
      <c r="B31" s="275"/>
      <c r="C31" s="277" t="s">
        <v>294</v>
      </c>
      <c r="D31" s="277"/>
      <c r="E31" s="277"/>
      <c r="F31" s="277"/>
      <c r="G31" s="277"/>
      <c r="H31" s="277"/>
      <c r="I31" s="277"/>
    </row>
    <row r="32" customFormat="false" ht="17.25" hidden="false" customHeight="true" outlineLevel="0" collapsed="false">
      <c r="A32" s="291"/>
      <c r="B32" s="275"/>
      <c r="C32" s="277" t="s">
        <v>347</v>
      </c>
      <c r="D32" s="277"/>
      <c r="E32" s="277"/>
      <c r="F32" s="277"/>
      <c r="G32" s="277"/>
      <c r="H32" s="277"/>
      <c r="I32" s="277"/>
    </row>
    <row r="33" customFormat="false" ht="17.25" hidden="false" customHeight="true" outlineLevel="0" collapsed="false">
      <c r="A33" s="291"/>
      <c r="B33" s="275"/>
      <c r="C33" s="278" t="s">
        <v>348</v>
      </c>
      <c r="D33" s="278"/>
      <c r="E33" s="278"/>
      <c r="F33" s="278"/>
      <c r="G33" s="278"/>
      <c r="H33" s="278"/>
      <c r="I33" s="278"/>
    </row>
    <row r="34" customFormat="false" ht="17.25" hidden="false" customHeight="true" outlineLevel="0" collapsed="false">
      <c r="A34" s="291" t="str">
        <f aca="false">현황!Y13</f>
        <v>[  ]</v>
      </c>
      <c r="B34" s="275" t="s">
        <v>180</v>
      </c>
      <c r="C34" s="276" t="inlineStr">
        <is>
          <t xml:space="preserve">◦ 종류: [  ]피난구 [  ]통로 [  ]객석유도등 [  ]유도표지 [  ]피난유도선</t>
        </is>
      </c>
      <c r="D34" s="276"/>
      <c r="E34" s="276"/>
      <c r="F34" s="276"/>
      <c r="G34" s="276"/>
      <c r="H34" s="276"/>
      <c r="I34" s="276"/>
    </row>
    <row r="35" customFormat="false" ht="17.25" hidden="false" customHeight="true" outlineLevel="0" collapsed="false">
      <c r="A35" s="291"/>
      <c r="B35" s="275"/>
      <c r="C35" s="278" t="inlineStr">
        <is>
          <t xml:space="preserve">◦ 설치장소: 동명(   ) [  ]전체층/[  ]일부층 [  ]지상/[  ]지하(  )층 ~ [  ]지상/[  ]지하(  )층</t>
        </is>
      </c>
      <c r="D35" s="278"/>
      <c r="E35" s="278"/>
      <c r="F35" s="278"/>
      <c r="G35" s="278"/>
      <c r="H35" s="278"/>
      <c r="I35" s="278"/>
    </row>
    <row r="36" customFormat="false" ht="17.25" hidden="false" customHeight="true" outlineLevel="0" collapsed="false">
      <c r="A36" s="291" t="str">
        <f aca="false">현황!Y16</f>
        <v>[  ]</v>
      </c>
      <c r="B36" s="275" t="s">
        <v>186</v>
      </c>
      <c r="C36" s="276" t="s">
        <v>293</v>
      </c>
      <c r="D36" s="276"/>
      <c r="E36" s="276"/>
      <c r="F36" s="276"/>
      <c r="G36" s="276"/>
      <c r="H36" s="276"/>
      <c r="I36" s="276"/>
    </row>
    <row r="37" customFormat="false" ht="17.25" hidden="false" customHeight="true" outlineLevel="0" collapsed="false">
      <c r="A37" s="291"/>
      <c r="B37" s="275"/>
      <c r="C37" s="278" t="s">
        <v>350</v>
      </c>
      <c r="D37" s="278"/>
      <c r="E37" s="278"/>
      <c r="F37" s="278"/>
      <c r="G37" s="278"/>
      <c r="H37" s="278"/>
      <c r="I37" s="278"/>
    </row>
    <row r="38" customFormat="false" ht="17.25" hidden="false" customHeight="true" outlineLevel="0" collapsed="false">
      <c r="A38" s="294" t="str">
        <f aca="false">현황!Y17</f>
        <v>[  ]</v>
      </c>
      <c r="B38" s="275" t="s">
        <v>351</v>
      </c>
      <c r="C38" s="276" t="s">
        <v>293</v>
      </c>
      <c r="D38" s="276"/>
      <c r="E38" s="276"/>
      <c r="F38" s="276"/>
      <c r="G38" s="276"/>
      <c r="H38" s="276"/>
      <c r="I38" s="276"/>
    </row>
    <row r="39" customFormat="false" ht="17.25" hidden="false" customHeight="true" outlineLevel="0" collapsed="false">
      <c r="A39" s="294"/>
      <c r="B39" s="275"/>
      <c r="C39" s="278" t="s">
        <v>352</v>
      </c>
      <c r="D39" s="278"/>
      <c r="E39" s="278"/>
      <c r="F39" s="278"/>
      <c r="G39" s="278"/>
      <c r="H39" s="278"/>
      <c r="I39" s="278"/>
    </row>
    <row r="40" customFormat="false" ht="19.5" hidden="false" customHeight="true" outlineLevel="0" collapsed="false">
      <c r="A40" s="299" t="s">
        <v>353</v>
      </c>
      <c r="B40" s="299"/>
      <c r="C40" s="299"/>
      <c r="D40" s="299"/>
      <c r="E40" s="299"/>
      <c r="F40" s="299"/>
      <c r="G40" s="299"/>
      <c r="H40" s="299"/>
      <c r="I40" s="299"/>
    </row>
    <row r="41" customFormat="false" ht="35.25" hidden="false" customHeight="true" outlineLevel="0" collapsed="false">
      <c r="A41" s="315" t="str">
        <f aca="false">현황!Y18</f>
        <v>[  ]</v>
      </c>
      <c r="B41" s="275" t="s">
        <v>354</v>
      </c>
      <c r="C41" s="276" t="s">
        <v>355</v>
      </c>
      <c r="D41" s="276"/>
      <c r="E41" s="276"/>
      <c r="F41" s="276"/>
      <c r="G41" s="276"/>
      <c r="H41" s="276"/>
      <c r="I41" s="276"/>
    </row>
    <row r="42" customFormat="false" ht="17.25" hidden="false" customHeight="true" outlineLevel="0" collapsed="false">
      <c r="A42" s="294" t="str">
        <f aca="false">현황!Y19</f>
        <v>[  ]</v>
      </c>
      <c r="B42" s="316" t="s">
        <v>356</v>
      </c>
      <c r="C42" s="276" t="s">
        <v>357</v>
      </c>
      <c r="D42" s="276"/>
      <c r="E42" s="276"/>
      <c r="F42" s="276"/>
      <c r="G42" s="276"/>
      <c r="H42" s="276"/>
      <c r="I42" s="276"/>
    </row>
    <row r="43" customFormat="false" ht="17.25" hidden="false" customHeight="true" outlineLevel="0" collapsed="false">
      <c r="A43" s="294"/>
      <c r="B43" s="316"/>
      <c r="C43" s="277" t="s">
        <v>358</v>
      </c>
      <c r="D43" s="277"/>
      <c r="E43" s="277"/>
      <c r="F43" s="277"/>
      <c r="G43" s="277"/>
      <c r="H43" s="277"/>
      <c r="I43" s="277"/>
    </row>
    <row r="44" customFormat="false" ht="17.25" hidden="false" customHeight="true" outlineLevel="0" collapsed="false">
      <c r="A44" s="294"/>
      <c r="B44" s="316"/>
      <c r="C44" s="277" t="s">
        <v>359</v>
      </c>
      <c r="D44" s="277"/>
      <c r="E44" s="277"/>
      <c r="F44" s="277"/>
      <c r="G44" s="277"/>
      <c r="H44" s="277"/>
      <c r="I44" s="277"/>
    </row>
    <row r="45" customFormat="false" ht="17.25" hidden="false" customHeight="true" outlineLevel="0" collapsed="false">
      <c r="A45" s="294"/>
      <c r="B45" s="316"/>
      <c r="C45" s="277" t="s">
        <v>360</v>
      </c>
      <c r="D45" s="277"/>
      <c r="E45" s="277"/>
      <c r="F45" s="277"/>
      <c r="G45" s="277"/>
      <c r="H45" s="277"/>
      <c r="I45" s="277"/>
    </row>
    <row r="46" customFormat="false" ht="17.25" hidden="false" customHeight="true" outlineLevel="0" collapsed="false">
      <c r="A46" s="294"/>
      <c r="B46" s="316"/>
      <c r="C46" s="317" t="s">
        <v>361</v>
      </c>
      <c r="D46" s="317"/>
      <c r="E46" s="317"/>
      <c r="F46" s="317"/>
      <c r="G46" s="317"/>
      <c r="H46" s="317"/>
      <c r="I46" s="317"/>
    </row>
  </sheetData>
  <mergeCells count="73">
    <mergeCell ref="B1:G1"/>
    <mergeCell ref="H1:I1"/>
    <mergeCell ref="A2:I2"/>
    <mergeCell ref="A3:A4"/>
    <mergeCell ref="B3:B4"/>
    <mergeCell ref="C3:I3"/>
    <mergeCell ref="C4:I4"/>
    <mergeCell ref="A5:A7"/>
    <mergeCell ref="B5:B7"/>
    <mergeCell ref="C5:I5"/>
    <mergeCell ref="C6:I6"/>
    <mergeCell ref="C7:I7"/>
    <mergeCell ref="A8:A12"/>
    <mergeCell ref="B8:B12"/>
    <mergeCell ref="C8:I8"/>
    <mergeCell ref="C9:I9"/>
    <mergeCell ref="C10:I10"/>
    <mergeCell ref="C11:I11"/>
    <mergeCell ref="C12:I12"/>
    <mergeCell ref="A13:A14"/>
    <mergeCell ref="B13:B14"/>
    <mergeCell ref="C13:I13"/>
    <mergeCell ref="C14:I14"/>
    <mergeCell ref="C15:I15"/>
    <mergeCell ref="A16:A18"/>
    <mergeCell ref="B16:B18"/>
    <mergeCell ref="C16:I16"/>
    <mergeCell ref="C17:I17"/>
    <mergeCell ref="C18:I18"/>
    <mergeCell ref="A19:A20"/>
    <mergeCell ref="B19:B20"/>
    <mergeCell ref="C19:I19"/>
    <mergeCell ref="C20:I20"/>
    <mergeCell ref="A21:A23"/>
    <mergeCell ref="B21:B23"/>
    <mergeCell ref="C21:I21"/>
    <mergeCell ref="C22:I22"/>
    <mergeCell ref="C23:I23"/>
    <mergeCell ref="A24:I24"/>
    <mergeCell ref="A25:A28"/>
    <mergeCell ref="B25:B28"/>
    <mergeCell ref="C25:I25"/>
    <mergeCell ref="C26:I26"/>
    <mergeCell ref="C27:I27"/>
    <mergeCell ref="C28:I28"/>
    <mergeCell ref="A29:A33"/>
    <mergeCell ref="B29:B33"/>
    <mergeCell ref="C29:I29"/>
    <mergeCell ref="C30:I30"/>
    <mergeCell ref="C31:I31"/>
    <mergeCell ref="C32:I32"/>
    <mergeCell ref="C33:I33"/>
    <mergeCell ref="A34:A35"/>
    <mergeCell ref="B34:B35"/>
    <mergeCell ref="C34:I34"/>
    <mergeCell ref="C35:I35"/>
    <mergeCell ref="A36:A37"/>
    <mergeCell ref="B36:B37"/>
    <mergeCell ref="C36:I36"/>
    <mergeCell ref="C37:I37"/>
    <mergeCell ref="A38:A39"/>
    <mergeCell ref="B38:B39"/>
    <mergeCell ref="C38:I38"/>
    <mergeCell ref="C39:I39"/>
    <mergeCell ref="A40:I40"/>
    <mergeCell ref="C41:I41"/>
    <mergeCell ref="A42:A46"/>
    <mergeCell ref="B42:B46"/>
    <mergeCell ref="C42:I42"/>
    <mergeCell ref="C43:I43"/>
    <mergeCell ref="C44:I44"/>
    <mergeCell ref="C45:I45"/>
    <mergeCell ref="C46:I46"/>
  </mergeCell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46"/>
  <sheetViews>
    <sheetView showFormulas="false" showGridLines="true" showRowColHeaders="true" showZeros="false" rightToLeft="false" tabSelected="false" showOutlineSymbols="true" defaultGridColor="true" view="normal" topLeftCell="A2" colorId="64" zoomScale="100" zoomScaleNormal="100" zoomScalePageLayoutView="100" workbookViewId="0">
      <selection pane="topLeft" activeCell="I24" activeCellId="0" sqref="I24"/>
    </sheetView>
  </sheetViews>
  <sheetFormatPr defaultColWidth="8.88671875" defaultRowHeight="13.5" customHeight="false" zeroHeight="false" outlineLevelRow="0" outlineLevelCol="0"/>
  <cols>
    <col collapsed="false" customWidth="true" hidden="false" outlineLevel="0" max="1" min="1" style="116" width="3.99"/>
    <col collapsed="false" customWidth="true" hidden="false" outlineLevel="0" max="2" min="2" style="116" width="3.1"/>
    <col collapsed="false" customWidth="true" hidden="false" outlineLevel="0" max="3" min="3" style="116" width="3.88"/>
    <col collapsed="false" customWidth="true" hidden="false" outlineLevel="0" max="4" min="4" style="116" width="2.88"/>
    <col collapsed="false" customWidth="true" hidden="false" outlineLevel="0" max="5" min="5" style="116" width="9.88"/>
    <col collapsed="false" customWidth="true" hidden="false" outlineLevel="0" max="6" min="6" style="116" width="63.88"/>
    <col collapsed="false" customWidth="false" hidden="false" outlineLevel="0" max="257" min="7" style="116" width="8.88"/>
  </cols>
  <sheetData>
    <row r="1" customFormat="false" ht="15.75" hidden="false" customHeight="true" outlineLevel="0" collapsed="false">
      <c r="C1" s="310" t="s">
        <v>362</v>
      </c>
      <c r="D1" s="310"/>
      <c r="E1" s="310"/>
      <c r="F1" s="310"/>
    </row>
    <row r="2" customFormat="false" ht="22.5" hidden="false" customHeight="true" outlineLevel="0" collapsed="false">
      <c r="A2" s="311" t="s">
        <v>363</v>
      </c>
      <c r="B2" s="311"/>
      <c r="C2" s="311"/>
      <c r="D2" s="311"/>
      <c r="E2" s="311"/>
      <c r="F2" s="311"/>
      <c r="G2" s="318"/>
      <c r="H2" s="318"/>
      <c r="I2" s="318"/>
      <c r="J2" s="318"/>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c r="HT2" s="241"/>
      <c r="HU2" s="241"/>
      <c r="HV2" s="241"/>
      <c r="HW2" s="241"/>
      <c r="HX2" s="241"/>
      <c r="HY2" s="241"/>
      <c r="HZ2" s="241"/>
      <c r="IA2" s="241"/>
      <c r="IB2" s="241"/>
      <c r="IC2" s="241"/>
      <c r="ID2" s="241"/>
      <c r="IE2" s="241"/>
      <c r="IF2" s="241"/>
      <c r="IG2" s="241"/>
      <c r="IH2" s="241"/>
      <c r="II2" s="241"/>
      <c r="IJ2" s="241"/>
      <c r="IK2" s="241"/>
      <c r="IL2" s="241"/>
      <c r="IM2" s="241"/>
      <c r="IN2" s="241"/>
      <c r="IO2" s="241"/>
      <c r="IP2" s="241"/>
      <c r="IQ2" s="241"/>
      <c r="IR2" s="241"/>
      <c r="IS2" s="241"/>
      <c r="IT2" s="241"/>
      <c r="IU2" s="241"/>
      <c r="IV2" s="241"/>
      <c r="IW2" s="241"/>
    </row>
    <row r="3" customFormat="false" ht="16.5" hidden="false" customHeight="true" outlineLevel="0" collapsed="false">
      <c r="A3" s="319" t="s">
        <v>165</v>
      </c>
      <c r="B3" s="320" t="s">
        <v>364</v>
      </c>
      <c r="C3" s="249" t="str">
        <f aca="false">현황!Y20</f>
        <v>[  ]</v>
      </c>
      <c r="D3" s="321" t="s">
        <v>365</v>
      </c>
      <c r="E3" s="322" t="s">
        <v>293</v>
      </c>
      <c r="F3" s="322"/>
    </row>
    <row r="4" customFormat="false" ht="16.5" hidden="false" customHeight="true" outlineLevel="0" collapsed="false">
      <c r="A4" s="319"/>
      <c r="B4" s="320"/>
      <c r="C4" s="249"/>
      <c r="D4" s="321"/>
      <c r="E4" s="323" t="s">
        <v>366</v>
      </c>
      <c r="F4" s="323"/>
    </row>
    <row r="5" customFormat="false" ht="16.5" hidden="false" customHeight="true" outlineLevel="0" collapsed="false">
      <c r="A5" s="319"/>
      <c r="B5" s="320"/>
      <c r="C5" s="249"/>
      <c r="D5" s="321"/>
      <c r="E5" s="323" t="s">
        <v>367</v>
      </c>
      <c r="F5" s="323"/>
    </row>
    <row r="6" customFormat="false" ht="16.5" hidden="false" customHeight="true" outlineLevel="0" collapsed="false">
      <c r="A6" s="319"/>
      <c r="B6" s="320"/>
      <c r="C6" s="249"/>
      <c r="D6" s="321"/>
      <c r="E6" s="323" t="s">
        <v>368</v>
      </c>
      <c r="F6" s="323"/>
    </row>
    <row r="7" customFormat="false" ht="16.5" hidden="false" customHeight="true" outlineLevel="0" collapsed="false">
      <c r="A7" s="319"/>
      <c r="B7" s="320"/>
      <c r="C7" s="249"/>
      <c r="D7" s="321"/>
      <c r="E7" s="323" t="s">
        <v>369</v>
      </c>
      <c r="F7" s="323"/>
    </row>
    <row r="8" customFormat="false" ht="16.5" hidden="false" customHeight="true" outlineLevel="0" collapsed="false">
      <c r="A8" s="319"/>
      <c r="B8" s="320"/>
      <c r="C8" s="249"/>
      <c r="D8" s="321"/>
      <c r="E8" s="323" t="s">
        <v>370</v>
      </c>
      <c r="F8" s="323"/>
    </row>
    <row r="9" customFormat="false" ht="16.5" hidden="false" customHeight="true" outlineLevel="0" collapsed="false">
      <c r="A9" s="319"/>
      <c r="B9" s="320"/>
      <c r="C9" s="249"/>
      <c r="D9" s="321"/>
      <c r="E9" s="323" t="s">
        <v>371</v>
      </c>
      <c r="F9" s="323"/>
    </row>
    <row r="10" customFormat="false" ht="16.5" hidden="false" customHeight="true" outlineLevel="0" collapsed="false">
      <c r="A10" s="319"/>
      <c r="B10" s="320"/>
      <c r="C10" s="249"/>
      <c r="D10" s="321"/>
      <c r="E10" s="323" t="s">
        <v>372</v>
      </c>
      <c r="F10" s="323"/>
    </row>
    <row r="11" customFormat="false" ht="16.5" hidden="false" customHeight="true" outlineLevel="0" collapsed="false">
      <c r="A11" s="319"/>
      <c r="B11" s="320"/>
      <c r="C11" s="249"/>
      <c r="D11" s="321"/>
      <c r="E11" s="323" t="s">
        <v>371</v>
      </c>
      <c r="F11" s="323"/>
    </row>
    <row r="12" customFormat="false" ht="16.5" hidden="false" customHeight="true" outlineLevel="0" collapsed="false">
      <c r="A12" s="319"/>
      <c r="B12" s="320"/>
      <c r="C12" s="249"/>
      <c r="D12" s="321"/>
      <c r="E12" s="323" t="s">
        <v>373</v>
      </c>
      <c r="F12" s="323"/>
    </row>
    <row r="13" customFormat="false" ht="16.5" hidden="false" customHeight="true" outlineLevel="0" collapsed="false">
      <c r="A13" s="319"/>
      <c r="B13" s="320"/>
      <c r="C13" s="249"/>
      <c r="D13" s="321"/>
      <c r="E13" s="323" t="s">
        <v>374</v>
      </c>
      <c r="F13" s="323"/>
    </row>
    <row r="14" customFormat="false" ht="16.5" hidden="false" customHeight="true" outlineLevel="0" collapsed="false">
      <c r="A14" s="319"/>
      <c r="B14" s="320"/>
      <c r="C14" s="249"/>
      <c r="D14" s="321"/>
      <c r="E14" s="323" t="s">
        <v>375</v>
      </c>
      <c r="F14" s="323"/>
    </row>
    <row r="15" customFormat="false" ht="16.5" hidden="false" customHeight="true" outlineLevel="0" collapsed="false">
      <c r="A15" s="319"/>
      <c r="B15" s="320"/>
      <c r="C15" s="249"/>
      <c r="D15" s="321"/>
      <c r="E15" s="323" t="s">
        <v>376</v>
      </c>
      <c r="F15" s="323"/>
    </row>
    <row r="16" customFormat="false" ht="16.5" hidden="false" customHeight="true" outlineLevel="0" collapsed="false">
      <c r="A16" s="319"/>
      <c r="B16" s="320"/>
      <c r="C16" s="249"/>
      <c r="D16" s="321"/>
      <c r="E16" s="278" t="s">
        <v>374</v>
      </c>
      <c r="F16" s="278"/>
    </row>
    <row r="17" customFormat="false" ht="16.5" hidden="false" customHeight="true" outlineLevel="0" collapsed="false">
      <c r="A17" s="319"/>
      <c r="B17" s="320"/>
      <c r="C17" s="275" t="str">
        <f aca="false">현황!Y21</f>
        <v>[  ]</v>
      </c>
      <c r="D17" s="145" t="s">
        <v>377</v>
      </c>
      <c r="E17" s="323" t="s">
        <v>378</v>
      </c>
      <c r="F17" s="323"/>
    </row>
    <row r="18" customFormat="false" ht="16.5" hidden="false" customHeight="true" outlineLevel="0" collapsed="false">
      <c r="A18" s="319"/>
      <c r="B18" s="320"/>
      <c r="C18" s="275"/>
      <c r="D18" s="145"/>
      <c r="E18" s="277" t="s">
        <v>379</v>
      </c>
      <c r="F18" s="277"/>
    </row>
    <row r="19" customFormat="false" ht="16.5" hidden="false" customHeight="true" outlineLevel="0" collapsed="false">
      <c r="A19" s="319"/>
      <c r="B19" s="320"/>
      <c r="C19" s="275"/>
      <c r="D19" s="145"/>
      <c r="E19" s="277" t="s">
        <v>380</v>
      </c>
      <c r="F19" s="277"/>
    </row>
    <row r="20" customFormat="false" ht="16.5" hidden="false" customHeight="true" outlineLevel="0" collapsed="false">
      <c r="A20" s="319"/>
      <c r="B20" s="320"/>
      <c r="C20" s="275"/>
      <c r="D20" s="145"/>
      <c r="E20" s="277" t="s">
        <v>381</v>
      </c>
      <c r="F20" s="277"/>
    </row>
    <row r="21" customFormat="false" ht="16.5" hidden="false" customHeight="true" outlineLevel="0" collapsed="false">
      <c r="A21" s="319"/>
      <c r="B21" s="320"/>
      <c r="C21" s="275"/>
      <c r="D21" s="145"/>
      <c r="E21" s="323" t="s">
        <v>370</v>
      </c>
      <c r="F21" s="323"/>
    </row>
    <row r="22" customFormat="false" ht="16.5" hidden="false" customHeight="true" outlineLevel="0" collapsed="false">
      <c r="A22" s="319"/>
      <c r="B22" s="320"/>
      <c r="C22" s="275"/>
      <c r="D22" s="145"/>
      <c r="E22" s="323" t="s">
        <v>371</v>
      </c>
      <c r="F22" s="323"/>
    </row>
    <row r="23" customFormat="false" ht="16.5" hidden="false" customHeight="true" outlineLevel="0" collapsed="false">
      <c r="A23" s="319"/>
      <c r="B23" s="320"/>
      <c r="C23" s="275"/>
      <c r="D23" s="145"/>
      <c r="E23" s="323" t="s">
        <v>372</v>
      </c>
      <c r="F23" s="323"/>
    </row>
    <row r="24" customFormat="false" ht="16.5" hidden="false" customHeight="true" outlineLevel="0" collapsed="false">
      <c r="A24" s="319"/>
      <c r="B24" s="320"/>
      <c r="C24" s="275"/>
      <c r="D24" s="145"/>
      <c r="E24" s="323" t="s">
        <v>371</v>
      </c>
      <c r="F24" s="323"/>
    </row>
    <row r="25" customFormat="false" ht="16.5" hidden="false" customHeight="true" outlineLevel="0" collapsed="false">
      <c r="A25" s="319"/>
      <c r="B25" s="320"/>
      <c r="C25" s="275"/>
      <c r="D25" s="145"/>
      <c r="E25" s="323" t="s">
        <v>382</v>
      </c>
      <c r="F25" s="323"/>
    </row>
    <row r="26" customFormat="false" ht="16.5" hidden="false" customHeight="true" outlineLevel="0" collapsed="false">
      <c r="A26" s="319"/>
      <c r="B26" s="320"/>
      <c r="C26" s="275"/>
      <c r="D26" s="145"/>
      <c r="E26" s="277" t="s">
        <v>375</v>
      </c>
      <c r="F26" s="277"/>
    </row>
    <row r="27" customFormat="false" ht="16.5" hidden="false" customHeight="true" outlineLevel="0" collapsed="false">
      <c r="A27" s="319"/>
      <c r="B27" s="320"/>
      <c r="C27" s="275"/>
      <c r="D27" s="145"/>
      <c r="E27" s="324" t="s">
        <v>383</v>
      </c>
      <c r="F27" s="324"/>
    </row>
    <row r="28" customFormat="false" ht="16.5" hidden="false" customHeight="true" outlineLevel="0" collapsed="false">
      <c r="A28" s="325" t="str">
        <f aca="false">현황!Y22</f>
        <v>[  ]</v>
      </c>
      <c r="B28" s="117" t="s">
        <v>384</v>
      </c>
      <c r="C28" s="117"/>
      <c r="D28" s="117"/>
      <c r="E28" s="326" t="s">
        <v>385</v>
      </c>
      <c r="F28" s="326"/>
    </row>
    <row r="29" customFormat="false" ht="16.5" hidden="false" customHeight="true" outlineLevel="0" collapsed="false">
      <c r="A29" s="325"/>
      <c r="B29" s="117"/>
      <c r="C29" s="117"/>
      <c r="D29" s="117"/>
      <c r="E29" s="327" t="s">
        <v>293</v>
      </c>
      <c r="F29" s="327"/>
    </row>
    <row r="30" customFormat="false" ht="16.5" hidden="false" customHeight="true" outlineLevel="0" collapsed="false">
      <c r="A30" s="325"/>
      <c r="B30" s="117"/>
      <c r="C30" s="117"/>
      <c r="D30" s="117"/>
      <c r="E30" s="327" t="s">
        <v>386</v>
      </c>
      <c r="F30" s="327"/>
    </row>
    <row r="31" customFormat="false" ht="16.5" hidden="false" customHeight="true" outlineLevel="0" collapsed="false">
      <c r="A31" s="325"/>
      <c r="B31" s="117"/>
      <c r="C31" s="117"/>
      <c r="D31" s="117"/>
      <c r="E31" s="327" t="s">
        <v>387</v>
      </c>
      <c r="F31" s="327"/>
    </row>
    <row r="32" customFormat="false" ht="16.5" hidden="false" customHeight="true" outlineLevel="0" collapsed="false">
      <c r="A32" s="325"/>
      <c r="B32" s="117"/>
      <c r="C32" s="117"/>
      <c r="D32" s="117"/>
      <c r="E32" s="327" t="s">
        <v>388</v>
      </c>
      <c r="F32" s="327"/>
    </row>
    <row r="33" customFormat="false" ht="16.5" hidden="false" customHeight="true" outlineLevel="0" collapsed="false">
      <c r="A33" s="325"/>
      <c r="B33" s="117"/>
      <c r="C33" s="117"/>
      <c r="D33" s="117"/>
      <c r="E33" s="327" t="s">
        <v>389</v>
      </c>
      <c r="F33" s="327"/>
    </row>
    <row r="34" customFormat="false" ht="16.5" hidden="false" customHeight="true" outlineLevel="0" collapsed="false">
      <c r="A34" s="325"/>
      <c r="B34" s="117"/>
      <c r="C34" s="117"/>
      <c r="D34" s="117"/>
      <c r="E34" s="327" t="s">
        <v>390</v>
      </c>
      <c r="F34" s="327"/>
    </row>
    <row r="35" customFormat="false" ht="16.5" hidden="false" customHeight="true" outlineLevel="0" collapsed="false">
      <c r="A35" s="325"/>
      <c r="B35" s="117"/>
      <c r="C35" s="117"/>
      <c r="D35" s="117"/>
      <c r="E35" s="328" t="s">
        <v>391</v>
      </c>
      <c r="F35" s="328"/>
    </row>
    <row r="36" customFormat="false" ht="16.5" hidden="false" customHeight="true" outlineLevel="0" collapsed="false">
      <c r="A36" s="329" t="str">
        <f aca="false">현황!Y23</f>
        <v>[  ]</v>
      </c>
      <c r="B36" s="275" t="s">
        <v>392</v>
      </c>
      <c r="C36" s="275"/>
      <c r="D36" s="275"/>
      <c r="E36" s="276" t="s">
        <v>378</v>
      </c>
      <c r="F36" s="276"/>
    </row>
    <row r="37" customFormat="false" ht="16.5" hidden="false" customHeight="true" outlineLevel="0" collapsed="false">
      <c r="A37" s="329"/>
      <c r="B37" s="275"/>
      <c r="C37" s="275"/>
      <c r="D37" s="275"/>
      <c r="E37" s="277" t="s">
        <v>393</v>
      </c>
      <c r="F37" s="277"/>
    </row>
    <row r="38" customFormat="false" ht="16.5" hidden="false" customHeight="true" outlineLevel="0" collapsed="false">
      <c r="A38" s="329"/>
      <c r="B38" s="275"/>
      <c r="C38" s="275"/>
      <c r="D38" s="275"/>
      <c r="E38" s="328" t="s">
        <v>394</v>
      </c>
      <c r="F38" s="328"/>
    </row>
    <row r="39" customFormat="false" ht="16.5" hidden="false" customHeight="true" outlineLevel="0" collapsed="false">
      <c r="A39" s="329" t="str">
        <f aca="false">현황!Y24</f>
        <v>[  ]</v>
      </c>
      <c r="B39" s="275" t="s">
        <v>395</v>
      </c>
      <c r="C39" s="275"/>
      <c r="D39" s="275"/>
      <c r="E39" s="330" t="s">
        <v>396</v>
      </c>
      <c r="F39" s="330"/>
    </row>
    <row r="40" customFormat="false" ht="16.5" hidden="false" customHeight="true" outlineLevel="0" collapsed="false">
      <c r="A40" s="329"/>
      <c r="B40" s="275"/>
      <c r="C40" s="275"/>
      <c r="D40" s="275"/>
      <c r="E40" s="328" t="s">
        <v>397</v>
      </c>
      <c r="F40" s="328"/>
    </row>
    <row r="41" customFormat="false" ht="16.5" hidden="false" customHeight="true" outlineLevel="0" collapsed="false">
      <c r="A41" s="329" t="s">
        <v>165</v>
      </c>
      <c r="B41" s="275" t="s">
        <v>398</v>
      </c>
      <c r="C41" s="275"/>
      <c r="D41" s="275"/>
      <c r="E41" s="330" t="s">
        <v>396</v>
      </c>
      <c r="F41" s="330"/>
    </row>
    <row r="42" customFormat="false" ht="16.5" hidden="false" customHeight="true" outlineLevel="0" collapsed="false">
      <c r="A42" s="329"/>
      <c r="B42" s="275"/>
      <c r="C42" s="275"/>
      <c r="D42" s="275"/>
      <c r="E42" s="327" t="s">
        <v>399</v>
      </c>
      <c r="F42" s="327"/>
    </row>
    <row r="43" customFormat="false" ht="16.5" hidden="false" customHeight="true" outlineLevel="0" collapsed="false">
      <c r="A43" s="329"/>
      <c r="B43" s="275"/>
      <c r="C43" s="275"/>
      <c r="D43" s="275"/>
      <c r="E43" s="328" t="s">
        <v>400</v>
      </c>
      <c r="F43" s="328"/>
    </row>
    <row r="44" customFormat="false" ht="16.5" hidden="false" customHeight="true" outlineLevel="0" collapsed="false">
      <c r="A44" s="329" t="str">
        <f aca="false">현황!Y26</f>
        <v>[  ]</v>
      </c>
      <c r="B44" s="275" t="s">
        <v>401</v>
      </c>
      <c r="C44" s="275"/>
      <c r="D44" s="275"/>
      <c r="E44" s="326" t="s">
        <v>402</v>
      </c>
      <c r="F44" s="326"/>
    </row>
    <row r="45" customFormat="false" ht="16.5" hidden="false" customHeight="true" outlineLevel="0" collapsed="false">
      <c r="A45" s="329"/>
      <c r="B45" s="275"/>
      <c r="C45" s="275"/>
      <c r="D45" s="275"/>
      <c r="E45" s="328" t="s">
        <v>403</v>
      </c>
      <c r="F45" s="328"/>
    </row>
    <row r="46" customFormat="false" ht="31.5" hidden="false" customHeight="true" outlineLevel="0" collapsed="false">
      <c r="A46" s="150" t="s">
        <v>218</v>
      </c>
      <c r="B46" s="150"/>
      <c r="C46" s="150"/>
      <c r="D46" s="150"/>
      <c r="E46" s="331" t="s">
        <v>404</v>
      </c>
      <c r="F46" s="331"/>
    </row>
  </sheetData>
  <mergeCells count="63">
    <mergeCell ref="C1:F1"/>
    <mergeCell ref="A2:F2"/>
    <mergeCell ref="A3:A27"/>
    <mergeCell ref="B3:B27"/>
    <mergeCell ref="C3:C16"/>
    <mergeCell ref="D3:D16"/>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C17:C27"/>
    <mergeCell ref="D17:D27"/>
    <mergeCell ref="E17:F17"/>
    <mergeCell ref="E18:F18"/>
    <mergeCell ref="E19:F19"/>
    <mergeCell ref="E20:F20"/>
    <mergeCell ref="E21:F21"/>
    <mergeCell ref="E22:F22"/>
    <mergeCell ref="E23:F23"/>
    <mergeCell ref="E24:F24"/>
    <mergeCell ref="E25:F25"/>
    <mergeCell ref="E26:F26"/>
    <mergeCell ref="E27:F27"/>
    <mergeCell ref="A28:A35"/>
    <mergeCell ref="B28:D35"/>
    <mergeCell ref="E28:F28"/>
    <mergeCell ref="E29:F29"/>
    <mergeCell ref="E30:F30"/>
    <mergeCell ref="E31:F31"/>
    <mergeCell ref="E32:F32"/>
    <mergeCell ref="E33:F33"/>
    <mergeCell ref="E34:F34"/>
    <mergeCell ref="E35:F35"/>
    <mergeCell ref="A36:A38"/>
    <mergeCell ref="B36:D38"/>
    <mergeCell ref="E36:F36"/>
    <mergeCell ref="E37:F37"/>
    <mergeCell ref="E38:F38"/>
    <mergeCell ref="A39:A40"/>
    <mergeCell ref="B39:D40"/>
    <mergeCell ref="E39:F39"/>
    <mergeCell ref="E40:F40"/>
    <mergeCell ref="A41:A43"/>
    <mergeCell ref="B41:D43"/>
    <mergeCell ref="E41:F41"/>
    <mergeCell ref="E42:F42"/>
    <mergeCell ref="E43:F43"/>
    <mergeCell ref="A44:A45"/>
    <mergeCell ref="B44:D45"/>
    <mergeCell ref="E44:F44"/>
    <mergeCell ref="E45:F45"/>
    <mergeCell ref="A46:D46"/>
    <mergeCell ref="E46:F46"/>
  </mergeCells>
  <printOptions headings="false" gridLines="false" gridLinesSet="true" horizontalCentered="false" verticalCentered="false"/>
  <pageMargins left="0.37" right="0.2" top="0.38" bottom="0.38" header="0.3" footer="0.3"/>
  <pageSetup paperSize="9" scale="9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11"/>
  <sheetViews>
    <sheetView showFormulas="false" showGridLines="true" showRowColHeaders="true" showZeros="false" rightToLeft="false" tabSelected="false" showOutlineSymbols="true" defaultGridColor="true" view="normal" topLeftCell="A4" colorId="64" zoomScale="100" zoomScaleNormal="100" zoomScalePageLayoutView="100" workbookViewId="0">
      <selection pane="topLeft" activeCell="C8" activeCellId="0" sqref="C8"/>
    </sheetView>
  </sheetViews>
  <sheetFormatPr defaultColWidth="8.88671875" defaultRowHeight="13.5" customHeight="false" zeroHeight="false" outlineLevelRow="0" outlineLevelCol="0"/>
  <cols>
    <col collapsed="false" customWidth="true" hidden="false" outlineLevel="0" max="1" min="1" style="99" width="14.33"/>
    <col collapsed="false" customWidth="true" hidden="false" outlineLevel="0" max="2" min="2" style="99" width="11.33"/>
    <col collapsed="false" customWidth="true" hidden="false" outlineLevel="0" max="3" min="3" style="99" width="62.1"/>
    <col collapsed="false" customWidth="false" hidden="false" outlineLevel="0" max="257" min="4" style="99" width="8.88"/>
  </cols>
  <sheetData>
    <row r="1" customFormat="false" ht="15.75" hidden="false" customHeight="true" outlineLevel="0" collapsed="false">
      <c r="A1" s="100" t="s">
        <v>405</v>
      </c>
      <c r="B1" s="100"/>
      <c r="C1" s="100"/>
    </row>
    <row r="2" customFormat="false" ht="22.5" hidden="false" customHeight="true" outlineLevel="0" collapsed="false">
      <c r="A2" s="244" t="s">
        <v>406</v>
      </c>
      <c r="B2" s="244"/>
      <c r="C2" s="244"/>
      <c r="D2" s="318"/>
      <c r="E2" s="318"/>
      <c r="F2" s="318"/>
      <c r="G2" s="318"/>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c r="HT2" s="241"/>
      <c r="HU2" s="241"/>
      <c r="HV2" s="241"/>
      <c r="HW2" s="241"/>
      <c r="HX2" s="241"/>
      <c r="HY2" s="241"/>
      <c r="HZ2" s="241"/>
      <c r="IA2" s="241"/>
      <c r="IB2" s="241"/>
      <c r="IC2" s="241"/>
      <c r="ID2" s="241"/>
      <c r="IE2" s="241"/>
      <c r="IF2" s="241"/>
      <c r="IG2" s="241"/>
      <c r="IH2" s="241"/>
      <c r="II2" s="241"/>
      <c r="IJ2" s="241"/>
      <c r="IK2" s="241"/>
      <c r="IL2" s="241"/>
      <c r="IM2" s="241"/>
      <c r="IN2" s="241"/>
      <c r="IO2" s="241"/>
      <c r="IP2" s="241"/>
      <c r="IQ2" s="241"/>
      <c r="IR2" s="241"/>
      <c r="IS2" s="241"/>
      <c r="IT2" s="241"/>
      <c r="IU2" s="241"/>
      <c r="IV2" s="241"/>
      <c r="IW2" s="241"/>
    </row>
    <row r="3" customFormat="false" ht="36.75" hidden="false" customHeight="true" outlineLevel="0" collapsed="false">
      <c r="A3" s="332" t="s">
        <v>407</v>
      </c>
      <c r="B3" s="333" t="s">
        <v>408</v>
      </c>
      <c r="C3" s="334" t="s">
        <v>409</v>
      </c>
    </row>
    <row r="4" customFormat="false" ht="77.25" hidden="false" customHeight="true" outlineLevel="0" collapsed="false">
      <c r="A4" s="335" t="s">
        <v>410</v>
      </c>
      <c r="B4" s="336"/>
      <c r="C4" s="337" t="str">
        <f>""</f>
      </c>
    </row>
    <row r="5" customFormat="false" ht="77.25" hidden="false" customHeight="true" outlineLevel="0" collapsed="false">
      <c r="A5" s="335" t="s">
        <v>412</v>
      </c>
      <c r="B5" s="336"/>
      <c r="C5" s="337" t="str">
        <f>""</f>
      </c>
    </row>
    <row r="6" customFormat="false" ht="77.25" hidden="false" customHeight="true" outlineLevel="0" collapsed="false">
      <c r="A6" s="335" t="s">
        <v>413</v>
      </c>
      <c r="B6" s="336"/>
      <c r="C6" s="337" t="str">
        <f>""</f>
      </c>
    </row>
    <row r="7" customFormat="false" ht="77.25" hidden="false" customHeight="true" outlineLevel="0" collapsed="false">
      <c r="A7" s="335" t="s">
        <v>415</v>
      </c>
      <c r="B7" s="336"/>
      <c r="C7" s="337" t="str">
        <f>""</f>
      </c>
    </row>
    <row r="8" customFormat="false" ht="77.25" hidden="false" customHeight="true" outlineLevel="0" collapsed="false">
      <c r="A8" s="335" t="s">
        <v>416</v>
      </c>
      <c r="B8" s="336"/>
      <c r="C8" s="337" t="str">
        <f>""</f>
      </c>
    </row>
    <row r="9" customFormat="false" ht="77.25" hidden="false" customHeight="true" outlineLevel="0" collapsed="false">
      <c r="A9" s="338" t="s">
        <v>211</v>
      </c>
      <c r="B9" s="339"/>
      <c r="C9" s="340" t="str">
        <f>""</f>
      </c>
    </row>
    <row r="10" customFormat="false" ht="77.25" hidden="false" customHeight="true" outlineLevel="0" collapsed="false">
      <c r="A10" s="341" t="s">
        <v>419</v>
      </c>
      <c r="B10" s="342"/>
      <c r="C10" s="343" t="str">
        <f>""</f>
      </c>
    </row>
    <row r="11" customFormat="false" ht="44.25" hidden="false" customHeight="true" outlineLevel="0" collapsed="false">
      <c r="A11" s="344" t="s">
        <v>218</v>
      </c>
      <c r="B11" s="345" t="s">
        <v>420</v>
      </c>
      <c r="C11" s="345"/>
    </row>
  </sheetData>
  <mergeCells count="3">
    <mergeCell ref="A1:C1"/>
    <mergeCell ref="A2:C2"/>
    <mergeCell ref="B11:C11"/>
  </mergeCells>
  <printOptions headings="false" gridLines="false" gridLinesSet="true" horizontalCentered="false" verticalCentered="false"/>
  <pageMargins left="0.35" right="0.25" top="0.32" bottom="0.36" header="0.3" footer="0.3"/>
  <pageSetup paperSize="9" scale="96"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D40"/>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I27" activeCellId="0" sqref="AI27"/>
    </sheetView>
  </sheetViews>
  <sheetFormatPr defaultColWidth="2.77734375" defaultRowHeight="18.6" customHeight="true" zeroHeight="false" outlineLevelRow="0" outlineLevelCol="0"/>
  <cols>
    <col collapsed="false" customWidth="false" hidden="false" outlineLevel="0" max="257" min="1" style="15" width="2.77"/>
  </cols>
  <sheetData>
    <row r="1" customFormat="false" ht="18.6" hidden="false" customHeight="true" outlineLevel="0" collapsed="false">
      <c r="A1" s="346"/>
      <c r="B1" s="346"/>
      <c r="C1" s="346"/>
      <c r="D1" s="346"/>
      <c r="E1" s="346"/>
      <c r="F1" s="346"/>
      <c r="G1" s="346"/>
      <c r="H1" s="346"/>
      <c r="I1" s="346"/>
      <c r="J1" s="346"/>
      <c r="K1" s="346"/>
      <c r="L1" s="346"/>
      <c r="M1" s="346"/>
      <c r="N1" s="346"/>
      <c r="O1" s="346"/>
      <c r="P1" s="346"/>
      <c r="Q1" s="346"/>
      <c r="R1" s="346"/>
      <c r="S1" s="346"/>
      <c r="T1" s="346"/>
      <c r="U1" s="346"/>
      <c r="V1" s="346"/>
      <c r="W1" s="346"/>
      <c r="X1" s="346"/>
      <c r="Y1" s="346"/>
      <c r="Z1" s="346"/>
      <c r="AA1" s="346"/>
      <c r="AB1" s="346"/>
      <c r="AC1" s="346"/>
      <c r="AD1" s="346"/>
    </row>
    <row r="2" customFormat="false" ht="18.6" hidden="false" customHeight="true" outlineLevel="0" collapsed="false">
      <c r="A2" s="346"/>
      <c r="AD2" s="346"/>
    </row>
    <row r="3" customFormat="false" ht="18.6" hidden="false" customHeight="true" outlineLevel="0" collapsed="false">
      <c r="A3" s="346"/>
      <c r="AD3" s="346"/>
    </row>
    <row r="4" customFormat="false" ht="18.6" hidden="false" customHeight="true" outlineLevel="0" collapsed="false">
      <c r="A4" s="346"/>
      <c r="L4" s="347"/>
      <c r="M4" s="347"/>
      <c r="N4" s="347"/>
      <c r="O4" s="347"/>
      <c r="P4" s="347"/>
      <c r="Q4" s="347"/>
      <c r="R4" s="347"/>
      <c r="S4" s="347"/>
      <c r="T4" s="347"/>
      <c r="U4" s="347"/>
      <c r="V4" s="347"/>
      <c r="W4" s="347"/>
      <c r="X4" s="347"/>
      <c r="Y4" s="347"/>
      <c r="Z4" s="347"/>
      <c r="AA4" s="347"/>
      <c r="AB4" s="347"/>
      <c r="AC4" s="347"/>
      <c r="AD4" s="346"/>
    </row>
    <row r="5" customFormat="false" ht="18.6" hidden="false" customHeight="true" outlineLevel="0" collapsed="false">
      <c r="A5" s="346"/>
      <c r="F5" s="348">
        <f aca="false">개요!B9</f>
      </c>
      <c r="G5" s="348"/>
      <c r="H5" s="348"/>
      <c r="I5" s="348"/>
      <c r="J5" s="348"/>
      <c r="K5" s="348"/>
      <c r="L5" s="348"/>
      <c r="Z5" s="349"/>
      <c r="AA5" s="349"/>
      <c r="AB5" s="349"/>
      <c r="AC5" s="349"/>
      <c r="AD5" s="346"/>
    </row>
    <row r="6" customFormat="false" ht="18.6" hidden="false" customHeight="true" outlineLevel="0" collapsed="false">
      <c r="A6" s="346"/>
      <c r="F6" s="348"/>
      <c r="G6" s="348"/>
      <c r="H6" s="348"/>
      <c r="I6" s="348"/>
      <c r="J6" s="348"/>
      <c r="K6" s="348"/>
      <c r="L6" s="348"/>
      <c r="Z6" s="349"/>
      <c r="AA6" s="349"/>
      <c r="AB6" s="349"/>
      <c r="AC6" s="349"/>
      <c r="AD6" s="346"/>
    </row>
    <row r="7" customFormat="false" ht="18.6" hidden="false" customHeight="true" outlineLevel="0" collapsed="false">
      <c r="A7" s="346"/>
      <c r="B7" s="350" t="s">
        <v>421</v>
      </c>
      <c r="C7" s="350"/>
      <c r="D7" s="350"/>
      <c r="E7" s="350"/>
      <c r="F7" s="350"/>
      <c r="G7" s="350"/>
      <c r="H7" s="350"/>
      <c r="I7" s="350"/>
      <c r="J7" s="350"/>
      <c r="K7" s="350"/>
      <c r="L7" s="350"/>
      <c r="M7" s="350"/>
      <c r="N7" s="350"/>
      <c r="O7" s="350"/>
      <c r="P7" s="350"/>
      <c r="Q7" s="350"/>
      <c r="R7" s="350"/>
      <c r="S7" s="350"/>
      <c r="T7" s="350"/>
      <c r="U7" s="350"/>
      <c r="V7" s="350"/>
      <c r="W7" s="350"/>
      <c r="X7" s="350"/>
      <c r="Y7" s="350"/>
      <c r="Z7" s="350"/>
      <c r="AA7" s="350"/>
      <c r="AB7" s="350"/>
      <c r="AC7" s="350"/>
      <c r="AD7" s="346"/>
    </row>
    <row r="8" customFormat="false" ht="18.6" hidden="false" customHeight="true" outlineLevel="0" collapsed="false">
      <c r="A8" s="346"/>
      <c r="B8" s="350"/>
      <c r="C8" s="350"/>
      <c r="D8" s="350"/>
      <c r="E8" s="350"/>
      <c r="F8" s="350"/>
      <c r="G8" s="350"/>
      <c r="H8" s="350"/>
      <c r="I8" s="350"/>
      <c r="J8" s="350"/>
      <c r="K8" s="350"/>
      <c r="L8" s="350"/>
      <c r="M8" s="350"/>
      <c r="N8" s="350"/>
      <c r="O8" s="350"/>
      <c r="P8" s="350"/>
      <c r="Q8" s="350"/>
      <c r="R8" s="350"/>
      <c r="S8" s="350"/>
      <c r="T8" s="350"/>
      <c r="U8" s="350"/>
      <c r="V8" s="350"/>
      <c r="W8" s="350"/>
      <c r="X8" s="350"/>
      <c r="Y8" s="350"/>
      <c r="Z8" s="350"/>
      <c r="AA8" s="350"/>
      <c r="AB8" s="350"/>
      <c r="AC8" s="350"/>
      <c r="AD8" s="346"/>
    </row>
    <row r="9" customFormat="false" ht="18.6" hidden="false" customHeight="true" outlineLevel="0" collapsed="false">
      <c r="A9" s="346"/>
      <c r="AD9" s="346"/>
    </row>
    <row r="10" customFormat="false" ht="18.6" hidden="false" customHeight="true" outlineLevel="0" collapsed="false">
      <c r="A10" s="346"/>
      <c r="B10" s="351">
        <f aca="false">개요!B14</f>
      </c>
      <c r="C10" s="351"/>
      <c r="D10" s="351"/>
      <c r="E10" s="351"/>
      <c r="F10" s="351"/>
      <c r="G10" s="351"/>
      <c r="H10" s="351"/>
      <c r="I10" s="351"/>
      <c r="J10" s="351"/>
      <c r="K10" s="351"/>
      <c r="L10" s="351"/>
      <c r="M10" s="351"/>
      <c r="N10" s="351"/>
      <c r="O10" s="351"/>
      <c r="P10" s="351"/>
      <c r="Q10" s="351"/>
      <c r="R10" s="351"/>
      <c r="S10" s="351"/>
      <c r="T10" s="351"/>
      <c r="U10" s="351"/>
      <c r="V10" s="351"/>
      <c r="W10" s="351"/>
      <c r="X10" s="351"/>
      <c r="Y10" s="351"/>
      <c r="Z10" s="351"/>
      <c r="AA10" s="351"/>
      <c r="AB10" s="351"/>
      <c r="AC10" s="351"/>
      <c r="AD10" s="346"/>
    </row>
    <row r="11" customFormat="false" ht="18.6" hidden="false" customHeight="true" outlineLevel="0" collapsed="false">
      <c r="A11" s="346"/>
      <c r="B11" s="351"/>
      <c r="C11" s="351"/>
      <c r="D11" s="351"/>
      <c r="E11" s="351"/>
      <c r="F11" s="351"/>
      <c r="G11" s="351"/>
      <c r="H11" s="351"/>
      <c r="I11" s="351"/>
      <c r="J11" s="351"/>
      <c r="K11" s="351"/>
      <c r="L11" s="351"/>
      <c r="M11" s="351"/>
      <c r="N11" s="351"/>
      <c r="O11" s="351"/>
      <c r="P11" s="351"/>
      <c r="Q11" s="351"/>
      <c r="R11" s="351"/>
      <c r="S11" s="351"/>
      <c r="T11" s="351"/>
      <c r="U11" s="351"/>
      <c r="V11" s="351"/>
      <c r="W11" s="351"/>
      <c r="X11" s="351"/>
      <c r="Y11" s="351"/>
      <c r="Z11" s="351"/>
      <c r="AA11" s="351"/>
      <c r="AB11" s="351"/>
      <c r="AC11" s="351"/>
      <c r="AD11" s="346"/>
    </row>
    <row r="12" customFormat="false" ht="18.6" hidden="false" customHeight="true" outlineLevel="0" collapsed="false">
      <c r="A12" s="346"/>
      <c r="B12" s="351"/>
      <c r="C12" s="351"/>
      <c r="D12" s="351"/>
      <c r="E12" s="351"/>
      <c r="F12" s="351"/>
      <c r="G12" s="351"/>
      <c r="H12" s="351"/>
      <c r="I12" s="351"/>
      <c r="J12" s="351"/>
      <c r="K12" s="351"/>
      <c r="L12" s="351"/>
      <c r="M12" s="351"/>
      <c r="N12" s="351"/>
      <c r="O12" s="351"/>
      <c r="P12" s="351"/>
      <c r="Q12" s="351"/>
      <c r="R12" s="351"/>
      <c r="S12" s="351"/>
      <c r="T12" s="351"/>
      <c r="U12" s="351"/>
      <c r="V12" s="351"/>
      <c r="W12" s="351"/>
      <c r="X12" s="351"/>
      <c r="Y12" s="351"/>
      <c r="Z12" s="351"/>
      <c r="AA12" s="351"/>
      <c r="AB12" s="351"/>
      <c r="AC12" s="351"/>
      <c r="AD12" s="346"/>
    </row>
    <row r="13" customFormat="false" ht="18.6" hidden="false" customHeight="true" outlineLevel="0" collapsed="false">
      <c r="A13" s="346"/>
      <c r="B13" s="352"/>
      <c r="C13" s="352"/>
      <c r="D13" s="352"/>
      <c r="E13" s="352"/>
      <c r="F13" s="352"/>
      <c r="G13" s="352"/>
      <c r="H13" s="352"/>
      <c r="I13" s="352"/>
      <c r="J13" s="352"/>
      <c r="K13" s="352"/>
      <c r="L13" s="352"/>
      <c r="M13" s="352"/>
      <c r="N13" s="352"/>
      <c r="O13" s="352"/>
      <c r="P13" s="352"/>
      <c r="Q13" s="352"/>
      <c r="R13" s="352"/>
      <c r="S13" s="352"/>
      <c r="T13" s="352"/>
      <c r="U13" s="352"/>
      <c r="V13" s="352"/>
      <c r="W13" s="352"/>
      <c r="X13" s="352"/>
      <c r="Y13" s="352"/>
      <c r="Z13" s="352"/>
      <c r="AA13" s="352"/>
      <c r="AB13" s="352"/>
      <c r="AC13" s="352"/>
      <c r="AD13" s="346"/>
    </row>
    <row r="14" customFormat="false" ht="18.6" hidden="false" customHeight="true" outlineLevel="0" collapsed="false">
      <c r="A14" s="346"/>
      <c r="B14" s="352"/>
      <c r="C14" s="352"/>
      <c r="D14" s="352"/>
      <c r="E14" s="352"/>
      <c r="F14" s="352"/>
      <c r="G14" s="352"/>
      <c r="H14" s="352"/>
      <c r="I14" s="352"/>
      <c r="J14" s="352"/>
      <c r="K14" s="352"/>
      <c r="L14" s="352"/>
      <c r="M14" s="352"/>
      <c r="N14" s="352"/>
      <c r="O14" s="352"/>
      <c r="P14" s="352"/>
      <c r="Q14" s="352"/>
      <c r="R14" s="352"/>
      <c r="S14" s="352"/>
      <c r="T14" s="352"/>
      <c r="U14" s="352"/>
      <c r="V14" s="352"/>
      <c r="W14" s="352"/>
      <c r="X14" s="352"/>
      <c r="Y14" s="352"/>
      <c r="Z14" s="352"/>
      <c r="AA14" s="352"/>
      <c r="AB14" s="352"/>
      <c r="AC14" s="352"/>
      <c r="AD14" s="346"/>
    </row>
    <row r="15" customFormat="false" ht="18.6" hidden="false" customHeight="true" outlineLevel="0" collapsed="false">
      <c r="A15" s="346"/>
      <c r="AD15" s="346"/>
    </row>
    <row r="16" customFormat="false" ht="18.6" hidden="false" customHeight="true" outlineLevel="0" collapsed="false">
      <c r="A16" s="346"/>
      <c r="AD16" s="346"/>
    </row>
    <row r="17" customFormat="false" ht="18.6" hidden="false" customHeight="true" outlineLevel="0" collapsed="false">
      <c r="A17" s="346"/>
      <c r="AD17" s="346"/>
    </row>
    <row r="18" customFormat="false" ht="18.6" hidden="false" customHeight="true" outlineLevel="0" collapsed="false">
      <c r="A18" s="346"/>
      <c r="AD18" s="346"/>
    </row>
    <row r="19" customFormat="false" ht="18.6" hidden="false" customHeight="true" outlineLevel="0" collapsed="false">
      <c r="A19" s="346"/>
      <c r="AD19" s="346"/>
    </row>
    <row r="20" customFormat="false" ht="18.6" hidden="false" customHeight="true" outlineLevel="0" collapsed="false">
      <c r="A20" s="346"/>
      <c r="AD20" s="346"/>
    </row>
    <row r="21" customFormat="false" ht="18.6" hidden="false" customHeight="true" outlineLevel="0" collapsed="false">
      <c r="A21" s="346"/>
      <c r="AD21" s="346"/>
    </row>
    <row r="22" customFormat="false" ht="18.6" hidden="false" customHeight="true" outlineLevel="0" collapsed="false">
      <c r="A22" s="346"/>
      <c r="AD22" s="346"/>
    </row>
    <row r="23" customFormat="false" ht="18.6" hidden="false" customHeight="true" outlineLevel="0" collapsed="false">
      <c r="A23" s="346"/>
      <c r="AD23" s="346"/>
    </row>
    <row r="24" customFormat="false" ht="18.6" hidden="false" customHeight="true" outlineLevel="0" collapsed="false">
      <c r="A24" s="346"/>
      <c r="AD24" s="346"/>
    </row>
    <row r="25" customFormat="false" ht="18.6" hidden="false" customHeight="true" outlineLevel="0" collapsed="false">
      <c r="A25" s="346"/>
      <c r="AD25" s="346"/>
    </row>
    <row r="26" customFormat="false" ht="18.6" hidden="false" customHeight="true" outlineLevel="0" collapsed="false">
      <c r="A26" s="346"/>
      <c r="AD26" s="346"/>
    </row>
    <row r="27" customFormat="false" ht="18.6" hidden="false" customHeight="true" outlineLevel="0" collapsed="false">
      <c r="A27" s="346"/>
      <c r="AD27" s="346"/>
    </row>
    <row r="28" customFormat="false" ht="18.6" hidden="false" customHeight="true" outlineLevel="0" collapsed="false">
      <c r="A28" s="346"/>
      <c r="AD28" s="346"/>
    </row>
    <row r="29" customFormat="false" ht="18.6" hidden="false" customHeight="true" outlineLevel="0" collapsed="false">
      <c r="A29" s="346"/>
      <c r="B29" s="353">
        <f aca="false">개요!B10</f>
      </c>
      <c r="C29" s="353"/>
      <c r="D29" s="353"/>
      <c r="E29" s="353"/>
      <c r="F29" s="353"/>
      <c r="G29" s="353"/>
      <c r="H29" s="353"/>
      <c r="I29" s="353"/>
      <c r="J29" s="353"/>
      <c r="K29" s="353"/>
      <c r="L29" s="353"/>
      <c r="M29" s="353"/>
      <c r="N29" s="353"/>
      <c r="O29" s="353"/>
      <c r="P29" s="353"/>
      <c r="Q29" s="353"/>
      <c r="R29" s="353"/>
      <c r="S29" s="353"/>
      <c r="T29" s="353"/>
      <c r="U29" s="353"/>
      <c r="V29" s="353"/>
      <c r="W29" s="353"/>
      <c r="X29" s="353"/>
      <c r="Y29" s="353"/>
      <c r="Z29" s="353"/>
      <c r="AA29" s="353"/>
      <c r="AB29" s="353"/>
      <c r="AC29" s="353"/>
      <c r="AD29" s="346"/>
    </row>
    <row r="30" customFormat="false" ht="18.6" hidden="false" customHeight="true" outlineLevel="0" collapsed="false">
      <c r="A30" s="346"/>
      <c r="B30" s="353"/>
      <c r="C30" s="353"/>
      <c r="D30" s="353"/>
      <c r="E30" s="353"/>
      <c r="F30" s="353"/>
      <c r="G30" s="353"/>
      <c r="H30" s="353"/>
      <c r="I30" s="353"/>
      <c r="J30" s="353"/>
      <c r="K30" s="353"/>
      <c r="L30" s="353"/>
      <c r="M30" s="353"/>
      <c r="N30" s="353"/>
      <c r="O30" s="353"/>
      <c r="P30" s="353"/>
      <c r="Q30" s="353"/>
      <c r="R30" s="353"/>
      <c r="S30" s="353"/>
      <c r="T30" s="353"/>
      <c r="U30" s="353"/>
      <c r="V30" s="353"/>
      <c r="W30" s="353"/>
      <c r="X30" s="353"/>
      <c r="Y30" s="353"/>
      <c r="Z30" s="353"/>
      <c r="AA30" s="353"/>
      <c r="AB30" s="353"/>
      <c r="AC30" s="353"/>
      <c r="AD30" s="346"/>
    </row>
    <row r="31" customFormat="false" ht="18.6" hidden="false" customHeight="true" outlineLevel="0" collapsed="false">
      <c r="A31" s="346"/>
      <c r="B31" s="354"/>
      <c r="C31" s="354"/>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46"/>
    </row>
    <row r="32" customFormat="false" ht="18.6" hidden="false" customHeight="true" outlineLevel="0" collapsed="false">
      <c r="A32" s="346"/>
      <c r="AD32" s="346"/>
    </row>
    <row r="33" customFormat="false" ht="18.6" hidden="false" customHeight="true" outlineLevel="0" collapsed="false">
      <c r="A33" s="346"/>
      <c r="AD33" s="346"/>
    </row>
    <row r="34" customFormat="false" ht="18.6" hidden="false" customHeight="true" outlineLevel="0" collapsed="false">
      <c r="A34" s="346"/>
      <c r="AD34" s="346"/>
    </row>
    <row r="35" customFormat="false" ht="26.25" hidden="false" customHeight="true" outlineLevel="0" collapsed="false">
      <c r="A35" s="346"/>
      <c r="G35" s="355" t="s">
        <v>422</v>
      </c>
      <c r="H35" s="355"/>
      <c r="I35" s="355"/>
      <c r="J35" s="355"/>
      <c r="K35" s="355"/>
      <c r="L35" s="355"/>
      <c r="M35" s="355"/>
      <c r="N35" s="355"/>
      <c r="O35" s="355"/>
      <c r="P35" s="355"/>
      <c r="Q35" s="355"/>
      <c r="R35" s="355"/>
      <c r="S35" s="355"/>
      <c r="T35" s="355"/>
      <c r="U35" s="355"/>
      <c r="V35" s="355"/>
      <c r="W35" s="355"/>
      <c r="X35" s="355"/>
      <c r="Y35" s="355"/>
      <c r="Z35" s="355"/>
      <c r="AA35" s="355"/>
      <c r="AB35" s="355"/>
      <c r="AC35" s="356"/>
      <c r="AD35" s="346"/>
    </row>
    <row r="36" customFormat="false" ht="16.35" hidden="false" customHeight="true" outlineLevel="0" collapsed="false">
      <c r="A36" s="346"/>
      <c r="G36" s="357" t="s">
        <v>423</v>
      </c>
      <c r="H36" s="357"/>
      <c r="I36" s="357"/>
      <c r="J36" s="357"/>
      <c r="K36" s="357"/>
      <c r="L36" s="357"/>
      <c r="M36" s="357"/>
      <c r="N36" s="357"/>
      <c r="O36" s="357"/>
      <c r="P36" s="357"/>
      <c r="Q36" s="357"/>
      <c r="R36" s="357"/>
      <c r="S36" s="357"/>
      <c r="T36" s="357"/>
      <c r="U36" s="357"/>
      <c r="V36" s="357"/>
      <c r="W36" s="357"/>
      <c r="X36" s="357"/>
      <c r="Y36" s="357"/>
      <c r="Z36" s="357"/>
      <c r="AA36" s="357"/>
      <c r="AB36" s="357"/>
      <c r="AD36" s="346"/>
    </row>
    <row r="37" customFormat="false" ht="16.35" hidden="false" customHeight="true" outlineLevel="0" collapsed="false">
      <c r="A37" s="346"/>
      <c r="G37" s="357" t="s">
        <v>424</v>
      </c>
      <c r="H37" s="357"/>
      <c r="I37" s="357"/>
      <c r="J37" s="357"/>
      <c r="K37" s="357"/>
      <c r="L37" s="357"/>
      <c r="M37" s="357"/>
      <c r="N37" s="357"/>
      <c r="O37" s="357"/>
      <c r="P37" s="357"/>
      <c r="Q37" s="357"/>
      <c r="R37" s="357"/>
      <c r="S37" s="357"/>
      <c r="T37" s="357"/>
      <c r="U37" s="357"/>
      <c r="V37" s="357"/>
      <c r="W37" s="357"/>
      <c r="X37" s="357"/>
      <c r="Y37" s="357"/>
      <c r="Z37" s="357"/>
      <c r="AA37" s="357"/>
      <c r="AB37" s="357"/>
      <c r="AD37" s="346"/>
    </row>
    <row r="38" customFormat="false" ht="16.35" hidden="false" customHeight="true" outlineLevel="0" collapsed="false">
      <c r="A38" s="346"/>
      <c r="G38" s="358" t="s">
        <v>425</v>
      </c>
      <c r="H38" s="358"/>
      <c r="I38" s="358"/>
      <c r="J38" s="358"/>
      <c r="K38" s="358"/>
      <c r="L38" s="358"/>
      <c r="M38" s="358"/>
      <c r="N38" s="358"/>
      <c r="O38" s="358"/>
      <c r="P38" s="358"/>
      <c r="Q38" s="358"/>
      <c r="R38" s="358"/>
      <c r="S38" s="358"/>
      <c r="T38" s="358"/>
      <c r="U38" s="358"/>
      <c r="V38" s="358"/>
      <c r="W38" s="358"/>
      <c r="X38" s="358"/>
      <c r="Y38" s="358"/>
      <c r="Z38" s="358"/>
      <c r="AA38" s="358"/>
      <c r="AB38" s="358"/>
      <c r="AD38" s="346"/>
    </row>
    <row r="39" customFormat="false" ht="18.6" hidden="false" customHeight="true" outlineLevel="0" collapsed="false">
      <c r="A39" s="346"/>
      <c r="AD39" s="346"/>
    </row>
    <row r="40" customFormat="false" ht="18.6" hidden="false" customHeight="true" outlineLevel="0" collapsed="false">
      <c r="A40" s="346"/>
      <c r="B40" s="346"/>
      <c r="C40" s="346"/>
      <c r="D40" s="346"/>
      <c r="E40" s="346"/>
      <c r="F40" s="346"/>
      <c r="G40" s="346"/>
      <c r="H40" s="346"/>
      <c r="I40" s="346"/>
      <c r="J40" s="346"/>
      <c r="K40" s="346"/>
      <c r="L40" s="346"/>
      <c r="M40" s="346"/>
      <c r="N40" s="346"/>
      <c r="O40" s="346"/>
      <c r="P40" s="346"/>
      <c r="Q40" s="346"/>
      <c r="R40" s="346"/>
      <c r="S40" s="346"/>
      <c r="T40" s="346"/>
      <c r="U40" s="346"/>
      <c r="V40" s="346"/>
      <c r="W40" s="346"/>
      <c r="X40" s="346"/>
      <c r="Y40" s="346"/>
      <c r="Z40" s="346"/>
      <c r="AA40" s="346"/>
      <c r="AB40" s="346"/>
      <c r="AC40" s="346"/>
      <c r="AD40" s="346"/>
    </row>
  </sheetData>
  <mergeCells count="8">
    <mergeCell ref="F5:L6"/>
    <mergeCell ref="B7:AC8"/>
    <mergeCell ref="B10:AC12"/>
    <mergeCell ref="B29:AC30"/>
    <mergeCell ref="G35:AB35"/>
    <mergeCell ref="G36:AB36"/>
    <mergeCell ref="G37:AB37"/>
    <mergeCell ref="G38:AB38"/>
  </mergeCells>
  <printOptions headings="false" gridLines="false" gridLinesSet="true" horizontalCentered="false" verticalCentered="false"/>
  <pageMargins left="0.4330708661417323" right="0.2362204724409449" top="0.7480314960629921" bottom="0.5511811023622047" header="0.31496062992125984" footer="0.1181102362204724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2"/>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J23" activeCellId="0" sqref="J23"/>
    </sheetView>
  </sheetViews>
  <sheetFormatPr defaultColWidth="8.88671875" defaultRowHeight="13.5" customHeight="false" zeroHeight="false" outlineLevelRow="0" outlineLevelCol="0"/>
  <cols>
    <col collapsed="false" customWidth="true" hidden="false" outlineLevel="0" max="1" min="1" style="359" width="12.88"/>
    <col collapsed="false" customWidth="true" hidden="false" outlineLevel="0" max="2" min="2" style="359" width="7.66"/>
    <col collapsed="false" customWidth="true" hidden="false" outlineLevel="0" max="3" min="3" style="359" width="17.44"/>
    <col collapsed="false" customWidth="true" hidden="false" outlineLevel="0" max="4" min="4" style="359" width="3.77"/>
    <col collapsed="false" customWidth="true" hidden="false" outlineLevel="0" max="5" min="5" style="359" width="5.55"/>
    <col collapsed="false" customWidth="true" hidden="false" outlineLevel="0" max="6" min="6" style="359" width="7.77"/>
    <col collapsed="false" customWidth="true" hidden="false" outlineLevel="0" max="7" min="7" style="359" width="3.88"/>
    <col collapsed="false" customWidth="true" hidden="false" outlineLevel="0" max="9" min="8" style="359" width="7.77"/>
    <col collapsed="false" customWidth="false" hidden="false" outlineLevel="0" max="59" min="10" style="360" width="8.88"/>
    <col collapsed="false" customWidth="true" hidden="false" outlineLevel="0" max="60" min="60" style="360" width="0.88"/>
    <col collapsed="false" customWidth="false" hidden="false" outlineLevel="0" max="257" min="61" style="360" width="8.88"/>
  </cols>
  <sheetData>
    <row r="1" customFormat="false" ht="26.25" hidden="false" customHeight="true" outlineLevel="0" collapsed="false">
      <c r="A1" s="361" t="s">
        <v>426</v>
      </c>
      <c r="B1" s="361"/>
      <c r="C1" s="361"/>
      <c r="D1" s="361"/>
      <c r="E1" s="361"/>
      <c r="F1" s="361"/>
      <c r="G1" s="361"/>
      <c r="H1" s="361"/>
      <c r="I1" s="361"/>
    </row>
    <row r="2" customFormat="false" ht="21.75" hidden="false" customHeight="true" outlineLevel="0" collapsed="false">
      <c r="A2" s="362" t="s">
        <v>427</v>
      </c>
      <c r="B2" s="362"/>
      <c r="C2" s="362"/>
      <c r="D2" s="362"/>
      <c r="E2" s="362"/>
      <c r="F2" s="362"/>
      <c r="G2" s="362"/>
      <c r="H2" s="362"/>
      <c r="I2" s="362"/>
    </row>
    <row r="3" customFormat="false" ht="0.75" hidden="false" customHeight="true" outlineLevel="0" collapsed="false">
      <c r="A3" s="363"/>
      <c r="B3" s="363"/>
      <c r="C3" s="363"/>
      <c r="D3" s="363"/>
      <c r="E3" s="363"/>
      <c r="F3" s="363"/>
      <c r="G3" s="363"/>
      <c r="H3" s="363"/>
      <c r="I3" s="363"/>
    </row>
    <row r="4" customFormat="false" ht="21.75" hidden="false" customHeight="true" outlineLevel="0" collapsed="false">
      <c r="A4" s="364"/>
      <c r="B4" s="364"/>
      <c r="C4" s="365"/>
      <c r="D4" s="365"/>
      <c r="E4" s="365"/>
      <c r="F4" s="365"/>
      <c r="G4" s="365"/>
      <c r="H4" s="365"/>
      <c r="I4" s="365"/>
    </row>
    <row r="5" customFormat="false" ht="21.75" hidden="false" customHeight="true" outlineLevel="0" collapsed="false">
      <c r="A5" s="365"/>
      <c r="B5" s="365"/>
      <c r="C5" s="365"/>
      <c r="D5" s="365"/>
      <c r="E5" s="365"/>
      <c r="F5" s="365"/>
      <c r="G5" s="365"/>
      <c r="H5" s="365"/>
      <c r="I5" s="365"/>
    </row>
    <row r="6" customFormat="false" ht="21.75" hidden="false" customHeight="true" outlineLevel="0" collapsed="false">
      <c r="A6" s="366" t="s">
        <v>428</v>
      </c>
      <c r="B6" s="367" t="s">
        <v>429</v>
      </c>
      <c r="C6" s="368">
        <f aca="false">개요!B11</f>
      </c>
      <c r="D6" s="369" t="s">
        <v>430</v>
      </c>
      <c r="E6" s="369"/>
      <c r="F6" s="369"/>
      <c r="G6" s="369" t="s">
        <v>431</v>
      </c>
      <c r="H6" s="369"/>
      <c r="I6" s="369"/>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c r="AO6" s="370"/>
      <c r="AP6" s="370"/>
      <c r="AQ6" s="370"/>
      <c r="AR6" s="370"/>
      <c r="AS6" s="370"/>
      <c r="AT6" s="370"/>
      <c r="AU6" s="370"/>
      <c r="AV6" s="370"/>
      <c r="AW6" s="370"/>
      <c r="AX6" s="370"/>
      <c r="AY6" s="370"/>
      <c r="AZ6" s="370"/>
      <c r="BA6" s="370"/>
      <c r="BB6" s="370"/>
      <c r="BC6" s="370"/>
      <c r="BD6" s="370"/>
      <c r="BE6" s="370"/>
      <c r="BF6" s="370"/>
      <c r="BG6" s="370"/>
      <c r="BH6" s="370"/>
      <c r="BI6" s="370"/>
      <c r="BJ6" s="370"/>
      <c r="BK6" s="370"/>
      <c r="BL6" s="370"/>
      <c r="BM6" s="370"/>
      <c r="BN6" s="370"/>
      <c r="BO6" s="370"/>
      <c r="BP6" s="370"/>
      <c r="BQ6" s="370"/>
      <c r="BR6" s="370"/>
      <c r="BS6" s="370"/>
      <c r="BT6" s="370"/>
      <c r="BU6" s="370"/>
      <c r="BV6" s="370"/>
      <c r="BW6" s="370"/>
      <c r="BX6" s="370"/>
      <c r="BY6" s="370"/>
      <c r="BZ6" s="370"/>
      <c r="CA6" s="370"/>
      <c r="CB6" s="370"/>
      <c r="CC6" s="370"/>
      <c r="CD6" s="370"/>
      <c r="CE6" s="370"/>
      <c r="CF6" s="370"/>
      <c r="CG6" s="370"/>
      <c r="CH6" s="370"/>
      <c r="CI6" s="370"/>
      <c r="CJ6" s="370"/>
      <c r="CK6" s="370"/>
      <c r="CL6" s="370"/>
      <c r="CM6" s="370"/>
      <c r="CN6" s="370"/>
      <c r="CO6" s="370"/>
      <c r="CP6" s="370"/>
      <c r="CQ6" s="370"/>
      <c r="CR6" s="370"/>
      <c r="CS6" s="370"/>
      <c r="CT6" s="370"/>
      <c r="CU6" s="370"/>
      <c r="CV6" s="370"/>
      <c r="CW6" s="370"/>
      <c r="CX6" s="370"/>
      <c r="CY6" s="370"/>
      <c r="CZ6" s="370"/>
      <c r="DA6" s="370"/>
      <c r="DB6" s="370"/>
      <c r="DC6" s="370"/>
      <c r="DD6" s="370"/>
      <c r="DE6" s="370"/>
      <c r="DF6" s="370"/>
      <c r="DG6" s="370"/>
      <c r="DH6" s="370"/>
      <c r="DI6" s="370"/>
      <c r="DJ6" s="370"/>
      <c r="DK6" s="370"/>
      <c r="DL6" s="370"/>
      <c r="DM6" s="370"/>
      <c r="DN6" s="370"/>
      <c r="DO6" s="370"/>
      <c r="DP6" s="370"/>
      <c r="DQ6" s="370"/>
      <c r="DR6" s="370"/>
      <c r="DS6" s="370"/>
      <c r="DT6" s="370"/>
      <c r="DU6" s="370"/>
      <c r="DV6" s="370"/>
      <c r="DW6" s="370"/>
      <c r="DX6" s="370"/>
      <c r="DY6" s="370"/>
      <c r="DZ6" s="370"/>
      <c r="EA6" s="370"/>
      <c r="EB6" s="370"/>
      <c r="EC6" s="370"/>
      <c r="ED6" s="370"/>
      <c r="EE6" s="370"/>
      <c r="EF6" s="370"/>
      <c r="EG6" s="370"/>
      <c r="EH6" s="370"/>
      <c r="EI6" s="370"/>
      <c r="EJ6" s="370"/>
      <c r="EK6" s="370"/>
      <c r="EL6" s="370"/>
      <c r="EM6" s="370"/>
      <c r="EN6" s="370"/>
      <c r="EO6" s="370"/>
      <c r="EP6" s="370"/>
      <c r="EQ6" s="370"/>
      <c r="ER6" s="370"/>
      <c r="ES6" s="370"/>
      <c r="ET6" s="370"/>
      <c r="EU6" s="370"/>
      <c r="EV6" s="370"/>
      <c r="EW6" s="370"/>
      <c r="EX6" s="370"/>
      <c r="EY6" s="370"/>
      <c r="EZ6" s="370"/>
      <c r="FA6" s="370"/>
      <c r="FB6" s="370"/>
      <c r="FC6" s="370"/>
      <c r="FD6" s="370"/>
      <c r="FE6" s="370"/>
      <c r="FF6" s="370"/>
      <c r="FG6" s="370"/>
      <c r="FH6" s="370"/>
      <c r="FI6" s="370"/>
      <c r="FJ6" s="370"/>
      <c r="FK6" s="370"/>
      <c r="FL6" s="370"/>
      <c r="FM6" s="370"/>
      <c r="FN6" s="370"/>
      <c r="FO6" s="370"/>
      <c r="FP6" s="370"/>
      <c r="FQ6" s="370"/>
      <c r="FR6" s="370"/>
      <c r="FS6" s="370"/>
      <c r="FT6" s="370"/>
      <c r="FU6" s="370"/>
      <c r="FV6" s="370"/>
      <c r="FW6" s="370"/>
      <c r="FX6" s="370"/>
      <c r="FY6" s="370"/>
      <c r="FZ6" s="370"/>
      <c r="GA6" s="370"/>
      <c r="GB6" s="370"/>
      <c r="GC6" s="370"/>
      <c r="GD6" s="370"/>
      <c r="GE6" s="370"/>
      <c r="GF6" s="370"/>
      <c r="GG6" s="370"/>
      <c r="GH6" s="370"/>
      <c r="GI6" s="370"/>
      <c r="GJ6" s="370"/>
      <c r="GK6" s="370"/>
      <c r="GL6" s="370"/>
      <c r="GM6" s="370"/>
      <c r="GN6" s="370"/>
      <c r="GO6" s="370"/>
      <c r="GP6" s="370"/>
      <c r="GQ6" s="370"/>
      <c r="GR6" s="370"/>
      <c r="GS6" s="370"/>
      <c r="GT6" s="370"/>
      <c r="GU6" s="370"/>
      <c r="GV6" s="370"/>
      <c r="GW6" s="370"/>
      <c r="GX6" s="370"/>
      <c r="GY6" s="370"/>
      <c r="GZ6" s="370"/>
      <c r="HA6" s="370"/>
      <c r="HB6" s="370"/>
      <c r="HC6" s="370"/>
      <c r="HD6" s="370"/>
      <c r="HE6" s="370"/>
      <c r="HF6" s="370"/>
      <c r="HG6" s="370"/>
      <c r="HH6" s="370"/>
      <c r="HI6" s="370"/>
      <c r="HJ6" s="370"/>
      <c r="HK6" s="370"/>
      <c r="HL6" s="370"/>
      <c r="HM6" s="370"/>
      <c r="HN6" s="370"/>
      <c r="HO6" s="370"/>
      <c r="HP6" s="370"/>
      <c r="HQ6" s="370"/>
      <c r="HR6" s="370"/>
      <c r="HS6" s="370"/>
      <c r="HT6" s="370"/>
      <c r="HU6" s="370"/>
      <c r="HV6" s="370"/>
      <c r="HW6" s="370"/>
      <c r="HX6" s="370"/>
      <c r="HY6" s="370"/>
      <c r="HZ6" s="370"/>
      <c r="IA6" s="370"/>
      <c r="IB6" s="370"/>
      <c r="IC6" s="370"/>
      <c r="ID6" s="370"/>
      <c r="IE6" s="370"/>
      <c r="IF6" s="370"/>
      <c r="IG6" s="370"/>
      <c r="IH6" s="370"/>
      <c r="II6" s="370"/>
      <c r="IJ6" s="370"/>
      <c r="IK6" s="370"/>
      <c r="IL6" s="370"/>
      <c r="IM6" s="370"/>
      <c r="IN6" s="370"/>
      <c r="IO6" s="370"/>
      <c r="IP6" s="370"/>
      <c r="IQ6" s="370"/>
      <c r="IR6" s="370"/>
      <c r="IS6" s="370"/>
      <c r="IT6" s="370"/>
      <c r="IU6" s="370"/>
      <c r="IV6" s="370"/>
      <c r="IW6" s="370"/>
    </row>
    <row r="7" customFormat="false" ht="21.75" hidden="false" customHeight="true" outlineLevel="0" collapsed="false">
      <c r="A7" s="366" t="s">
        <v>432</v>
      </c>
      <c r="B7" s="371">
        <f aca="false">개요!B10</f>
      </c>
      <c r="C7" s="371"/>
      <c r="D7" s="369"/>
      <c r="E7" s="369"/>
      <c r="F7" s="369"/>
      <c r="G7" s="369"/>
      <c r="H7" s="369"/>
      <c r="I7" s="369"/>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70"/>
      <c r="AJ7" s="370"/>
      <c r="AK7" s="370"/>
      <c r="AL7" s="370"/>
      <c r="AM7" s="370"/>
      <c r="AN7" s="370"/>
      <c r="AO7" s="370"/>
      <c r="AP7" s="370"/>
      <c r="AQ7" s="370"/>
      <c r="AR7" s="370"/>
      <c r="AS7" s="370"/>
      <c r="AT7" s="370"/>
      <c r="AU7" s="370"/>
      <c r="AV7" s="370"/>
      <c r="AW7" s="370"/>
      <c r="AX7" s="370"/>
      <c r="AY7" s="370"/>
      <c r="AZ7" s="370"/>
      <c r="BA7" s="370"/>
      <c r="BB7" s="370"/>
      <c r="BC7" s="370"/>
      <c r="BD7" s="370"/>
      <c r="BE7" s="370"/>
      <c r="BF7" s="370"/>
      <c r="BG7" s="370"/>
      <c r="BH7" s="370"/>
      <c r="BI7" s="370"/>
      <c r="BJ7" s="370"/>
      <c r="BK7" s="370"/>
      <c r="BL7" s="370"/>
      <c r="BM7" s="370"/>
      <c r="BN7" s="370"/>
      <c r="BO7" s="370"/>
      <c r="BP7" s="370"/>
      <c r="BQ7" s="370"/>
      <c r="BR7" s="370"/>
      <c r="BS7" s="370"/>
      <c r="BT7" s="370"/>
      <c r="BU7" s="370"/>
      <c r="BV7" s="370"/>
      <c r="BW7" s="370"/>
      <c r="BX7" s="370"/>
      <c r="BY7" s="370"/>
      <c r="BZ7" s="370"/>
      <c r="CA7" s="370"/>
      <c r="CB7" s="370"/>
      <c r="CC7" s="370"/>
      <c r="CD7" s="370"/>
      <c r="CE7" s="370"/>
      <c r="CF7" s="370"/>
      <c r="CG7" s="370"/>
      <c r="CH7" s="370"/>
      <c r="CI7" s="370"/>
      <c r="CJ7" s="370"/>
      <c r="CK7" s="370"/>
      <c r="CL7" s="370"/>
      <c r="CM7" s="370"/>
      <c r="CN7" s="370"/>
      <c r="CO7" s="370"/>
      <c r="CP7" s="370"/>
      <c r="CQ7" s="370"/>
      <c r="CR7" s="370"/>
      <c r="CS7" s="370"/>
      <c r="CT7" s="370"/>
      <c r="CU7" s="370"/>
      <c r="CV7" s="370"/>
      <c r="CW7" s="370"/>
      <c r="CX7" s="370"/>
      <c r="CY7" s="370"/>
      <c r="CZ7" s="370"/>
      <c r="DA7" s="370"/>
      <c r="DB7" s="370"/>
      <c r="DC7" s="370"/>
      <c r="DD7" s="370"/>
      <c r="DE7" s="370"/>
      <c r="DF7" s="370"/>
      <c r="DG7" s="370"/>
      <c r="DH7" s="370"/>
      <c r="DI7" s="370"/>
      <c r="DJ7" s="370"/>
      <c r="DK7" s="370"/>
      <c r="DL7" s="370"/>
      <c r="DM7" s="370"/>
      <c r="DN7" s="370"/>
      <c r="DO7" s="370"/>
      <c r="DP7" s="370"/>
      <c r="DQ7" s="370"/>
      <c r="DR7" s="370"/>
      <c r="DS7" s="370"/>
      <c r="DT7" s="370"/>
      <c r="DU7" s="370"/>
      <c r="DV7" s="370"/>
      <c r="DW7" s="370"/>
      <c r="DX7" s="370"/>
      <c r="DY7" s="370"/>
      <c r="DZ7" s="370"/>
      <c r="EA7" s="370"/>
      <c r="EB7" s="370"/>
      <c r="EC7" s="370"/>
      <c r="ED7" s="370"/>
      <c r="EE7" s="370"/>
      <c r="EF7" s="370"/>
      <c r="EG7" s="370"/>
      <c r="EH7" s="370"/>
      <c r="EI7" s="370"/>
      <c r="EJ7" s="370"/>
      <c r="EK7" s="370"/>
      <c r="EL7" s="370"/>
      <c r="EM7" s="370"/>
      <c r="EN7" s="370"/>
      <c r="EO7" s="370"/>
      <c r="EP7" s="370"/>
      <c r="EQ7" s="370"/>
      <c r="ER7" s="370"/>
      <c r="ES7" s="370"/>
      <c r="ET7" s="370"/>
      <c r="EU7" s="370"/>
      <c r="EV7" s="370"/>
      <c r="EW7" s="370"/>
      <c r="EX7" s="370"/>
      <c r="EY7" s="370"/>
      <c r="EZ7" s="370"/>
      <c r="FA7" s="370"/>
      <c r="FB7" s="370"/>
      <c r="FC7" s="370"/>
      <c r="FD7" s="370"/>
      <c r="FE7" s="370"/>
      <c r="FF7" s="370"/>
      <c r="FG7" s="370"/>
      <c r="FH7" s="370"/>
      <c r="FI7" s="370"/>
      <c r="FJ7" s="370"/>
      <c r="FK7" s="370"/>
      <c r="FL7" s="370"/>
      <c r="FM7" s="370"/>
      <c r="FN7" s="370"/>
      <c r="FO7" s="370"/>
      <c r="FP7" s="370"/>
      <c r="FQ7" s="370"/>
      <c r="FR7" s="370"/>
      <c r="FS7" s="370"/>
      <c r="FT7" s="370"/>
      <c r="FU7" s="370"/>
      <c r="FV7" s="370"/>
      <c r="FW7" s="370"/>
      <c r="FX7" s="370"/>
      <c r="FY7" s="370"/>
      <c r="FZ7" s="370"/>
      <c r="GA7" s="370"/>
      <c r="GB7" s="370"/>
      <c r="GC7" s="370"/>
      <c r="GD7" s="370"/>
      <c r="GE7" s="370"/>
      <c r="GF7" s="370"/>
      <c r="GG7" s="370"/>
      <c r="GH7" s="370"/>
      <c r="GI7" s="370"/>
      <c r="GJ7" s="370"/>
      <c r="GK7" s="370"/>
      <c r="GL7" s="370"/>
      <c r="GM7" s="370"/>
      <c r="GN7" s="370"/>
      <c r="GO7" s="370"/>
      <c r="GP7" s="370"/>
      <c r="GQ7" s="370"/>
      <c r="GR7" s="370"/>
      <c r="GS7" s="370"/>
      <c r="GT7" s="370"/>
      <c r="GU7" s="370"/>
      <c r="GV7" s="370"/>
      <c r="GW7" s="370"/>
      <c r="GX7" s="370"/>
      <c r="GY7" s="370"/>
      <c r="GZ7" s="370"/>
      <c r="HA7" s="370"/>
      <c r="HB7" s="370"/>
      <c r="HC7" s="370"/>
      <c r="HD7" s="370"/>
      <c r="HE7" s="370"/>
      <c r="HF7" s="370"/>
      <c r="HG7" s="370"/>
      <c r="HH7" s="370"/>
      <c r="HI7" s="370"/>
      <c r="HJ7" s="370"/>
      <c r="HK7" s="370"/>
      <c r="HL7" s="370"/>
      <c r="HM7" s="370"/>
      <c r="HN7" s="370"/>
      <c r="HO7" s="370"/>
      <c r="HP7" s="370"/>
      <c r="HQ7" s="370"/>
      <c r="HR7" s="370"/>
      <c r="HS7" s="370"/>
      <c r="HT7" s="370"/>
      <c r="HU7" s="370"/>
      <c r="HV7" s="370"/>
      <c r="HW7" s="370"/>
      <c r="HX7" s="370"/>
      <c r="HY7" s="370"/>
      <c r="HZ7" s="370"/>
      <c r="IA7" s="370"/>
      <c r="IB7" s="370"/>
      <c r="IC7" s="370"/>
      <c r="ID7" s="370"/>
      <c r="IE7" s="370"/>
      <c r="IF7" s="370"/>
      <c r="IG7" s="370"/>
      <c r="IH7" s="370"/>
      <c r="II7" s="370"/>
      <c r="IJ7" s="370"/>
      <c r="IK7" s="370"/>
      <c r="IL7" s="370"/>
      <c r="IM7" s="370"/>
      <c r="IN7" s="370"/>
      <c r="IO7" s="370"/>
      <c r="IP7" s="370"/>
      <c r="IQ7" s="370"/>
      <c r="IR7" s="370"/>
      <c r="IS7" s="370"/>
      <c r="IT7" s="370"/>
      <c r="IU7" s="370"/>
      <c r="IV7" s="370"/>
      <c r="IW7" s="370"/>
    </row>
    <row r="8" customFormat="false" ht="21.75" hidden="false" customHeight="true" outlineLevel="0" collapsed="false">
      <c r="A8" s="366" t="s">
        <v>433</v>
      </c>
      <c r="B8" s="372">
        <f aca="false">개요!B14</f>
      </c>
      <c r="C8" s="372"/>
      <c r="D8" s="369" t="s">
        <v>434</v>
      </c>
      <c r="E8" s="369" t="s">
        <v>435</v>
      </c>
      <c r="F8" s="369"/>
      <c r="G8" s="369" t="s">
        <v>436</v>
      </c>
      <c r="H8" s="369"/>
      <c r="I8" s="369"/>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0"/>
      <c r="BA8" s="370"/>
      <c r="BB8" s="370"/>
      <c r="BC8" s="370"/>
      <c r="BD8" s="370"/>
      <c r="BE8" s="370"/>
      <c r="BF8" s="370"/>
      <c r="BG8" s="370"/>
      <c r="BH8" s="370"/>
      <c r="BI8" s="370"/>
      <c r="BJ8" s="370"/>
      <c r="BK8" s="370"/>
      <c r="BL8" s="370"/>
      <c r="BM8" s="370"/>
      <c r="BN8" s="370"/>
      <c r="BO8" s="370"/>
      <c r="BP8" s="370"/>
      <c r="BQ8" s="370"/>
      <c r="BR8" s="370"/>
      <c r="BS8" s="370"/>
      <c r="BT8" s="370"/>
      <c r="BU8" s="370"/>
      <c r="BV8" s="370"/>
      <c r="BW8" s="370"/>
      <c r="BX8" s="370"/>
      <c r="BY8" s="370"/>
      <c r="BZ8" s="370"/>
      <c r="CA8" s="370"/>
      <c r="CB8" s="370"/>
      <c r="CC8" s="370"/>
      <c r="CD8" s="370"/>
      <c r="CE8" s="370"/>
      <c r="CF8" s="370"/>
      <c r="CG8" s="370"/>
      <c r="CH8" s="370"/>
      <c r="CI8" s="370"/>
      <c r="CJ8" s="370"/>
      <c r="CK8" s="370"/>
      <c r="CL8" s="370"/>
      <c r="CM8" s="370"/>
      <c r="CN8" s="370"/>
      <c r="CO8" s="370"/>
      <c r="CP8" s="370"/>
      <c r="CQ8" s="370"/>
      <c r="CR8" s="370"/>
      <c r="CS8" s="370"/>
      <c r="CT8" s="370"/>
      <c r="CU8" s="370"/>
      <c r="CV8" s="370"/>
      <c r="CW8" s="370"/>
      <c r="CX8" s="370"/>
      <c r="CY8" s="370"/>
      <c r="CZ8" s="370"/>
      <c r="DA8" s="370"/>
      <c r="DB8" s="370"/>
      <c r="DC8" s="370"/>
      <c r="DD8" s="370"/>
      <c r="DE8" s="370"/>
      <c r="DF8" s="370"/>
      <c r="DG8" s="370"/>
      <c r="DH8" s="370"/>
      <c r="DI8" s="370"/>
      <c r="DJ8" s="370"/>
      <c r="DK8" s="370"/>
      <c r="DL8" s="370"/>
      <c r="DM8" s="370"/>
      <c r="DN8" s="370"/>
      <c r="DO8" s="370"/>
      <c r="DP8" s="370"/>
      <c r="DQ8" s="370"/>
      <c r="DR8" s="370"/>
      <c r="DS8" s="370"/>
      <c r="DT8" s="370"/>
      <c r="DU8" s="370"/>
      <c r="DV8" s="370"/>
      <c r="DW8" s="370"/>
      <c r="DX8" s="370"/>
      <c r="DY8" s="370"/>
      <c r="DZ8" s="370"/>
      <c r="EA8" s="370"/>
      <c r="EB8" s="370"/>
      <c r="EC8" s="370"/>
      <c r="ED8" s="370"/>
      <c r="EE8" s="370"/>
      <c r="EF8" s="370"/>
      <c r="EG8" s="370"/>
      <c r="EH8" s="370"/>
      <c r="EI8" s="370"/>
      <c r="EJ8" s="370"/>
      <c r="EK8" s="370"/>
      <c r="EL8" s="370"/>
      <c r="EM8" s="370"/>
      <c r="EN8" s="370"/>
      <c r="EO8" s="370"/>
      <c r="EP8" s="370"/>
      <c r="EQ8" s="370"/>
      <c r="ER8" s="370"/>
      <c r="ES8" s="370"/>
      <c r="ET8" s="370"/>
      <c r="EU8" s="370"/>
      <c r="EV8" s="370"/>
      <c r="EW8" s="370"/>
      <c r="EX8" s="370"/>
      <c r="EY8" s="370"/>
      <c r="EZ8" s="370"/>
      <c r="FA8" s="370"/>
      <c r="FB8" s="370"/>
      <c r="FC8" s="370"/>
      <c r="FD8" s="370"/>
      <c r="FE8" s="370"/>
      <c r="FF8" s="370"/>
      <c r="FG8" s="370"/>
      <c r="FH8" s="370"/>
      <c r="FI8" s="370"/>
      <c r="FJ8" s="370"/>
      <c r="FK8" s="370"/>
      <c r="FL8" s="370"/>
      <c r="FM8" s="370"/>
      <c r="FN8" s="370"/>
      <c r="FO8" s="370"/>
      <c r="FP8" s="370"/>
      <c r="FQ8" s="370"/>
      <c r="FR8" s="370"/>
      <c r="FS8" s="370"/>
      <c r="FT8" s="370"/>
      <c r="FU8" s="370"/>
      <c r="FV8" s="370"/>
      <c r="FW8" s="370"/>
      <c r="FX8" s="370"/>
      <c r="FY8" s="370"/>
      <c r="FZ8" s="370"/>
      <c r="GA8" s="370"/>
      <c r="GB8" s="370"/>
      <c r="GC8" s="370"/>
      <c r="GD8" s="370"/>
      <c r="GE8" s="370"/>
      <c r="GF8" s="370"/>
      <c r="GG8" s="370"/>
      <c r="GH8" s="370"/>
      <c r="GI8" s="370"/>
      <c r="GJ8" s="370"/>
      <c r="GK8" s="370"/>
      <c r="GL8" s="370"/>
      <c r="GM8" s="370"/>
      <c r="GN8" s="370"/>
      <c r="GO8" s="370"/>
      <c r="GP8" s="370"/>
      <c r="GQ8" s="370"/>
      <c r="GR8" s="370"/>
      <c r="GS8" s="370"/>
      <c r="GT8" s="370"/>
      <c r="GU8" s="370"/>
      <c r="GV8" s="370"/>
      <c r="GW8" s="370"/>
      <c r="GX8" s="370"/>
      <c r="GY8" s="370"/>
      <c r="GZ8" s="370"/>
      <c r="HA8" s="370"/>
      <c r="HB8" s="370"/>
      <c r="HC8" s="370"/>
      <c r="HD8" s="370"/>
      <c r="HE8" s="370"/>
      <c r="HF8" s="370"/>
      <c r="HG8" s="370"/>
      <c r="HH8" s="370"/>
      <c r="HI8" s="370"/>
      <c r="HJ8" s="370"/>
      <c r="HK8" s="370"/>
      <c r="HL8" s="370"/>
      <c r="HM8" s="370"/>
      <c r="HN8" s="370"/>
      <c r="HO8" s="370"/>
      <c r="HP8" s="370"/>
      <c r="HQ8" s="370"/>
      <c r="HR8" s="370"/>
      <c r="HS8" s="370"/>
      <c r="HT8" s="370"/>
      <c r="HU8" s="370"/>
      <c r="HV8" s="370"/>
      <c r="HW8" s="370"/>
      <c r="HX8" s="370"/>
      <c r="HY8" s="370"/>
      <c r="HZ8" s="370"/>
      <c r="IA8" s="370"/>
      <c r="IB8" s="370"/>
      <c r="IC8" s="370"/>
      <c r="ID8" s="370"/>
      <c r="IE8" s="370"/>
      <c r="IF8" s="370"/>
      <c r="IG8" s="370"/>
      <c r="IH8" s="370"/>
      <c r="II8" s="370"/>
      <c r="IJ8" s="370"/>
      <c r="IK8" s="370"/>
      <c r="IL8" s="370"/>
      <c r="IM8" s="370"/>
      <c r="IN8" s="370"/>
      <c r="IO8" s="370"/>
      <c r="IP8" s="370"/>
      <c r="IQ8" s="370"/>
      <c r="IR8" s="370"/>
      <c r="IS8" s="370"/>
      <c r="IT8" s="370"/>
      <c r="IU8" s="370"/>
      <c r="IV8" s="370"/>
      <c r="IW8" s="370"/>
    </row>
    <row r="9" customFormat="false" ht="21.75" hidden="false" customHeight="true" outlineLevel="0" collapsed="false">
      <c r="A9" s="366" t="s">
        <v>437</v>
      </c>
      <c r="B9" s="372" t="s">
        <v>438</v>
      </c>
      <c r="C9" s="372"/>
      <c r="D9" s="369"/>
      <c r="E9" s="369"/>
      <c r="F9" s="369"/>
      <c r="G9" s="369"/>
      <c r="H9" s="369"/>
      <c r="I9" s="369"/>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3"/>
      <c r="BD9" s="373"/>
      <c r="BE9" s="373"/>
      <c r="BF9" s="373"/>
      <c r="BG9" s="373"/>
      <c r="BH9" s="373"/>
      <c r="BI9" s="373"/>
      <c r="BJ9" s="373"/>
      <c r="BK9" s="373"/>
      <c r="BL9" s="373"/>
      <c r="BM9" s="373"/>
      <c r="BN9" s="373"/>
      <c r="BO9" s="373"/>
      <c r="BP9" s="373"/>
      <c r="BQ9" s="373"/>
      <c r="BR9" s="373"/>
      <c r="BS9" s="373"/>
      <c r="BT9" s="373"/>
      <c r="BU9" s="373"/>
      <c r="BV9" s="373"/>
      <c r="BW9" s="373"/>
      <c r="BX9" s="373"/>
      <c r="BY9" s="373"/>
      <c r="BZ9" s="373"/>
      <c r="CA9" s="373"/>
      <c r="CB9" s="373"/>
      <c r="CC9" s="373"/>
      <c r="CD9" s="373"/>
      <c r="CE9" s="373"/>
      <c r="CF9" s="373"/>
      <c r="CG9" s="373"/>
      <c r="CH9" s="373"/>
      <c r="CI9" s="373"/>
      <c r="CJ9" s="373"/>
      <c r="CK9" s="373"/>
      <c r="CL9" s="373"/>
      <c r="CM9" s="373"/>
      <c r="CN9" s="373"/>
      <c r="CO9" s="373"/>
      <c r="CP9" s="373"/>
      <c r="CQ9" s="373"/>
      <c r="CR9" s="373"/>
      <c r="CS9" s="373"/>
      <c r="CT9" s="373"/>
      <c r="CU9" s="373"/>
      <c r="CV9" s="373"/>
      <c r="CW9" s="373"/>
      <c r="CX9" s="373"/>
      <c r="CY9" s="373"/>
      <c r="CZ9" s="373"/>
      <c r="DA9" s="373"/>
      <c r="DB9" s="373"/>
      <c r="DC9" s="373"/>
      <c r="DD9" s="373"/>
      <c r="DE9" s="373"/>
      <c r="DF9" s="373"/>
      <c r="DG9" s="373"/>
      <c r="DH9" s="373"/>
      <c r="DI9" s="373"/>
      <c r="DJ9" s="373"/>
      <c r="DK9" s="373"/>
      <c r="DL9" s="373"/>
      <c r="DM9" s="373"/>
      <c r="DN9" s="373"/>
      <c r="DO9" s="373"/>
      <c r="DP9" s="373"/>
      <c r="DQ9" s="373"/>
      <c r="DR9" s="373"/>
      <c r="DS9" s="373"/>
      <c r="DT9" s="373"/>
      <c r="DU9" s="373"/>
      <c r="DV9" s="373"/>
      <c r="DW9" s="373"/>
      <c r="DX9" s="373"/>
      <c r="DY9" s="373"/>
      <c r="DZ9" s="373"/>
      <c r="EA9" s="373"/>
      <c r="EB9" s="373"/>
      <c r="EC9" s="373"/>
      <c r="ED9" s="373"/>
      <c r="EE9" s="373"/>
      <c r="EF9" s="373"/>
      <c r="EG9" s="373"/>
      <c r="EH9" s="373"/>
      <c r="EI9" s="373"/>
      <c r="EJ9" s="373"/>
      <c r="EK9" s="373"/>
      <c r="EL9" s="373"/>
      <c r="EM9" s="373"/>
      <c r="EN9" s="373"/>
      <c r="EO9" s="373"/>
      <c r="EP9" s="373"/>
      <c r="EQ9" s="373"/>
      <c r="ER9" s="373"/>
      <c r="ES9" s="373"/>
      <c r="ET9" s="373"/>
      <c r="EU9" s="373"/>
      <c r="EV9" s="373"/>
      <c r="EW9" s="373"/>
      <c r="EX9" s="373"/>
      <c r="EY9" s="373"/>
      <c r="EZ9" s="373"/>
      <c r="FA9" s="373"/>
      <c r="FB9" s="373"/>
      <c r="FC9" s="373"/>
      <c r="FD9" s="373"/>
      <c r="FE9" s="373"/>
      <c r="FF9" s="373"/>
      <c r="FG9" s="373"/>
      <c r="FH9" s="373"/>
      <c r="FI9" s="373"/>
      <c r="FJ9" s="373"/>
      <c r="FK9" s="373"/>
      <c r="FL9" s="373"/>
      <c r="FM9" s="373"/>
      <c r="FN9" s="373"/>
      <c r="FO9" s="373"/>
      <c r="FP9" s="373"/>
      <c r="FQ9" s="373"/>
      <c r="FR9" s="373"/>
      <c r="FS9" s="373"/>
      <c r="FT9" s="373"/>
      <c r="FU9" s="373"/>
      <c r="FV9" s="373"/>
      <c r="FW9" s="373"/>
      <c r="FX9" s="373"/>
      <c r="FY9" s="373"/>
      <c r="FZ9" s="373"/>
      <c r="GA9" s="373"/>
      <c r="GB9" s="373"/>
      <c r="GC9" s="373"/>
      <c r="GD9" s="373"/>
      <c r="GE9" s="373"/>
      <c r="GF9" s="373"/>
      <c r="GG9" s="373"/>
      <c r="GH9" s="373"/>
      <c r="GI9" s="373"/>
      <c r="GJ9" s="373"/>
      <c r="GK9" s="373"/>
      <c r="GL9" s="373"/>
      <c r="GM9" s="373"/>
      <c r="GN9" s="373"/>
      <c r="GO9" s="373"/>
      <c r="GP9" s="373"/>
      <c r="GQ9" s="373"/>
      <c r="GR9" s="373"/>
      <c r="GS9" s="373"/>
      <c r="GT9" s="373"/>
      <c r="GU9" s="373"/>
      <c r="GV9" s="373"/>
      <c r="GW9" s="373"/>
      <c r="GX9" s="373"/>
      <c r="GY9" s="373"/>
      <c r="GZ9" s="373"/>
      <c r="HA9" s="373"/>
      <c r="HB9" s="373"/>
      <c r="HC9" s="373"/>
      <c r="HD9" s="373"/>
      <c r="HE9" s="373"/>
      <c r="HF9" s="373"/>
      <c r="HG9" s="373"/>
      <c r="HH9" s="373"/>
      <c r="HI9" s="373"/>
      <c r="HJ9" s="373"/>
      <c r="HK9" s="373"/>
      <c r="HL9" s="373"/>
      <c r="HM9" s="373"/>
      <c r="HN9" s="373"/>
      <c r="HO9" s="373"/>
      <c r="HP9" s="373"/>
      <c r="HQ9" s="373"/>
      <c r="HR9" s="373"/>
      <c r="HS9" s="373"/>
      <c r="HT9" s="373"/>
      <c r="HU9" s="373"/>
      <c r="HV9" s="373"/>
      <c r="HW9" s="373"/>
      <c r="HX9" s="373"/>
      <c r="HY9" s="373"/>
      <c r="HZ9" s="373"/>
      <c r="IA9" s="373"/>
      <c r="IB9" s="373"/>
      <c r="IC9" s="373"/>
      <c r="ID9" s="373"/>
      <c r="IE9" s="373"/>
      <c r="IF9" s="373"/>
      <c r="IG9" s="373"/>
      <c r="IH9" s="373"/>
      <c r="II9" s="373"/>
      <c r="IJ9" s="373"/>
      <c r="IK9" s="373"/>
      <c r="IL9" s="373"/>
      <c r="IM9" s="373"/>
      <c r="IN9" s="373"/>
      <c r="IO9" s="373"/>
      <c r="IP9" s="373"/>
      <c r="IQ9" s="373"/>
      <c r="IR9" s="373"/>
      <c r="IS9" s="373"/>
      <c r="IT9" s="373"/>
      <c r="IU9" s="373"/>
      <c r="IV9" s="373"/>
      <c r="IW9" s="373"/>
    </row>
    <row r="10" customFormat="false" ht="21.75" hidden="false" customHeight="true" outlineLevel="0" collapsed="false">
      <c r="A10" s="366" t="s">
        <v>439</v>
      </c>
      <c r="B10" s="372" t="s">
        <v>440</v>
      </c>
      <c r="C10" s="372"/>
      <c r="D10" s="369"/>
      <c r="E10" s="369" t="s">
        <v>441</v>
      </c>
      <c r="F10" s="369"/>
      <c r="G10" s="369"/>
      <c r="H10" s="369"/>
      <c r="I10" s="369"/>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3"/>
      <c r="BU10" s="373"/>
      <c r="BV10" s="373"/>
      <c r="BW10" s="373"/>
      <c r="BX10" s="373"/>
      <c r="BY10" s="373"/>
      <c r="BZ10" s="373"/>
      <c r="CA10" s="373"/>
      <c r="CB10" s="373"/>
      <c r="CC10" s="373"/>
      <c r="CD10" s="373"/>
      <c r="CE10" s="373"/>
      <c r="CF10" s="373"/>
      <c r="CG10" s="373"/>
      <c r="CH10" s="373"/>
      <c r="CI10" s="373"/>
      <c r="CJ10" s="373"/>
      <c r="CK10" s="373"/>
      <c r="CL10" s="373"/>
      <c r="CM10" s="373"/>
      <c r="CN10" s="373"/>
      <c r="CO10" s="373"/>
      <c r="CP10" s="373"/>
      <c r="CQ10" s="373"/>
      <c r="CR10" s="373"/>
      <c r="CS10" s="373"/>
      <c r="CT10" s="373"/>
      <c r="CU10" s="373"/>
      <c r="CV10" s="373"/>
      <c r="CW10" s="373"/>
      <c r="CX10" s="373"/>
      <c r="CY10" s="373"/>
      <c r="CZ10" s="373"/>
      <c r="DA10" s="373"/>
      <c r="DB10" s="373"/>
      <c r="DC10" s="373"/>
      <c r="DD10" s="373"/>
      <c r="DE10" s="373"/>
      <c r="DF10" s="373"/>
      <c r="DG10" s="373"/>
      <c r="DH10" s="373"/>
      <c r="DI10" s="373"/>
      <c r="DJ10" s="373"/>
      <c r="DK10" s="373"/>
      <c r="DL10" s="373"/>
      <c r="DM10" s="373"/>
      <c r="DN10" s="373"/>
      <c r="DO10" s="373"/>
      <c r="DP10" s="373"/>
      <c r="DQ10" s="373"/>
      <c r="DR10" s="373"/>
      <c r="DS10" s="373"/>
      <c r="DT10" s="373"/>
      <c r="DU10" s="373"/>
      <c r="DV10" s="373"/>
      <c r="DW10" s="373"/>
      <c r="DX10" s="373"/>
      <c r="DY10" s="373"/>
      <c r="DZ10" s="373"/>
      <c r="EA10" s="373"/>
      <c r="EB10" s="373"/>
      <c r="EC10" s="373"/>
      <c r="ED10" s="373"/>
      <c r="EE10" s="373"/>
      <c r="EF10" s="373"/>
      <c r="EG10" s="373"/>
      <c r="EH10" s="373"/>
      <c r="EI10" s="373"/>
      <c r="EJ10" s="373"/>
      <c r="EK10" s="373"/>
      <c r="EL10" s="373"/>
      <c r="EM10" s="373"/>
      <c r="EN10" s="373"/>
      <c r="EO10" s="373"/>
      <c r="EP10" s="373"/>
      <c r="EQ10" s="373"/>
      <c r="ER10" s="373"/>
      <c r="ES10" s="373"/>
      <c r="ET10" s="373"/>
      <c r="EU10" s="373"/>
      <c r="EV10" s="373"/>
      <c r="EW10" s="373"/>
      <c r="EX10" s="373"/>
      <c r="EY10" s="373"/>
      <c r="EZ10" s="373"/>
      <c r="FA10" s="373"/>
      <c r="FB10" s="373"/>
      <c r="FC10" s="373"/>
      <c r="FD10" s="373"/>
      <c r="FE10" s="373"/>
      <c r="FF10" s="373"/>
      <c r="FG10" s="373"/>
      <c r="FH10" s="373"/>
      <c r="FI10" s="373"/>
      <c r="FJ10" s="373"/>
      <c r="FK10" s="373"/>
      <c r="FL10" s="373"/>
      <c r="FM10" s="373"/>
      <c r="FN10" s="373"/>
      <c r="FO10" s="373"/>
      <c r="FP10" s="373"/>
      <c r="FQ10" s="373"/>
      <c r="FR10" s="373"/>
      <c r="FS10" s="373"/>
      <c r="FT10" s="373"/>
      <c r="FU10" s="373"/>
      <c r="FV10" s="373"/>
      <c r="FW10" s="373"/>
      <c r="FX10" s="373"/>
      <c r="FY10" s="373"/>
      <c r="FZ10" s="373"/>
      <c r="GA10" s="373"/>
      <c r="GB10" s="373"/>
      <c r="GC10" s="373"/>
      <c r="GD10" s="373"/>
      <c r="GE10" s="373"/>
      <c r="GF10" s="373"/>
      <c r="GG10" s="373"/>
      <c r="GH10" s="373"/>
      <c r="GI10" s="373"/>
      <c r="GJ10" s="373"/>
      <c r="GK10" s="373"/>
      <c r="GL10" s="373"/>
      <c r="GM10" s="373"/>
      <c r="GN10" s="373"/>
      <c r="GO10" s="373"/>
      <c r="GP10" s="373"/>
      <c r="GQ10" s="373"/>
      <c r="GR10" s="373"/>
      <c r="GS10" s="373"/>
      <c r="GT10" s="373"/>
      <c r="GU10" s="373"/>
      <c r="GV10" s="373"/>
      <c r="GW10" s="373"/>
      <c r="GX10" s="373"/>
      <c r="GY10" s="373"/>
      <c r="GZ10" s="373"/>
      <c r="HA10" s="373"/>
      <c r="HB10" s="373"/>
      <c r="HC10" s="373"/>
      <c r="HD10" s="373"/>
      <c r="HE10" s="373"/>
      <c r="HF10" s="373"/>
      <c r="HG10" s="373"/>
      <c r="HH10" s="373"/>
      <c r="HI10" s="373"/>
      <c r="HJ10" s="373"/>
      <c r="HK10" s="373"/>
      <c r="HL10" s="373"/>
      <c r="HM10" s="373"/>
      <c r="HN10" s="373"/>
      <c r="HO10" s="373"/>
      <c r="HP10" s="373"/>
      <c r="HQ10" s="373"/>
      <c r="HR10" s="373"/>
      <c r="HS10" s="373"/>
      <c r="HT10" s="373"/>
      <c r="HU10" s="373"/>
      <c r="HV10" s="373"/>
      <c r="HW10" s="373"/>
      <c r="HX10" s="373"/>
      <c r="HY10" s="373"/>
      <c r="HZ10" s="373"/>
      <c r="IA10" s="373"/>
      <c r="IB10" s="373"/>
      <c r="IC10" s="373"/>
      <c r="ID10" s="373"/>
      <c r="IE10" s="373"/>
      <c r="IF10" s="373"/>
      <c r="IG10" s="373"/>
      <c r="IH10" s="373"/>
      <c r="II10" s="373"/>
      <c r="IJ10" s="373"/>
      <c r="IK10" s="373"/>
      <c r="IL10" s="373"/>
      <c r="IM10" s="373"/>
      <c r="IN10" s="373"/>
      <c r="IO10" s="373"/>
      <c r="IP10" s="373"/>
      <c r="IQ10" s="373"/>
      <c r="IR10" s="373"/>
      <c r="IS10" s="373"/>
      <c r="IT10" s="373"/>
      <c r="IU10" s="373"/>
      <c r="IV10" s="373"/>
      <c r="IW10" s="373"/>
    </row>
    <row r="11" customFormat="false" ht="21.75" hidden="false" customHeight="true" outlineLevel="0" collapsed="false">
      <c r="A11" s="366"/>
      <c r="B11" s="366"/>
      <c r="C11" s="366"/>
      <c r="D11" s="369"/>
      <c r="E11" s="369"/>
      <c r="F11" s="369"/>
      <c r="G11" s="369" t="s">
        <v>442</v>
      </c>
      <c r="H11" s="369"/>
      <c r="I11" s="369"/>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3"/>
      <c r="AU11" s="373"/>
      <c r="AV11" s="373"/>
      <c r="AW11" s="373"/>
      <c r="AX11" s="373"/>
      <c r="AY11" s="373"/>
      <c r="AZ11" s="373"/>
      <c r="BA11" s="373"/>
      <c r="BB11" s="373"/>
      <c r="BC11" s="373"/>
      <c r="BD11" s="373"/>
      <c r="BE11" s="373"/>
      <c r="BF11" s="373"/>
      <c r="BG11" s="373"/>
      <c r="BH11" s="373"/>
      <c r="BI11" s="373"/>
      <c r="BJ11" s="373"/>
      <c r="BK11" s="373"/>
      <c r="BL11" s="373"/>
      <c r="BM11" s="373"/>
      <c r="BN11" s="373"/>
      <c r="BO11" s="373"/>
      <c r="BP11" s="373"/>
      <c r="BQ11" s="373"/>
      <c r="BR11" s="373"/>
      <c r="BS11" s="373"/>
      <c r="BT11" s="373"/>
      <c r="BU11" s="373"/>
      <c r="BV11" s="373"/>
      <c r="BW11" s="373"/>
      <c r="BX11" s="373"/>
      <c r="BY11" s="373"/>
      <c r="BZ11" s="373"/>
      <c r="CA11" s="373"/>
      <c r="CB11" s="373"/>
      <c r="CC11" s="373"/>
      <c r="CD11" s="373"/>
      <c r="CE11" s="373"/>
      <c r="CF11" s="373"/>
      <c r="CG11" s="373"/>
      <c r="CH11" s="373"/>
      <c r="CI11" s="373"/>
      <c r="CJ11" s="373"/>
      <c r="CK11" s="373"/>
      <c r="CL11" s="373"/>
      <c r="CM11" s="373"/>
      <c r="CN11" s="373"/>
      <c r="CO11" s="373"/>
      <c r="CP11" s="373"/>
      <c r="CQ11" s="373"/>
      <c r="CR11" s="373"/>
      <c r="CS11" s="373"/>
      <c r="CT11" s="373"/>
      <c r="CU11" s="373"/>
      <c r="CV11" s="373"/>
      <c r="CW11" s="373"/>
      <c r="CX11" s="373"/>
      <c r="CY11" s="373"/>
      <c r="CZ11" s="373"/>
      <c r="DA11" s="373"/>
      <c r="DB11" s="373"/>
      <c r="DC11" s="373"/>
      <c r="DD11" s="373"/>
      <c r="DE11" s="373"/>
      <c r="DF11" s="373"/>
      <c r="DG11" s="373"/>
      <c r="DH11" s="373"/>
      <c r="DI11" s="373"/>
      <c r="DJ11" s="373"/>
      <c r="DK11" s="373"/>
      <c r="DL11" s="373"/>
      <c r="DM11" s="373"/>
      <c r="DN11" s="373"/>
      <c r="DO11" s="373"/>
      <c r="DP11" s="373"/>
      <c r="DQ11" s="373"/>
      <c r="DR11" s="373"/>
      <c r="DS11" s="373"/>
      <c r="DT11" s="373"/>
      <c r="DU11" s="373"/>
      <c r="DV11" s="373"/>
      <c r="DW11" s="373"/>
      <c r="DX11" s="373"/>
      <c r="DY11" s="373"/>
      <c r="DZ11" s="373"/>
      <c r="EA11" s="373"/>
      <c r="EB11" s="373"/>
      <c r="EC11" s="373"/>
      <c r="ED11" s="373"/>
      <c r="EE11" s="373"/>
      <c r="EF11" s="373"/>
      <c r="EG11" s="373"/>
      <c r="EH11" s="373"/>
      <c r="EI11" s="373"/>
      <c r="EJ11" s="373"/>
      <c r="EK11" s="373"/>
      <c r="EL11" s="373"/>
      <c r="EM11" s="373"/>
      <c r="EN11" s="373"/>
      <c r="EO11" s="373"/>
      <c r="EP11" s="373"/>
      <c r="EQ11" s="373"/>
      <c r="ER11" s="373"/>
      <c r="ES11" s="373"/>
      <c r="ET11" s="373"/>
      <c r="EU11" s="373"/>
      <c r="EV11" s="373"/>
      <c r="EW11" s="373"/>
      <c r="EX11" s="373"/>
      <c r="EY11" s="373"/>
      <c r="EZ11" s="373"/>
      <c r="FA11" s="373"/>
      <c r="FB11" s="373"/>
      <c r="FC11" s="373"/>
      <c r="FD11" s="373"/>
      <c r="FE11" s="373"/>
      <c r="FF11" s="373"/>
      <c r="FG11" s="373"/>
      <c r="FH11" s="373"/>
      <c r="FI11" s="373"/>
      <c r="FJ11" s="373"/>
      <c r="FK11" s="373"/>
      <c r="FL11" s="373"/>
      <c r="FM11" s="373"/>
      <c r="FN11" s="373"/>
      <c r="FO11" s="373"/>
      <c r="FP11" s="373"/>
      <c r="FQ11" s="373"/>
      <c r="FR11" s="373"/>
      <c r="FS11" s="373"/>
      <c r="FT11" s="373"/>
      <c r="FU11" s="373"/>
      <c r="FV11" s="373"/>
      <c r="FW11" s="373"/>
      <c r="FX11" s="373"/>
      <c r="FY11" s="373"/>
      <c r="FZ11" s="373"/>
      <c r="GA11" s="373"/>
      <c r="GB11" s="373"/>
      <c r="GC11" s="373"/>
      <c r="GD11" s="373"/>
      <c r="GE11" s="373"/>
      <c r="GF11" s="373"/>
      <c r="GG11" s="373"/>
      <c r="GH11" s="373"/>
      <c r="GI11" s="373"/>
      <c r="GJ11" s="373"/>
      <c r="GK11" s="373"/>
      <c r="GL11" s="373"/>
      <c r="GM11" s="373"/>
      <c r="GN11" s="373"/>
      <c r="GO11" s="373"/>
      <c r="GP11" s="373"/>
      <c r="GQ11" s="373"/>
      <c r="GR11" s="373"/>
      <c r="GS11" s="373"/>
      <c r="GT11" s="373"/>
      <c r="GU11" s="373"/>
      <c r="GV11" s="373"/>
      <c r="GW11" s="373"/>
      <c r="GX11" s="373"/>
      <c r="GY11" s="373"/>
      <c r="GZ11" s="373"/>
      <c r="HA11" s="373"/>
      <c r="HB11" s="373"/>
      <c r="HC11" s="373"/>
      <c r="HD11" s="373"/>
      <c r="HE11" s="373"/>
      <c r="HF11" s="373"/>
      <c r="HG11" s="373"/>
      <c r="HH11" s="373"/>
      <c r="HI11" s="373"/>
      <c r="HJ11" s="373"/>
      <c r="HK11" s="373"/>
      <c r="HL11" s="373"/>
      <c r="HM11" s="373"/>
      <c r="HN11" s="373"/>
      <c r="HO11" s="373"/>
      <c r="HP11" s="373"/>
      <c r="HQ11" s="373"/>
      <c r="HR11" s="373"/>
      <c r="HS11" s="373"/>
      <c r="HT11" s="373"/>
      <c r="HU11" s="373"/>
      <c r="HV11" s="373"/>
      <c r="HW11" s="373"/>
      <c r="HX11" s="373"/>
      <c r="HY11" s="373"/>
      <c r="HZ11" s="373"/>
      <c r="IA11" s="373"/>
      <c r="IB11" s="373"/>
      <c r="IC11" s="373"/>
      <c r="ID11" s="373"/>
      <c r="IE11" s="373"/>
      <c r="IF11" s="373"/>
      <c r="IG11" s="373"/>
      <c r="IH11" s="373"/>
      <c r="II11" s="373"/>
      <c r="IJ11" s="373"/>
      <c r="IK11" s="373"/>
      <c r="IL11" s="373"/>
      <c r="IM11" s="373"/>
      <c r="IN11" s="373"/>
      <c r="IO11" s="373"/>
      <c r="IP11" s="373"/>
      <c r="IQ11" s="373"/>
      <c r="IR11" s="373"/>
      <c r="IS11" s="373"/>
      <c r="IT11" s="373"/>
      <c r="IU11" s="373"/>
      <c r="IV11" s="373"/>
      <c r="IW11" s="373"/>
    </row>
    <row r="12" customFormat="false" ht="21.75" hidden="false" customHeight="true" outlineLevel="0" collapsed="false">
      <c r="A12" s="366"/>
      <c r="B12" s="366"/>
      <c r="C12" s="366"/>
      <c r="D12" s="369" t="s">
        <v>443</v>
      </c>
      <c r="E12" s="369"/>
      <c r="F12" s="369"/>
      <c r="G12" s="369"/>
      <c r="H12" s="369"/>
      <c r="I12" s="369"/>
      <c r="J12" s="373"/>
      <c r="K12" s="373"/>
      <c r="L12" s="373"/>
      <c r="M12" s="373"/>
      <c r="N12" s="373"/>
      <c r="O12" s="373"/>
      <c r="P12" s="373"/>
      <c r="Q12" s="373"/>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3"/>
      <c r="BU12" s="373"/>
      <c r="BV12" s="373"/>
      <c r="BW12" s="373"/>
      <c r="BX12" s="373"/>
      <c r="BY12" s="373"/>
      <c r="BZ12" s="373"/>
      <c r="CA12" s="373"/>
      <c r="CB12" s="373"/>
      <c r="CC12" s="373"/>
      <c r="CD12" s="373"/>
      <c r="CE12" s="373"/>
      <c r="CF12" s="373"/>
      <c r="CG12" s="373"/>
      <c r="CH12" s="373"/>
      <c r="CI12" s="373"/>
      <c r="CJ12" s="373"/>
      <c r="CK12" s="373"/>
      <c r="CL12" s="373"/>
      <c r="CM12" s="373"/>
      <c r="CN12" s="373"/>
      <c r="CO12" s="373"/>
      <c r="CP12" s="373"/>
      <c r="CQ12" s="373"/>
      <c r="CR12" s="373"/>
      <c r="CS12" s="373"/>
      <c r="CT12" s="373"/>
      <c r="CU12" s="373"/>
      <c r="CV12" s="373"/>
      <c r="CW12" s="373"/>
      <c r="CX12" s="373"/>
      <c r="CY12" s="373"/>
      <c r="CZ12" s="373"/>
      <c r="DA12" s="373"/>
      <c r="DB12" s="373"/>
      <c r="DC12" s="373"/>
      <c r="DD12" s="373"/>
      <c r="DE12" s="373"/>
      <c r="DF12" s="373"/>
      <c r="DG12" s="373"/>
      <c r="DH12" s="373"/>
      <c r="DI12" s="373"/>
      <c r="DJ12" s="373"/>
      <c r="DK12" s="373"/>
      <c r="DL12" s="373"/>
      <c r="DM12" s="373"/>
      <c r="DN12" s="373"/>
      <c r="DO12" s="373"/>
      <c r="DP12" s="373"/>
      <c r="DQ12" s="373"/>
      <c r="DR12" s="373"/>
      <c r="DS12" s="373"/>
      <c r="DT12" s="373"/>
      <c r="DU12" s="373"/>
      <c r="DV12" s="373"/>
      <c r="DW12" s="373"/>
      <c r="DX12" s="373"/>
      <c r="DY12" s="373"/>
      <c r="DZ12" s="373"/>
      <c r="EA12" s="373"/>
      <c r="EB12" s="373"/>
      <c r="EC12" s="373"/>
      <c r="ED12" s="373"/>
      <c r="EE12" s="373"/>
      <c r="EF12" s="373"/>
      <c r="EG12" s="373"/>
      <c r="EH12" s="373"/>
      <c r="EI12" s="373"/>
      <c r="EJ12" s="373"/>
      <c r="EK12" s="373"/>
      <c r="EL12" s="373"/>
      <c r="EM12" s="373"/>
      <c r="EN12" s="373"/>
      <c r="EO12" s="373"/>
      <c r="EP12" s="373"/>
      <c r="EQ12" s="373"/>
      <c r="ER12" s="373"/>
      <c r="ES12" s="373"/>
      <c r="ET12" s="373"/>
      <c r="EU12" s="373"/>
      <c r="EV12" s="373"/>
      <c r="EW12" s="373"/>
      <c r="EX12" s="373"/>
      <c r="EY12" s="373"/>
      <c r="EZ12" s="373"/>
      <c r="FA12" s="373"/>
      <c r="FB12" s="373"/>
      <c r="FC12" s="373"/>
      <c r="FD12" s="373"/>
      <c r="FE12" s="373"/>
      <c r="FF12" s="373"/>
      <c r="FG12" s="373"/>
      <c r="FH12" s="373"/>
      <c r="FI12" s="373"/>
      <c r="FJ12" s="373"/>
      <c r="FK12" s="373"/>
      <c r="FL12" s="373"/>
      <c r="FM12" s="373"/>
      <c r="FN12" s="373"/>
      <c r="FO12" s="373"/>
      <c r="FP12" s="373"/>
      <c r="FQ12" s="373"/>
      <c r="FR12" s="373"/>
      <c r="FS12" s="373"/>
      <c r="FT12" s="373"/>
      <c r="FU12" s="373"/>
      <c r="FV12" s="373"/>
      <c r="FW12" s="373"/>
      <c r="FX12" s="373"/>
      <c r="FY12" s="373"/>
      <c r="FZ12" s="373"/>
      <c r="GA12" s="373"/>
      <c r="GB12" s="373"/>
      <c r="GC12" s="373"/>
      <c r="GD12" s="373"/>
      <c r="GE12" s="373"/>
      <c r="GF12" s="373"/>
      <c r="GG12" s="373"/>
      <c r="GH12" s="373"/>
      <c r="GI12" s="373"/>
      <c r="GJ12" s="373"/>
      <c r="GK12" s="373"/>
      <c r="GL12" s="373"/>
      <c r="GM12" s="373"/>
      <c r="GN12" s="373"/>
      <c r="GO12" s="373"/>
      <c r="GP12" s="373"/>
      <c r="GQ12" s="373"/>
      <c r="GR12" s="373"/>
      <c r="GS12" s="373"/>
      <c r="GT12" s="373"/>
      <c r="GU12" s="373"/>
      <c r="GV12" s="373"/>
      <c r="GW12" s="373"/>
      <c r="GX12" s="373"/>
      <c r="GY12" s="373"/>
      <c r="GZ12" s="373"/>
      <c r="HA12" s="373"/>
      <c r="HB12" s="373"/>
      <c r="HC12" s="373"/>
      <c r="HD12" s="373"/>
      <c r="HE12" s="373"/>
      <c r="HF12" s="373"/>
      <c r="HG12" s="373"/>
      <c r="HH12" s="373"/>
      <c r="HI12" s="373"/>
      <c r="HJ12" s="373"/>
      <c r="HK12" s="373"/>
      <c r="HL12" s="373"/>
      <c r="HM12" s="373"/>
      <c r="HN12" s="373"/>
      <c r="HO12" s="373"/>
      <c r="HP12" s="373"/>
      <c r="HQ12" s="373"/>
      <c r="HR12" s="373"/>
      <c r="HS12" s="373"/>
      <c r="HT12" s="373"/>
      <c r="HU12" s="373"/>
      <c r="HV12" s="373"/>
      <c r="HW12" s="373"/>
      <c r="HX12" s="373"/>
      <c r="HY12" s="373"/>
      <c r="HZ12" s="373"/>
      <c r="IA12" s="373"/>
      <c r="IB12" s="373"/>
      <c r="IC12" s="373"/>
      <c r="ID12" s="373"/>
      <c r="IE12" s="373"/>
      <c r="IF12" s="373"/>
      <c r="IG12" s="373"/>
      <c r="IH12" s="373"/>
      <c r="II12" s="373"/>
      <c r="IJ12" s="373"/>
      <c r="IK12" s="373"/>
      <c r="IL12" s="373"/>
      <c r="IM12" s="373"/>
      <c r="IN12" s="373"/>
      <c r="IO12" s="373"/>
      <c r="IP12" s="373"/>
      <c r="IQ12" s="373"/>
      <c r="IR12" s="373"/>
      <c r="IS12" s="373"/>
      <c r="IT12" s="373"/>
      <c r="IU12" s="373"/>
      <c r="IV12" s="373"/>
      <c r="IW12" s="373"/>
    </row>
    <row r="13" customFormat="false" ht="21.75" hidden="false" customHeight="true" outlineLevel="0" collapsed="false">
      <c r="A13" s="366"/>
      <c r="B13" s="366"/>
      <c r="C13" s="366"/>
      <c r="D13" s="369" t="s">
        <v>444</v>
      </c>
      <c r="E13" s="369"/>
      <c r="F13" s="369"/>
      <c r="G13" s="369"/>
      <c r="H13" s="369"/>
      <c r="I13" s="369"/>
      <c r="J13" s="373"/>
      <c r="K13" s="373"/>
      <c r="L13" s="373"/>
      <c r="M13" s="373"/>
      <c r="N13" s="373"/>
      <c r="O13" s="373"/>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c r="BK13" s="373"/>
      <c r="BL13" s="373"/>
      <c r="BM13" s="373"/>
      <c r="BN13" s="373"/>
      <c r="BO13" s="373"/>
      <c r="BP13" s="373"/>
      <c r="BQ13" s="373"/>
      <c r="BR13" s="373"/>
      <c r="BS13" s="373"/>
      <c r="BT13" s="373"/>
      <c r="BU13" s="373"/>
      <c r="BV13" s="373"/>
      <c r="BW13" s="373"/>
      <c r="BX13" s="373"/>
      <c r="BY13" s="373"/>
      <c r="BZ13" s="373"/>
      <c r="CA13" s="373"/>
      <c r="CB13" s="373"/>
      <c r="CC13" s="373"/>
      <c r="CD13" s="373"/>
      <c r="CE13" s="373"/>
      <c r="CF13" s="373"/>
      <c r="CG13" s="373"/>
      <c r="CH13" s="373"/>
      <c r="CI13" s="373"/>
      <c r="CJ13" s="373"/>
      <c r="CK13" s="373"/>
      <c r="CL13" s="373"/>
      <c r="CM13" s="373"/>
      <c r="CN13" s="373"/>
      <c r="CO13" s="373"/>
      <c r="CP13" s="373"/>
      <c r="CQ13" s="373"/>
      <c r="CR13" s="373"/>
      <c r="CS13" s="373"/>
      <c r="CT13" s="373"/>
      <c r="CU13" s="373"/>
      <c r="CV13" s="373"/>
      <c r="CW13" s="373"/>
      <c r="CX13" s="373"/>
      <c r="CY13" s="373"/>
      <c r="CZ13" s="373"/>
      <c r="DA13" s="373"/>
      <c r="DB13" s="373"/>
      <c r="DC13" s="373"/>
      <c r="DD13" s="373"/>
      <c r="DE13" s="373"/>
      <c r="DF13" s="373"/>
      <c r="DG13" s="373"/>
      <c r="DH13" s="373"/>
      <c r="DI13" s="373"/>
      <c r="DJ13" s="373"/>
      <c r="DK13" s="373"/>
      <c r="DL13" s="373"/>
      <c r="DM13" s="373"/>
      <c r="DN13" s="373"/>
      <c r="DO13" s="373"/>
      <c r="DP13" s="373"/>
      <c r="DQ13" s="373"/>
      <c r="DR13" s="373"/>
      <c r="DS13" s="373"/>
      <c r="DT13" s="373"/>
      <c r="DU13" s="373"/>
      <c r="DV13" s="373"/>
      <c r="DW13" s="373"/>
      <c r="DX13" s="373"/>
      <c r="DY13" s="373"/>
      <c r="DZ13" s="373"/>
      <c r="EA13" s="373"/>
      <c r="EB13" s="373"/>
      <c r="EC13" s="373"/>
      <c r="ED13" s="373"/>
      <c r="EE13" s="373"/>
      <c r="EF13" s="373"/>
      <c r="EG13" s="373"/>
      <c r="EH13" s="373"/>
      <c r="EI13" s="373"/>
      <c r="EJ13" s="373"/>
      <c r="EK13" s="373"/>
      <c r="EL13" s="373"/>
      <c r="EM13" s="373"/>
      <c r="EN13" s="373"/>
      <c r="EO13" s="373"/>
      <c r="EP13" s="373"/>
      <c r="EQ13" s="373"/>
      <c r="ER13" s="373"/>
      <c r="ES13" s="373"/>
      <c r="ET13" s="373"/>
      <c r="EU13" s="373"/>
      <c r="EV13" s="373"/>
      <c r="EW13" s="373"/>
      <c r="EX13" s="373"/>
      <c r="EY13" s="373"/>
      <c r="EZ13" s="373"/>
      <c r="FA13" s="373"/>
      <c r="FB13" s="373"/>
      <c r="FC13" s="373"/>
      <c r="FD13" s="373"/>
      <c r="FE13" s="373"/>
      <c r="FF13" s="373"/>
      <c r="FG13" s="373"/>
      <c r="FH13" s="373"/>
      <c r="FI13" s="373"/>
      <c r="FJ13" s="373"/>
      <c r="FK13" s="373"/>
      <c r="FL13" s="373"/>
      <c r="FM13" s="373"/>
      <c r="FN13" s="373"/>
      <c r="FO13" s="373"/>
      <c r="FP13" s="373"/>
      <c r="FQ13" s="373"/>
      <c r="FR13" s="373"/>
      <c r="FS13" s="373"/>
      <c r="FT13" s="373"/>
      <c r="FU13" s="373"/>
      <c r="FV13" s="373"/>
      <c r="FW13" s="373"/>
      <c r="FX13" s="373"/>
      <c r="FY13" s="373"/>
      <c r="FZ13" s="373"/>
      <c r="GA13" s="373"/>
      <c r="GB13" s="373"/>
      <c r="GC13" s="373"/>
      <c r="GD13" s="373"/>
      <c r="GE13" s="373"/>
      <c r="GF13" s="373"/>
      <c r="GG13" s="373"/>
      <c r="GH13" s="373"/>
      <c r="GI13" s="373"/>
      <c r="GJ13" s="373"/>
      <c r="GK13" s="373"/>
      <c r="GL13" s="373"/>
      <c r="GM13" s="373"/>
      <c r="GN13" s="373"/>
      <c r="GO13" s="373"/>
      <c r="GP13" s="373"/>
      <c r="GQ13" s="373"/>
      <c r="GR13" s="373"/>
      <c r="GS13" s="373"/>
      <c r="GT13" s="373"/>
      <c r="GU13" s="373"/>
      <c r="GV13" s="373"/>
      <c r="GW13" s="373"/>
      <c r="GX13" s="373"/>
      <c r="GY13" s="373"/>
      <c r="GZ13" s="373"/>
      <c r="HA13" s="373"/>
      <c r="HB13" s="373"/>
      <c r="HC13" s="373"/>
      <c r="HD13" s="373"/>
      <c r="HE13" s="373"/>
      <c r="HF13" s="373"/>
      <c r="HG13" s="373"/>
      <c r="HH13" s="373"/>
      <c r="HI13" s="373"/>
      <c r="HJ13" s="373"/>
      <c r="HK13" s="373"/>
      <c r="HL13" s="373"/>
      <c r="HM13" s="373"/>
      <c r="HN13" s="373"/>
      <c r="HO13" s="373"/>
      <c r="HP13" s="373"/>
      <c r="HQ13" s="373"/>
      <c r="HR13" s="373"/>
      <c r="HS13" s="373"/>
      <c r="HT13" s="373"/>
      <c r="HU13" s="373"/>
      <c r="HV13" s="373"/>
      <c r="HW13" s="373"/>
      <c r="HX13" s="373"/>
      <c r="HY13" s="373"/>
      <c r="HZ13" s="373"/>
      <c r="IA13" s="373"/>
      <c r="IB13" s="373"/>
      <c r="IC13" s="373"/>
      <c r="ID13" s="373"/>
      <c r="IE13" s="373"/>
      <c r="IF13" s="373"/>
      <c r="IG13" s="373"/>
      <c r="IH13" s="373"/>
      <c r="II13" s="373"/>
      <c r="IJ13" s="373"/>
      <c r="IK13" s="373"/>
      <c r="IL13" s="373"/>
      <c r="IM13" s="373"/>
      <c r="IN13" s="373"/>
      <c r="IO13" s="373"/>
      <c r="IP13" s="373"/>
      <c r="IQ13" s="373"/>
      <c r="IR13" s="373"/>
      <c r="IS13" s="373"/>
      <c r="IT13" s="373"/>
      <c r="IU13" s="373"/>
      <c r="IV13" s="373"/>
      <c r="IW13" s="373"/>
    </row>
    <row r="14" customFormat="false" ht="30.6" hidden="false" customHeight="true" outlineLevel="0" collapsed="false">
      <c r="A14" s="374" t="s">
        <v>445</v>
      </c>
      <c r="B14" s="375">
        <f aca="false">개요!B9</f>
      </c>
      <c r="C14" s="376" t="s">
        <v>446</v>
      </c>
      <c r="D14" s="376"/>
      <c r="E14" s="376"/>
      <c r="F14" s="376"/>
      <c r="G14" s="376"/>
      <c r="H14" s="376"/>
      <c r="I14" s="376"/>
      <c r="J14" s="373"/>
      <c r="K14" s="373"/>
      <c r="L14" s="373"/>
      <c r="M14" s="373"/>
      <c r="N14" s="373"/>
      <c r="O14" s="373"/>
      <c r="P14" s="373"/>
      <c r="Q14" s="373"/>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3"/>
      <c r="BD14" s="373"/>
      <c r="BE14" s="373"/>
      <c r="BF14" s="373"/>
      <c r="BG14" s="373"/>
      <c r="BH14" s="373"/>
      <c r="BI14" s="373"/>
      <c r="BJ14" s="373"/>
      <c r="BK14" s="373"/>
      <c r="BL14" s="373"/>
      <c r="BM14" s="373"/>
      <c r="BN14" s="373"/>
      <c r="BO14" s="373"/>
      <c r="BP14" s="373"/>
      <c r="BQ14" s="373"/>
      <c r="BR14" s="373"/>
      <c r="BS14" s="373"/>
      <c r="BT14" s="373"/>
      <c r="BU14" s="373"/>
      <c r="BV14" s="373"/>
      <c r="BW14" s="373"/>
      <c r="BX14" s="373"/>
      <c r="BY14" s="373"/>
      <c r="BZ14" s="373"/>
      <c r="CA14" s="373"/>
      <c r="CB14" s="373"/>
      <c r="CC14" s="373"/>
      <c r="CD14" s="373"/>
      <c r="CE14" s="373"/>
      <c r="CF14" s="373"/>
      <c r="CG14" s="373"/>
      <c r="CH14" s="373"/>
      <c r="CI14" s="373"/>
      <c r="CJ14" s="373"/>
      <c r="CK14" s="373"/>
      <c r="CL14" s="373"/>
      <c r="CM14" s="373"/>
      <c r="CN14" s="373"/>
      <c r="CO14" s="373"/>
      <c r="CP14" s="373"/>
      <c r="CQ14" s="373"/>
      <c r="CR14" s="373"/>
      <c r="CS14" s="373"/>
      <c r="CT14" s="373"/>
      <c r="CU14" s="373"/>
      <c r="CV14" s="373"/>
      <c r="CW14" s="373"/>
      <c r="CX14" s="373"/>
      <c r="CY14" s="373"/>
      <c r="CZ14" s="373"/>
      <c r="DA14" s="373"/>
      <c r="DB14" s="373"/>
      <c r="DC14" s="373"/>
      <c r="DD14" s="373"/>
      <c r="DE14" s="373"/>
      <c r="DF14" s="373"/>
      <c r="DG14" s="373"/>
      <c r="DH14" s="373"/>
      <c r="DI14" s="373"/>
      <c r="DJ14" s="373"/>
      <c r="DK14" s="373"/>
      <c r="DL14" s="373"/>
      <c r="DM14" s="373"/>
      <c r="DN14" s="373"/>
      <c r="DO14" s="373"/>
      <c r="DP14" s="373"/>
      <c r="DQ14" s="373"/>
      <c r="DR14" s="373"/>
      <c r="DS14" s="373"/>
      <c r="DT14" s="373"/>
      <c r="DU14" s="373"/>
      <c r="DV14" s="373"/>
      <c r="DW14" s="373"/>
      <c r="DX14" s="373"/>
      <c r="DY14" s="373"/>
      <c r="DZ14" s="373"/>
      <c r="EA14" s="373"/>
      <c r="EB14" s="373"/>
      <c r="EC14" s="373"/>
      <c r="ED14" s="373"/>
      <c r="EE14" s="373"/>
      <c r="EF14" s="373"/>
      <c r="EG14" s="373"/>
      <c r="EH14" s="373"/>
      <c r="EI14" s="373"/>
      <c r="EJ14" s="373"/>
      <c r="EK14" s="373"/>
      <c r="EL14" s="373"/>
      <c r="EM14" s="373"/>
      <c r="EN14" s="373"/>
      <c r="EO14" s="373"/>
      <c r="EP14" s="373"/>
      <c r="EQ14" s="373"/>
      <c r="ER14" s="373"/>
      <c r="ES14" s="373"/>
      <c r="ET14" s="373"/>
      <c r="EU14" s="373"/>
      <c r="EV14" s="373"/>
      <c r="EW14" s="373"/>
      <c r="EX14" s="373"/>
      <c r="EY14" s="373"/>
      <c r="EZ14" s="373"/>
      <c r="FA14" s="373"/>
      <c r="FB14" s="373"/>
      <c r="FC14" s="373"/>
      <c r="FD14" s="373"/>
      <c r="FE14" s="373"/>
      <c r="FF14" s="373"/>
      <c r="FG14" s="373"/>
      <c r="FH14" s="373"/>
      <c r="FI14" s="373"/>
      <c r="FJ14" s="373"/>
      <c r="FK14" s="373"/>
      <c r="FL14" s="373"/>
      <c r="FM14" s="373"/>
      <c r="FN14" s="373"/>
      <c r="FO14" s="373"/>
      <c r="FP14" s="373"/>
      <c r="FQ14" s="373"/>
      <c r="FR14" s="373"/>
      <c r="FS14" s="373"/>
      <c r="FT14" s="373"/>
      <c r="FU14" s="373"/>
      <c r="FV14" s="373"/>
      <c r="FW14" s="373"/>
      <c r="FX14" s="373"/>
      <c r="FY14" s="373"/>
      <c r="FZ14" s="373"/>
      <c r="GA14" s="373"/>
      <c r="GB14" s="373"/>
      <c r="GC14" s="373"/>
      <c r="GD14" s="373"/>
      <c r="GE14" s="373"/>
      <c r="GF14" s="373"/>
      <c r="GG14" s="373"/>
      <c r="GH14" s="373"/>
      <c r="GI14" s="373"/>
      <c r="GJ14" s="373"/>
      <c r="GK14" s="373"/>
      <c r="GL14" s="373"/>
      <c r="GM14" s="373"/>
      <c r="GN14" s="373"/>
      <c r="GO14" s="373"/>
      <c r="GP14" s="373"/>
      <c r="GQ14" s="373"/>
      <c r="GR14" s="373"/>
      <c r="GS14" s="373"/>
      <c r="GT14" s="373"/>
      <c r="GU14" s="373"/>
      <c r="GV14" s="373"/>
      <c r="GW14" s="373"/>
      <c r="GX14" s="373"/>
      <c r="GY14" s="373"/>
      <c r="GZ14" s="373"/>
      <c r="HA14" s="373"/>
      <c r="HB14" s="373"/>
      <c r="HC14" s="373"/>
      <c r="HD14" s="373"/>
      <c r="HE14" s="373"/>
      <c r="HF14" s="373"/>
      <c r="HG14" s="373"/>
      <c r="HH14" s="373"/>
      <c r="HI14" s="373"/>
      <c r="HJ14" s="373"/>
      <c r="HK14" s="373"/>
      <c r="HL14" s="373"/>
      <c r="HM14" s="373"/>
      <c r="HN14" s="373"/>
      <c r="HO14" s="373"/>
      <c r="HP14" s="373"/>
      <c r="HQ14" s="373"/>
      <c r="HR14" s="373"/>
      <c r="HS14" s="373"/>
      <c r="HT14" s="373"/>
      <c r="HU14" s="373"/>
      <c r="HV14" s="373"/>
      <c r="HW14" s="373"/>
      <c r="HX14" s="373"/>
      <c r="HY14" s="373"/>
      <c r="HZ14" s="373"/>
      <c r="IA14" s="373"/>
      <c r="IB14" s="373"/>
      <c r="IC14" s="373"/>
      <c r="ID14" s="373"/>
      <c r="IE14" s="373"/>
      <c r="IF14" s="373"/>
      <c r="IG14" s="373"/>
      <c r="IH14" s="373"/>
      <c r="II14" s="373"/>
      <c r="IJ14" s="373"/>
      <c r="IK14" s="373"/>
      <c r="IL14" s="373"/>
      <c r="IM14" s="373"/>
      <c r="IN14" s="373"/>
      <c r="IO14" s="373"/>
      <c r="IP14" s="373"/>
      <c r="IQ14" s="373"/>
      <c r="IR14" s="373"/>
      <c r="IS14" s="373"/>
      <c r="IT14" s="373"/>
      <c r="IU14" s="373"/>
      <c r="IV14" s="373"/>
      <c r="IW14" s="373"/>
    </row>
    <row r="15" customFormat="false" ht="0.75" hidden="false" customHeight="true" outlineLevel="0" collapsed="false">
      <c r="A15" s="377"/>
      <c r="B15" s="377"/>
      <c r="C15" s="377"/>
      <c r="D15" s="377"/>
      <c r="E15" s="377"/>
      <c r="F15" s="377"/>
      <c r="G15" s="377"/>
      <c r="H15" s="377"/>
      <c r="I15" s="377"/>
      <c r="J15" s="373"/>
      <c r="K15" s="373"/>
      <c r="L15" s="373"/>
      <c r="M15" s="373"/>
      <c r="N15" s="373"/>
      <c r="O15" s="373"/>
      <c r="P15" s="373"/>
      <c r="Q15" s="373"/>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3"/>
      <c r="BD15" s="373"/>
      <c r="BE15" s="373"/>
      <c r="BF15" s="373"/>
      <c r="BG15" s="373"/>
      <c r="BH15" s="373"/>
      <c r="BI15" s="373"/>
      <c r="BJ15" s="373"/>
      <c r="BK15" s="373"/>
      <c r="BL15" s="373"/>
      <c r="BM15" s="373"/>
      <c r="BN15" s="373"/>
      <c r="BO15" s="373"/>
      <c r="BP15" s="373"/>
      <c r="BQ15" s="373"/>
      <c r="BR15" s="373"/>
      <c r="BS15" s="373"/>
      <c r="BT15" s="373"/>
      <c r="BU15" s="373"/>
      <c r="BV15" s="373"/>
      <c r="BW15" s="373"/>
      <c r="BX15" s="373"/>
      <c r="BY15" s="373"/>
      <c r="BZ15" s="373"/>
      <c r="CA15" s="373"/>
      <c r="CB15" s="373"/>
      <c r="CC15" s="373"/>
      <c r="CD15" s="373"/>
      <c r="CE15" s="373"/>
      <c r="CF15" s="373"/>
      <c r="CG15" s="373"/>
      <c r="CH15" s="373"/>
      <c r="CI15" s="373"/>
      <c r="CJ15" s="373"/>
      <c r="CK15" s="373"/>
      <c r="CL15" s="373"/>
      <c r="CM15" s="373"/>
      <c r="CN15" s="373"/>
      <c r="CO15" s="373"/>
      <c r="CP15" s="373"/>
      <c r="CQ15" s="373"/>
      <c r="CR15" s="373"/>
      <c r="CS15" s="373"/>
      <c r="CT15" s="373"/>
      <c r="CU15" s="373"/>
      <c r="CV15" s="373"/>
      <c r="CW15" s="373"/>
      <c r="CX15" s="373"/>
      <c r="CY15" s="373"/>
      <c r="CZ15" s="373"/>
      <c r="DA15" s="373"/>
      <c r="DB15" s="373"/>
      <c r="DC15" s="373"/>
      <c r="DD15" s="373"/>
      <c r="DE15" s="373"/>
      <c r="DF15" s="373"/>
      <c r="DG15" s="373"/>
      <c r="DH15" s="373"/>
      <c r="DI15" s="373"/>
      <c r="DJ15" s="373"/>
      <c r="DK15" s="373"/>
      <c r="DL15" s="373"/>
      <c r="DM15" s="373"/>
      <c r="DN15" s="373"/>
      <c r="DO15" s="373"/>
      <c r="DP15" s="373"/>
      <c r="DQ15" s="373"/>
      <c r="DR15" s="373"/>
      <c r="DS15" s="373"/>
      <c r="DT15" s="373"/>
      <c r="DU15" s="373"/>
      <c r="DV15" s="373"/>
      <c r="DW15" s="373"/>
      <c r="DX15" s="373"/>
      <c r="DY15" s="373"/>
      <c r="DZ15" s="373"/>
      <c r="EA15" s="373"/>
      <c r="EB15" s="373"/>
      <c r="EC15" s="373"/>
      <c r="ED15" s="373"/>
      <c r="EE15" s="373"/>
      <c r="EF15" s="373"/>
      <c r="EG15" s="373"/>
      <c r="EH15" s="373"/>
      <c r="EI15" s="373"/>
      <c r="EJ15" s="373"/>
      <c r="EK15" s="373"/>
      <c r="EL15" s="373"/>
      <c r="EM15" s="373"/>
      <c r="EN15" s="373"/>
      <c r="EO15" s="373"/>
      <c r="EP15" s="373"/>
      <c r="EQ15" s="373"/>
      <c r="ER15" s="373"/>
      <c r="ES15" s="373"/>
      <c r="ET15" s="373"/>
      <c r="EU15" s="373"/>
      <c r="EV15" s="373"/>
      <c r="EW15" s="373"/>
      <c r="EX15" s="373"/>
      <c r="EY15" s="373"/>
      <c r="EZ15" s="373"/>
      <c r="FA15" s="373"/>
      <c r="FB15" s="373"/>
      <c r="FC15" s="373"/>
      <c r="FD15" s="373"/>
      <c r="FE15" s="373"/>
      <c r="FF15" s="373"/>
      <c r="FG15" s="373"/>
      <c r="FH15" s="373"/>
      <c r="FI15" s="373"/>
      <c r="FJ15" s="373"/>
      <c r="FK15" s="373"/>
      <c r="FL15" s="373"/>
      <c r="FM15" s="373"/>
      <c r="FN15" s="373"/>
      <c r="FO15" s="373"/>
      <c r="FP15" s="373"/>
      <c r="FQ15" s="373"/>
      <c r="FR15" s="373"/>
      <c r="FS15" s="373"/>
      <c r="FT15" s="373"/>
      <c r="FU15" s="373"/>
      <c r="FV15" s="373"/>
      <c r="FW15" s="373"/>
      <c r="FX15" s="373"/>
      <c r="FY15" s="373"/>
      <c r="FZ15" s="373"/>
      <c r="GA15" s="373"/>
      <c r="GB15" s="373"/>
      <c r="GC15" s="373"/>
      <c r="GD15" s="373"/>
      <c r="GE15" s="373"/>
      <c r="GF15" s="373"/>
      <c r="GG15" s="373"/>
      <c r="GH15" s="373"/>
      <c r="GI15" s="373"/>
      <c r="GJ15" s="373"/>
      <c r="GK15" s="373"/>
      <c r="GL15" s="373"/>
      <c r="GM15" s="373"/>
      <c r="GN15" s="373"/>
      <c r="GO15" s="373"/>
      <c r="GP15" s="373"/>
      <c r="GQ15" s="373"/>
      <c r="GR15" s="373"/>
      <c r="GS15" s="373"/>
      <c r="GT15" s="373"/>
      <c r="GU15" s="373"/>
      <c r="GV15" s="373"/>
      <c r="GW15" s="373"/>
      <c r="GX15" s="373"/>
      <c r="GY15" s="373"/>
      <c r="GZ15" s="373"/>
      <c r="HA15" s="373"/>
      <c r="HB15" s="373"/>
      <c r="HC15" s="373"/>
      <c r="HD15" s="373"/>
      <c r="HE15" s="373"/>
      <c r="HF15" s="373"/>
      <c r="HG15" s="373"/>
      <c r="HH15" s="373"/>
      <c r="HI15" s="373"/>
      <c r="HJ15" s="373"/>
      <c r="HK15" s="373"/>
      <c r="HL15" s="373"/>
      <c r="HM15" s="373"/>
      <c r="HN15" s="373"/>
      <c r="HO15" s="373"/>
      <c r="HP15" s="373"/>
      <c r="HQ15" s="373"/>
      <c r="HR15" s="373"/>
      <c r="HS15" s="373"/>
      <c r="HT15" s="373"/>
      <c r="HU15" s="373"/>
      <c r="HV15" s="373"/>
      <c r="HW15" s="373"/>
      <c r="HX15" s="373"/>
      <c r="HY15" s="373"/>
      <c r="HZ15" s="373"/>
      <c r="IA15" s="373"/>
      <c r="IB15" s="373"/>
      <c r="IC15" s="373"/>
      <c r="ID15" s="373"/>
      <c r="IE15" s="373"/>
      <c r="IF15" s="373"/>
      <c r="IG15" s="373"/>
      <c r="IH15" s="373"/>
      <c r="II15" s="373"/>
      <c r="IJ15" s="373"/>
      <c r="IK15" s="373"/>
      <c r="IL15" s="373"/>
      <c r="IM15" s="373"/>
      <c r="IN15" s="373"/>
      <c r="IO15" s="373"/>
      <c r="IP15" s="373"/>
      <c r="IQ15" s="373"/>
      <c r="IR15" s="373"/>
      <c r="IS15" s="373"/>
      <c r="IT15" s="373"/>
      <c r="IU15" s="373"/>
      <c r="IV15" s="373"/>
      <c r="IW15" s="373"/>
    </row>
    <row r="16" customFormat="false" ht="21.75" hidden="false" customHeight="true" outlineLevel="0" collapsed="false">
      <c r="A16" s="378"/>
      <c r="B16" s="378"/>
      <c r="C16" s="378"/>
      <c r="D16" s="378"/>
      <c r="E16" s="378"/>
      <c r="F16" s="378"/>
      <c r="G16" s="378"/>
      <c r="H16" s="378"/>
      <c r="I16" s="378"/>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3"/>
      <c r="BU16" s="373"/>
      <c r="BV16" s="373"/>
      <c r="BW16" s="373"/>
      <c r="BX16" s="373"/>
      <c r="BY16" s="373"/>
      <c r="BZ16" s="373"/>
      <c r="CA16" s="373"/>
      <c r="CB16" s="373"/>
      <c r="CC16" s="373"/>
      <c r="CD16" s="373"/>
      <c r="CE16" s="373"/>
      <c r="CF16" s="373"/>
      <c r="CG16" s="373"/>
      <c r="CH16" s="373"/>
      <c r="CI16" s="373"/>
      <c r="CJ16" s="373"/>
      <c r="CK16" s="373"/>
      <c r="CL16" s="373"/>
      <c r="CM16" s="373"/>
      <c r="CN16" s="373"/>
      <c r="CO16" s="373"/>
      <c r="CP16" s="373"/>
      <c r="CQ16" s="373"/>
      <c r="CR16" s="373"/>
      <c r="CS16" s="373"/>
      <c r="CT16" s="373"/>
      <c r="CU16" s="373"/>
      <c r="CV16" s="373"/>
      <c r="CW16" s="373"/>
      <c r="CX16" s="373"/>
      <c r="CY16" s="373"/>
      <c r="CZ16" s="373"/>
      <c r="DA16" s="373"/>
      <c r="DB16" s="373"/>
      <c r="DC16" s="373"/>
      <c r="DD16" s="373"/>
      <c r="DE16" s="373"/>
      <c r="DF16" s="373"/>
      <c r="DG16" s="373"/>
      <c r="DH16" s="373"/>
      <c r="DI16" s="373"/>
      <c r="DJ16" s="373"/>
      <c r="DK16" s="373"/>
      <c r="DL16" s="373"/>
      <c r="DM16" s="373"/>
      <c r="DN16" s="373"/>
      <c r="DO16" s="373"/>
      <c r="DP16" s="373"/>
      <c r="DQ16" s="373"/>
      <c r="DR16" s="373"/>
      <c r="DS16" s="373"/>
      <c r="DT16" s="373"/>
      <c r="DU16" s="373"/>
      <c r="DV16" s="373"/>
      <c r="DW16" s="373"/>
      <c r="DX16" s="373"/>
      <c r="DY16" s="373"/>
      <c r="DZ16" s="373"/>
      <c r="EA16" s="373"/>
      <c r="EB16" s="373"/>
      <c r="EC16" s="373"/>
      <c r="ED16" s="373"/>
      <c r="EE16" s="373"/>
      <c r="EF16" s="373"/>
      <c r="EG16" s="373"/>
      <c r="EH16" s="373"/>
      <c r="EI16" s="373"/>
      <c r="EJ16" s="373"/>
      <c r="EK16" s="373"/>
      <c r="EL16" s="373"/>
      <c r="EM16" s="373"/>
      <c r="EN16" s="373"/>
      <c r="EO16" s="373"/>
      <c r="EP16" s="373"/>
      <c r="EQ16" s="373"/>
      <c r="ER16" s="373"/>
      <c r="ES16" s="373"/>
      <c r="ET16" s="373"/>
      <c r="EU16" s="373"/>
      <c r="EV16" s="373"/>
      <c r="EW16" s="373"/>
      <c r="EX16" s="373"/>
      <c r="EY16" s="373"/>
      <c r="EZ16" s="373"/>
      <c r="FA16" s="373"/>
      <c r="FB16" s="373"/>
      <c r="FC16" s="373"/>
      <c r="FD16" s="373"/>
      <c r="FE16" s="373"/>
      <c r="FF16" s="373"/>
      <c r="FG16" s="373"/>
      <c r="FH16" s="373"/>
      <c r="FI16" s="373"/>
      <c r="FJ16" s="373"/>
      <c r="FK16" s="373"/>
      <c r="FL16" s="373"/>
      <c r="FM16" s="373"/>
      <c r="FN16" s="373"/>
      <c r="FO16" s="373"/>
      <c r="FP16" s="373"/>
      <c r="FQ16" s="373"/>
      <c r="FR16" s="373"/>
      <c r="FS16" s="373"/>
      <c r="FT16" s="373"/>
      <c r="FU16" s="373"/>
      <c r="FV16" s="373"/>
      <c r="FW16" s="373"/>
      <c r="FX16" s="373"/>
      <c r="FY16" s="373"/>
      <c r="FZ16" s="373"/>
      <c r="GA16" s="373"/>
      <c r="GB16" s="373"/>
      <c r="GC16" s="373"/>
      <c r="GD16" s="373"/>
      <c r="GE16" s="373"/>
      <c r="GF16" s="373"/>
      <c r="GG16" s="373"/>
      <c r="GH16" s="373"/>
      <c r="GI16" s="373"/>
      <c r="GJ16" s="373"/>
      <c r="GK16" s="373"/>
      <c r="GL16" s="373"/>
      <c r="GM16" s="373"/>
      <c r="GN16" s="373"/>
      <c r="GO16" s="373"/>
      <c r="GP16" s="373"/>
      <c r="GQ16" s="373"/>
      <c r="GR16" s="373"/>
      <c r="GS16" s="373"/>
      <c r="GT16" s="373"/>
      <c r="GU16" s="373"/>
      <c r="GV16" s="373"/>
      <c r="GW16" s="373"/>
      <c r="GX16" s="373"/>
      <c r="GY16" s="373"/>
      <c r="GZ16" s="373"/>
      <c r="HA16" s="373"/>
      <c r="HB16" s="373"/>
      <c r="HC16" s="373"/>
      <c r="HD16" s="373"/>
      <c r="HE16" s="373"/>
      <c r="HF16" s="373"/>
      <c r="HG16" s="373"/>
      <c r="HH16" s="373"/>
      <c r="HI16" s="373"/>
      <c r="HJ16" s="373"/>
      <c r="HK16" s="373"/>
      <c r="HL16" s="373"/>
      <c r="HM16" s="373"/>
      <c r="HN16" s="373"/>
      <c r="HO16" s="373"/>
      <c r="HP16" s="373"/>
      <c r="HQ16" s="373"/>
      <c r="HR16" s="373"/>
      <c r="HS16" s="373"/>
      <c r="HT16" s="373"/>
      <c r="HU16" s="373"/>
      <c r="HV16" s="373"/>
      <c r="HW16" s="373"/>
      <c r="HX16" s="373"/>
      <c r="HY16" s="373"/>
      <c r="HZ16" s="373"/>
      <c r="IA16" s="373"/>
      <c r="IB16" s="373"/>
      <c r="IC16" s="373"/>
      <c r="ID16" s="373"/>
      <c r="IE16" s="373"/>
      <c r="IF16" s="373"/>
      <c r="IG16" s="373"/>
      <c r="IH16" s="373"/>
      <c r="II16" s="373"/>
      <c r="IJ16" s="373"/>
      <c r="IK16" s="373"/>
      <c r="IL16" s="373"/>
      <c r="IM16" s="373"/>
      <c r="IN16" s="373"/>
      <c r="IO16" s="373"/>
      <c r="IP16" s="373"/>
      <c r="IQ16" s="373"/>
      <c r="IR16" s="373"/>
      <c r="IS16" s="373"/>
      <c r="IT16" s="373"/>
      <c r="IU16" s="373"/>
      <c r="IV16" s="373"/>
      <c r="IW16" s="373"/>
    </row>
    <row r="17" customFormat="false" ht="21.75" hidden="false" customHeight="true" outlineLevel="0" collapsed="false">
      <c r="A17" s="379" t="s">
        <v>447</v>
      </c>
      <c r="B17" s="379"/>
      <c r="C17" s="379"/>
      <c r="D17" s="379"/>
      <c r="E17" s="379"/>
      <c r="F17" s="379"/>
      <c r="G17" s="379"/>
      <c r="H17" s="379"/>
      <c r="I17" s="379"/>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c r="BM17" s="373"/>
      <c r="BN17" s="373"/>
      <c r="BO17" s="373"/>
      <c r="BP17" s="373"/>
      <c r="BQ17" s="373"/>
      <c r="BR17" s="373"/>
      <c r="BS17" s="373"/>
      <c r="BT17" s="373"/>
      <c r="BU17" s="373"/>
      <c r="BV17" s="373"/>
      <c r="BW17" s="373"/>
      <c r="BX17" s="373"/>
      <c r="BY17" s="373"/>
      <c r="BZ17" s="373"/>
      <c r="CA17" s="373"/>
      <c r="CB17" s="373"/>
      <c r="CC17" s="373"/>
      <c r="CD17" s="373"/>
      <c r="CE17" s="373"/>
      <c r="CF17" s="373"/>
      <c r="CG17" s="373"/>
      <c r="CH17" s="373"/>
      <c r="CI17" s="373"/>
      <c r="CJ17" s="373"/>
      <c r="CK17" s="373"/>
      <c r="CL17" s="373"/>
      <c r="CM17" s="373"/>
      <c r="CN17" s="373"/>
      <c r="CO17" s="373"/>
      <c r="CP17" s="373"/>
      <c r="CQ17" s="373"/>
      <c r="CR17" s="373"/>
      <c r="CS17" s="373"/>
      <c r="CT17" s="373"/>
      <c r="CU17" s="373"/>
      <c r="CV17" s="373"/>
      <c r="CW17" s="373"/>
      <c r="CX17" s="373"/>
      <c r="CY17" s="373"/>
      <c r="CZ17" s="373"/>
      <c r="DA17" s="373"/>
      <c r="DB17" s="373"/>
      <c r="DC17" s="373"/>
      <c r="DD17" s="373"/>
      <c r="DE17" s="373"/>
      <c r="DF17" s="373"/>
      <c r="DG17" s="373"/>
      <c r="DH17" s="373"/>
      <c r="DI17" s="373"/>
      <c r="DJ17" s="373"/>
      <c r="DK17" s="373"/>
      <c r="DL17" s="373"/>
      <c r="DM17" s="373"/>
      <c r="DN17" s="373"/>
      <c r="DO17" s="373"/>
      <c r="DP17" s="373"/>
      <c r="DQ17" s="373"/>
      <c r="DR17" s="373"/>
      <c r="DS17" s="373"/>
      <c r="DT17" s="373"/>
      <c r="DU17" s="373"/>
      <c r="DV17" s="373"/>
      <c r="DW17" s="373"/>
      <c r="DX17" s="373"/>
      <c r="DY17" s="373"/>
      <c r="DZ17" s="373"/>
      <c r="EA17" s="373"/>
      <c r="EB17" s="373"/>
      <c r="EC17" s="373"/>
      <c r="ED17" s="373"/>
      <c r="EE17" s="373"/>
      <c r="EF17" s="373"/>
      <c r="EG17" s="373"/>
      <c r="EH17" s="373"/>
      <c r="EI17" s="373"/>
      <c r="EJ17" s="373"/>
      <c r="EK17" s="373"/>
      <c r="EL17" s="373"/>
      <c r="EM17" s="373"/>
      <c r="EN17" s="373"/>
      <c r="EO17" s="373"/>
      <c r="EP17" s="373"/>
      <c r="EQ17" s="373"/>
      <c r="ER17" s="373"/>
      <c r="ES17" s="373"/>
      <c r="ET17" s="373"/>
      <c r="EU17" s="373"/>
      <c r="EV17" s="373"/>
      <c r="EW17" s="373"/>
      <c r="EX17" s="373"/>
      <c r="EY17" s="373"/>
      <c r="EZ17" s="373"/>
      <c r="FA17" s="373"/>
      <c r="FB17" s="373"/>
      <c r="FC17" s="373"/>
      <c r="FD17" s="373"/>
      <c r="FE17" s="373"/>
      <c r="FF17" s="373"/>
      <c r="FG17" s="373"/>
      <c r="FH17" s="373"/>
      <c r="FI17" s="373"/>
      <c r="FJ17" s="373"/>
      <c r="FK17" s="373"/>
      <c r="FL17" s="373"/>
      <c r="FM17" s="373"/>
      <c r="FN17" s="373"/>
      <c r="FO17" s="373"/>
      <c r="FP17" s="373"/>
      <c r="FQ17" s="373"/>
      <c r="FR17" s="373"/>
      <c r="FS17" s="373"/>
      <c r="FT17" s="373"/>
      <c r="FU17" s="373"/>
      <c r="FV17" s="373"/>
      <c r="FW17" s="373"/>
      <c r="FX17" s="373"/>
      <c r="FY17" s="373"/>
      <c r="FZ17" s="373"/>
      <c r="GA17" s="373"/>
      <c r="GB17" s="373"/>
      <c r="GC17" s="373"/>
      <c r="GD17" s="373"/>
      <c r="GE17" s="373"/>
      <c r="GF17" s="373"/>
      <c r="GG17" s="373"/>
      <c r="GH17" s="373"/>
      <c r="GI17" s="373"/>
      <c r="GJ17" s="373"/>
      <c r="GK17" s="373"/>
      <c r="GL17" s="373"/>
      <c r="GM17" s="373"/>
      <c r="GN17" s="373"/>
      <c r="GO17" s="373"/>
      <c r="GP17" s="373"/>
      <c r="GQ17" s="373"/>
      <c r="GR17" s="373"/>
      <c r="GS17" s="373"/>
      <c r="GT17" s="373"/>
      <c r="GU17" s="373"/>
      <c r="GV17" s="373"/>
      <c r="GW17" s="373"/>
      <c r="GX17" s="373"/>
      <c r="GY17" s="373"/>
      <c r="GZ17" s="373"/>
      <c r="HA17" s="373"/>
      <c r="HB17" s="373"/>
      <c r="HC17" s="373"/>
      <c r="HD17" s="373"/>
      <c r="HE17" s="373"/>
      <c r="HF17" s="373"/>
      <c r="HG17" s="373"/>
      <c r="HH17" s="373"/>
      <c r="HI17" s="373"/>
      <c r="HJ17" s="373"/>
      <c r="HK17" s="373"/>
      <c r="HL17" s="373"/>
      <c r="HM17" s="373"/>
      <c r="HN17" s="373"/>
      <c r="HO17" s="373"/>
      <c r="HP17" s="373"/>
      <c r="HQ17" s="373"/>
      <c r="HR17" s="373"/>
      <c r="HS17" s="373"/>
      <c r="HT17" s="373"/>
      <c r="HU17" s="373"/>
      <c r="HV17" s="373"/>
      <c r="HW17" s="373"/>
      <c r="HX17" s="373"/>
      <c r="HY17" s="373"/>
      <c r="HZ17" s="373"/>
      <c r="IA17" s="373"/>
      <c r="IB17" s="373"/>
      <c r="IC17" s="373"/>
      <c r="ID17" s="373"/>
      <c r="IE17" s="373"/>
      <c r="IF17" s="373"/>
      <c r="IG17" s="373"/>
      <c r="IH17" s="373"/>
      <c r="II17" s="373"/>
      <c r="IJ17" s="373"/>
      <c r="IK17" s="373"/>
      <c r="IL17" s="373"/>
      <c r="IM17" s="373"/>
      <c r="IN17" s="373"/>
      <c r="IO17" s="373"/>
      <c r="IP17" s="373"/>
      <c r="IQ17" s="373"/>
      <c r="IR17" s="373"/>
      <c r="IS17" s="373"/>
      <c r="IT17" s="373"/>
      <c r="IU17" s="373"/>
      <c r="IV17" s="373"/>
      <c r="IW17" s="373"/>
    </row>
    <row r="18" customFormat="false" ht="21.75" hidden="false" customHeight="true" outlineLevel="0" collapsed="false">
      <c r="A18" s="379"/>
      <c r="B18" s="379"/>
      <c r="C18" s="379"/>
      <c r="D18" s="379"/>
      <c r="E18" s="379"/>
      <c r="F18" s="379"/>
      <c r="G18" s="379"/>
      <c r="H18" s="379"/>
      <c r="I18" s="379"/>
      <c r="J18" s="373"/>
      <c r="K18" s="373"/>
      <c r="L18" s="373"/>
      <c r="M18" s="373"/>
      <c r="N18" s="373"/>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3"/>
      <c r="BU18" s="373"/>
      <c r="BV18" s="373"/>
      <c r="BW18" s="373"/>
      <c r="BX18" s="373"/>
      <c r="BY18" s="373"/>
      <c r="BZ18" s="373"/>
      <c r="CA18" s="373"/>
      <c r="CB18" s="373"/>
      <c r="CC18" s="373"/>
      <c r="CD18" s="373"/>
      <c r="CE18" s="373"/>
      <c r="CF18" s="373"/>
      <c r="CG18" s="373"/>
      <c r="CH18" s="373"/>
      <c r="CI18" s="373"/>
      <c r="CJ18" s="373"/>
      <c r="CK18" s="373"/>
      <c r="CL18" s="373"/>
      <c r="CM18" s="373"/>
      <c r="CN18" s="373"/>
      <c r="CO18" s="373"/>
      <c r="CP18" s="373"/>
      <c r="CQ18" s="373"/>
      <c r="CR18" s="373"/>
      <c r="CS18" s="373"/>
      <c r="CT18" s="373"/>
      <c r="CU18" s="373"/>
      <c r="CV18" s="373"/>
      <c r="CW18" s="373"/>
      <c r="CX18" s="373"/>
      <c r="CY18" s="373"/>
      <c r="CZ18" s="373"/>
      <c r="DA18" s="373"/>
      <c r="DB18" s="373"/>
      <c r="DC18" s="373"/>
      <c r="DD18" s="373"/>
      <c r="DE18" s="373"/>
      <c r="DF18" s="373"/>
      <c r="DG18" s="373"/>
      <c r="DH18" s="373"/>
      <c r="DI18" s="373"/>
      <c r="DJ18" s="373"/>
      <c r="DK18" s="373"/>
      <c r="DL18" s="373"/>
      <c r="DM18" s="373"/>
      <c r="DN18" s="373"/>
      <c r="DO18" s="373"/>
      <c r="DP18" s="373"/>
      <c r="DQ18" s="373"/>
      <c r="DR18" s="373"/>
      <c r="DS18" s="373"/>
      <c r="DT18" s="373"/>
      <c r="DU18" s="373"/>
      <c r="DV18" s="373"/>
      <c r="DW18" s="373"/>
      <c r="DX18" s="373"/>
      <c r="DY18" s="373"/>
      <c r="DZ18" s="373"/>
      <c r="EA18" s="373"/>
      <c r="EB18" s="373"/>
      <c r="EC18" s="373"/>
      <c r="ED18" s="373"/>
      <c r="EE18" s="373"/>
      <c r="EF18" s="373"/>
      <c r="EG18" s="373"/>
      <c r="EH18" s="373"/>
      <c r="EI18" s="373"/>
      <c r="EJ18" s="373"/>
      <c r="EK18" s="373"/>
      <c r="EL18" s="373"/>
      <c r="EM18" s="373"/>
      <c r="EN18" s="373"/>
      <c r="EO18" s="373"/>
      <c r="EP18" s="373"/>
      <c r="EQ18" s="373"/>
      <c r="ER18" s="373"/>
      <c r="ES18" s="373"/>
      <c r="ET18" s="373"/>
      <c r="EU18" s="373"/>
      <c r="EV18" s="373"/>
      <c r="EW18" s="373"/>
      <c r="EX18" s="373"/>
      <c r="EY18" s="373"/>
      <c r="EZ18" s="373"/>
      <c r="FA18" s="373"/>
      <c r="FB18" s="373"/>
      <c r="FC18" s="373"/>
      <c r="FD18" s="373"/>
      <c r="FE18" s="373"/>
      <c r="FF18" s="373"/>
      <c r="FG18" s="373"/>
      <c r="FH18" s="373"/>
      <c r="FI18" s="373"/>
      <c r="FJ18" s="373"/>
      <c r="FK18" s="373"/>
      <c r="FL18" s="373"/>
      <c r="FM18" s="373"/>
      <c r="FN18" s="373"/>
      <c r="FO18" s="373"/>
      <c r="FP18" s="373"/>
      <c r="FQ18" s="373"/>
      <c r="FR18" s="373"/>
      <c r="FS18" s="373"/>
      <c r="FT18" s="373"/>
      <c r="FU18" s="373"/>
      <c r="FV18" s="373"/>
      <c r="FW18" s="373"/>
      <c r="FX18" s="373"/>
      <c r="FY18" s="373"/>
      <c r="FZ18" s="373"/>
      <c r="GA18" s="373"/>
      <c r="GB18" s="373"/>
      <c r="GC18" s="373"/>
      <c r="GD18" s="373"/>
      <c r="GE18" s="373"/>
      <c r="GF18" s="373"/>
      <c r="GG18" s="373"/>
      <c r="GH18" s="373"/>
      <c r="GI18" s="373"/>
      <c r="GJ18" s="373"/>
      <c r="GK18" s="373"/>
      <c r="GL18" s="373"/>
      <c r="GM18" s="373"/>
      <c r="GN18" s="373"/>
      <c r="GO18" s="373"/>
      <c r="GP18" s="373"/>
      <c r="GQ18" s="373"/>
      <c r="GR18" s="373"/>
      <c r="GS18" s="373"/>
      <c r="GT18" s="373"/>
      <c r="GU18" s="373"/>
      <c r="GV18" s="373"/>
      <c r="GW18" s="373"/>
      <c r="GX18" s="373"/>
      <c r="GY18" s="373"/>
      <c r="GZ18" s="373"/>
      <c r="HA18" s="373"/>
      <c r="HB18" s="373"/>
      <c r="HC18" s="373"/>
      <c r="HD18" s="373"/>
      <c r="HE18" s="373"/>
      <c r="HF18" s="373"/>
      <c r="HG18" s="373"/>
      <c r="HH18" s="373"/>
      <c r="HI18" s="373"/>
      <c r="HJ18" s="373"/>
      <c r="HK18" s="373"/>
      <c r="HL18" s="373"/>
      <c r="HM18" s="373"/>
      <c r="HN18" s="373"/>
      <c r="HO18" s="373"/>
      <c r="HP18" s="373"/>
      <c r="HQ18" s="373"/>
      <c r="HR18" s="373"/>
      <c r="HS18" s="373"/>
      <c r="HT18" s="373"/>
      <c r="HU18" s="373"/>
      <c r="HV18" s="373"/>
      <c r="HW18" s="373"/>
      <c r="HX18" s="373"/>
      <c r="HY18" s="373"/>
      <c r="HZ18" s="373"/>
      <c r="IA18" s="373"/>
      <c r="IB18" s="373"/>
      <c r="IC18" s="373"/>
      <c r="ID18" s="373"/>
      <c r="IE18" s="373"/>
      <c r="IF18" s="373"/>
      <c r="IG18" s="373"/>
      <c r="IH18" s="373"/>
      <c r="II18" s="373"/>
      <c r="IJ18" s="373"/>
      <c r="IK18" s="373"/>
      <c r="IL18" s="373"/>
      <c r="IM18" s="373"/>
      <c r="IN18" s="373"/>
      <c r="IO18" s="373"/>
      <c r="IP18" s="373"/>
      <c r="IQ18" s="373"/>
      <c r="IR18" s="373"/>
      <c r="IS18" s="373"/>
      <c r="IT18" s="373"/>
      <c r="IU18" s="373"/>
      <c r="IV18" s="373"/>
      <c r="IW18" s="373"/>
    </row>
    <row r="19" customFormat="false" ht="21.75" hidden="false" customHeight="true" outlineLevel="0" collapsed="false">
      <c r="A19" s="379" t="s">
        <v>448</v>
      </c>
      <c r="B19" s="379"/>
      <c r="C19" s="379"/>
      <c r="D19" s="379"/>
      <c r="E19" s="379"/>
      <c r="F19" s="379"/>
      <c r="G19" s="379"/>
      <c r="H19" s="379"/>
      <c r="I19" s="379"/>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c r="CT19" s="373"/>
      <c r="CU19" s="373"/>
      <c r="CV19" s="373"/>
      <c r="CW19" s="373"/>
      <c r="CX19" s="373"/>
      <c r="CY19" s="373"/>
      <c r="CZ19" s="373"/>
      <c r="DA19" s="373"/>
      <c r="DB19" s="373"/>
      <c r="DC19" s="373"/>
      <c r="DD19" s="373"/>
      <c r="DE19" s="373"/>
      <c r="DF19" s="373"/>
      <c r="DG19" s="373"/>
      <c r="DH19" s="373"/>
      <c r="DI19" s="373"/>
      <c r="DJ19" s="373"/>
      <c r="DK19" s="373"/>
      <c r="DL19" s="373"/>
      <c r="DM19" s="373"/>
      <c r="DN19" s="373"/>
      <c r="DO19" s="373"/>
      <c r="DP19" s="373"/>
      <c r="DQ19" s="373"/>
      <c r="DR19" s="373"/>
      <c r="DS19" s="373"/>
      <c r="DT19" s="373"/>
      <c r="DU19" s="373"/>
      <c r="DV19" s="373"/>
      <c r="DW19" s="373"/>
      <c r="DX19" s="373"/>
      <c r="DY19" s="373"/>
      <c r="DZ19" s="373"/>
      <c r="EA19" s="373"/>
      <c r="EB19" s="373"/>
      <c r="EC19" s="373"/>
      <c r="ED19" s="373"/>
      <c r="EE19" s="373"/>
      <c r="EF19" s="373"/>
      <c r="EG19" s="373"/>
      <c r="EH19" s="373"/>
      <c r="EI19" s="373"/>
      <c r="EJ19" s="373"/>
      <c r="EK19" s="373"/>
      <c r="EL19" s="373"/>
      <c r="EM19" s="373"/>
      <c r="EN19" s="373"/>
      <c r="EO19" s="373"/>
      <c r="EP19" s="373"/>
      <c r="EQ19" s="373"/>
      <c r="ER19" s="373"/>
      <c r="ES19" s="373"/>
      <c r="ET19" s="373"/>
      <c r="EU19" s="373"/>
      <c r="EV19" s="373"/>
      <c r="EW19" s="373"/>
      <c r="EX19" s="373"/>
      <c r="EY19" s="373"/>
      <c r="EZ19" s="373"/>
      <c r="FA19" s="373"/>
      <c r="FB19" s="373"/>
      <c r="FC19" s="373"/>
      <c r="FD19" s="373"/>
      <c r="FE19" s="373"/>
      <c r="FF19" s="373"/>
      <c r="FG19" s="373"/>
      <c r="FH19" s="373"/>
      <c r="FI19" s="373"/>
      <c r="FJ19" s="373"/>
      <c r="FK19" s="373"/>
      <c r="FL19" s="373"/>
      <c r="FM19" s="373"/>
      <c r="FN19" s="373"/>
      <c r="FO19" s="373"/>
      <c r="FP19" s="373"/>
      <c r="FQ19" s="373"/>
      <c r="FR19" s="373"/>
      <c r="FS19" s="373"/>
      <c r="FT19" s="373"/>
      <c r="FU19" s="373"/>
      <c r="FV19" s="373"/>
      <c r="FW19" s="373"/>
      <c r="FX19" s="373"/>
      <c r="FY19" s="373"/>
      <c r="FZ19" s="373"/>
      <c r="GA19" s="373"/>
      <c r="GB19" s="373"/>
      <c r="GC19" s="373"/>
      <c r="GD19" s="373"/>
      <c r="GE19" s="373"/>
      <c r="GF19" s="373"/>
      <c r="GG19" s="373"/>
      <c r="GH19" s="373"/>
      <c r="GI19" s="373"/>
      <c r="GJ19" s="373"/>
      <c r="GK19" s="373"/>
      <c r="GL19" s="373"/>
      <c r="GM19" s="373"/>
      <c r="GN19" s="373"/>
      <c r="GO19" s="373"/>
      <c r="GP19" s="373"/>
      <c r="GQ19" s="373"/>
      <c r="GR19" s="373"/>
      <c r="GS19" s="373"/>
      <c r="GT19" s="373"/>
      <c r="GU19" s="373"/>
      <c r="GV19" s="373"/>
      <c r="GW19" s="373"/>
      <c r="GX19" s="373"/>
      <c r="GY19" s="373"/>
      <c r="GZ19" s="373"/>
      <c r="HA19" s="373"/>
      <c r="HB19" s="373"/>
      <c r="HC19" s="373"/>
      <c r="HD19" s="373"/>
      <c r="HE19" s="373"/>
      <c r="HF19" s="373"/>
      <c r="HG19" s="373"/>
      <c r="HH19" s="373"/>
      <c r="HI19" s="373"/>
      <c r="HJ19" s="373"/>
      <c r="HK19" s="373"/>
      <c r="HL19" s="373"/>
      <c r="HM19" s="373"/>
      <c r="HN19" s="373"/>
      <c r="HO19" s="373"/>
      <c r="HP19" s="373"/>
      <c r="HQ19" s="373"/>
      <c r="HR19" s="373"/>
      <c r="HS19" s="373"/>
      <c r="HT19" s="373"/>
      <c r="HU19" s="373"/>
      <c r="HV19" s="373"/>
      <c r="HW19" s="373"/>
      <c r="HX19" s="373"/>
      <c r="HY19" s="373"/>
      <c r="HZ19" s="373"/>
      <c r="IA19" s="373"/>
      <c r="IB19" s="373"/>
      <c r="IC19" s="373"/>
      <c r="ID19" s="373"/>
      <c r="IE19" s="373"/>
      <c r="IF19" s="373"/>
      <c r="IG19" s="373"/>
      <c r="IH19" s="373"/>
      <c r="II19" s="373"/>
      <c r="IJ19" s="373"/>
      <c r="IK19" s="373"/>
      <c r="IL19" s="373"/>
      <c r="IM19" s="373"/>
      <c r="IN19" s="373"/>
      <c r="IO19" s="373"/>
      <c r="IP19" s="373"/>
      <c r="IQ19" s="373"/>
      <c r="IR19" s="373"/>
      <c r="IS19" s="373"/>
      <c r="IT19" s="373"/>
      <c r="IU19" s="373"/>
      <c r="IV19" s="373"/>
      <c r="IW19" s="373"/>
    </row>
    <row r="20" customFormat="false" ht="21.75" hidden="false" customHeight="true" outlineLevel="0" collapsed="false">
      <c r="A20" s="379" t="s">
        <v>449</v>
      </c>
      <c r="B20" s="379"/>
      <c r="C20" s="379"/>
      <c r="D20" s="379"/>
      <c r="E20" s="379"/>
      <c r="F20" s="379"/>
      <c r="G20" s="379"/>
      <c r="H20" s="379"/>
      <c r="I20" s="379"/>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c r="CM20" s="373"/>
      <c r="CN20" s="373"/>
      <c r="CO20" s="373"/>
      <c r="CP20" s="373"/>
      <c r="CQ20" s="373"/>
      <c r="CR20" s="373"/>
      <c r="CS20" s="373"/>
      <c r="CT20" s="373"/>
      <c r="CU20" s="373"/>
      <c r="CV20" s="373"/>
      <c r="CW20" s="373"/>
      <c r="CX20" s="373"/>
      <c r="CY20" s="373"/>
      <c r="CZ20" s="373"/>
      <c r="DA20" s="373"/>
      <c r="DB20" s="373"/>
      <c r="DC20" s="373"/>
      <c r="DD20" s="373"/>
      <c r="DE20" s="373"/>
      <c r="DF20" s="373"/>
      <c r="DG20" s="373"/>
      <c r="DH20" s="373"/>
      <c r="DI20" s="373"/>
      <c r="DJ20" s="373"/>
      <c r="DK20" s="373"/>
      <c r="DL20" s="373"/>
      <c r="DM20" s="373"/>
      <c r="DN20" s="373"/>
      <c r="DO20" s="373"/>
      <c r="DP20" s="373"/>
      <c r="DQ20" s="373"/>
      <c r="DR20" s="373"/>
      <c r="DS20" s="373"/>
      <c r="DT20" s="373"/>
      <c r="DU20" s="373"/>
      <c r="DV20" s="373"/>
      <c r="DW20" s="373"/>
      <c r="DX20" s="373"/>
      <c r="DY20" s="373"/>
      <c r="DZ20" s="373"/>
      <c r="EA20" s="373"/>
      <c r="EB20" s="373"/>
      <c r="EC20" s="373"/>
      <c r="ED20" s="373"/>
      <c r="EE20" s="373"/>
      <c r="EF20" s="373"/>
      <c r="EG20" s="373"/>
      <c r="EH20" s="373"/>
      <c r="EI20" s="373"/>
      <c r="EJ20" s="373"/>
      <c r="EK20" s="373"/>
      <c r="EL20" s="373"/>
      <c r="EM20" s="373"/>
      <c r="EN20" s="373"/>
      <c r="EO20" s="373"/>
      <c r="EP20" s="373"/>
      <c r="EQ20" s="373"/>
      <c r="ER20" s="373"/>
      <c r="ES20" s="373"/>
      <c r="ET20" s="373"/>
      <c r="EU20" s="373"/>
      <c r="EV20" s="373"/>
      <c r="EW20" s="373"/>
      <c r="EX20" s="373"/>
      <c r="EY20" s="373"/>
      <c r="EZ20" s="373"/>
      <c r="FA20" s="373"/>
      <c r="FB20" s="373"/>
      <c r="FC20" s="373"/>
      <c r="FD20" s="373"/>
      <c r="FE20" s="373"/>
      <c r="FF20" s="373"/>
      <c r="FG20" s="373"/>
      <c r="FH20" s="373"/>
      <c r="FI20" s="373"/>
      <c r="FJ20" s="373"/>
      <c r="FK20" s="373"/>
      <c r="FL20" s="373"/>
      <c r="FM20" s="373"/>
      <c r="FN20" s="373"/>
      <c r="FO20" s="373"/>
      <c r="FP20" s="373"/>
      <c r="FQ20" s="373"/>
      <c r="FR20" s="373"/>
      <c r="FS20" s="373"/>
      <c r="FT20" s="373"/>
      <c r="FU20" s="373"/>
      <c r="FV20" s="373"/>
      <c r="FW20" s="373"/>
      <c r="FX20" s="373"/>
      <c r="FY20" s="373"/>
      <c r="FZ20" s="373"/>
      <c r="GA20" s="373"/>
      <c r="GB20" s="373"/>
      <c r="GC20" s="373"/>
      <c r="GD20" s="373"/>
      <c r="GE20" s="373"/>
      <c r="GF20" s="373"/>
      <c r="GG20" s="373"/>
      <c r="GH20" s="373"/>
      <c r="GI20" s="373"/>
      <c r="GJ20" s="373"/>
      <c r="GK20" s="373"/>
      <c r="GL20" s="373"/>
      <c r="GM20" s="373"/>
      <c r="GN20" s="373"/>
      <c r="GO20" s="373"/>
      <c r="GP20" s="373"/>
      <c r="GQ20" s="373"/>
      <c r="GR20" s="373"/>
      <c r="GS20" s="373"/>
      <c r="GT20" s="373"/>
      <c r="GU20" s="373"/>
      <c r="GV20" s="373"/>
      <c r="GW20" s="373"/>
      <c r="GX20" s="373"/>
      <c r="GY20" s="373"/>
      <c r="GZ20" s="373"/>
      <c r="HA20" s="373"/>
      <c r="HB20" s="373"/>
      <c r="HC20" s="373"/>
      <c r="HD20" s="373"/>
      <c r="HE20" s="373"/>
      <c r="HF20" s="373"/>
      <c r="HG20" s="373"/>
      <c r="HH20" s="373"/>
      <c r="HI20" s="373"/>
      <c r="HJ20" s="373"/>
      <c r="HK20" s="373"/>
      <c r="HL20" s="373"/>
      <c r="HM20" s="373"/>
      <c r="HN20" s="373"/>
      <c r="HO20" s="373"/>
      <c r="HP20" s="373"/>
      <c r="HQ20" s="373"/>
      <c r="HR20" s="373"/>
      <c r="HS20" s="373"/>
      <c r="HT20" s="373"/>
      <c r="HU20" s="373"/>
      <c r="HV20" s="373"/>
      <c r="HW20" s="373"/>
      <c r="HX20" s="373"/>
      <c r="HY20" s="373"/>
      <c r="HZ20" s="373"/>
      <c r="IA20" s="373"/>
      <c r="IB20" s="373"/>
      <c r="IC20" s="373"/>
      <c r="ID20" s="373"/>
      <c r="IE20" s="373"/>
      <c r="IF20" s="373"/>
      <c r="IG20" s="373"/>
      <c r="IH20" s="373"/>
      <c r="II20" s="373"/>
      <c r="IJ20" s="373"/>
      <c r="IK20" s="373"/>
      <c r="IL20" s="373"/>
      <c r="IM20" s="373"/>
      <c r="IN20" s="373"/>
      <c r="IO20" s="373"/>
      <c r="IP20" s="373"/>
      <c r="IQ20" s="373"/>
      <c r="IR20" s="373"/>
      <c r="IS20" s="373"/>
      <c r="IT20" s="373"/>
      <c r="IU20" s="373"/>
      <c r="IV20" s="373"/>
      <c r="IW20" s="373"/>
    </row>
    <row r="21" customFormat="false" ht="21.75" hidden="false" customHeight="true" outlineLevel="0" collapsed="false">
      <c r="A21" s="379"/>
      <c r="B21" s="379"/>
      <c r="C21" s="379"/>
      <c r="D21" s="379"/>
      <c r="E21" s="379"/>
      <c r="F21" s="379"/>
      <c r="G21" s="379"/>
      <c r="H21" s="379"/>
      <c r="I21" s="379"/>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c r="CY21" s="373"/>
      <c r="CZ21" s="373"/>
      <c r="DA21" s="373"/>
      <c r="DB21" s="373"/>
      <c r="DC21" s="373"/>
      <c r="DD21" s="373"/>
      <c r="DE21" s="373"/>
      <c r="DF21" s="373"/>
      <c r="DG21" s="373"/>
      <c r="DH21" s="373"/>
      <c r="DI21" s="373"/>
      <c r="DJ21" s="373"/>
      <c r="DK21" s="373"/>
      <c r="DL21" s="373"/>
      <c r="DM21" s="373"/>
      <c r="DN21" s="373"/>
      <c r="DO21" s="373"/>
      <c r="DP21" s="373"/>
      <c r="DQ21" s="373"/>
      <c r="DR21" s="373"/>
      <c r="DS21" s="373"/>
      <c r="DT21" s="373"/>
      <c r="DU21" s="373"/>
      <c r="DV21" s="373"/>
      <c r="DW21" s="373"/>
      <c r="DX21" s="373"/>
      <c r="DY21" s="373"/>
      <c r="DZ21" s="373"/>
      <c r="EA21" s="373"/>
      <c r="EB21" s="373"/>
      <c r="EC21" s="373"/>
      <c r="ED21" s="373"/>
      <c r="EE21" s="373"/>
      <c r="EF21" s="373"/>
      <c r="EG21" s="373"/>
      <c r="EH21" s="373"/>
      <c r="EI21" s="373"/>
      <c r="EJ21" s="373"/>
      <c r="EK21" s="373"/>
      <c r="EL21" s="373"/>
      <c r="EM21" s="373"/>
      <c r="EN21" s="373"/>
      <c r="EO21" s="373"/>
      <c r="EP21" s="373"/>
      <c r="EQ21" s="373"/>
      <c r="ER21" s="373"/>
      <c r="ES21" s="373"/>
      <c r="ET21" s="373"/>
      <c r="EU21" s="373"/>
      <c r="EV21" s="373"/>
      <c r="EW21" s="373"/>
      <c r="EX21" s="373"/>
      <c r="EY21" s="373"/>
      <c r="EZ21" s="373"/>
      <c r="FA21" s="373"/>
      <c r="FB21" s="373"/>
      <c r="FC21" s="373"/>
      <c r="FD21" s="373"/>
      <c r="FE21" s="373"/>
      <c r="FF21" s="373"/>
      <c r="FG21" s="373"/>
      <c r="FH21" s="373"/>
      <c r="FI21" s="373"/>
      <c r="FJ21" s="373"/>
      <c r="FK21" s="373"/>
      <c r="FL21" s="373"/>
      <c r="FM21" s="373"/>
      <c r="FN21" s="373"/>
      <c r="FO21" s="373"/>
      <c r="FP21" s="373"/>
      <c r="FQ21" s="373"/>
      <c r="FR21" s="373"/>
      <c r="FS21" s="373"/>
      <c r="FT21" s="373"/>
      <c r="FU21" s="373"/>
      <c r="FV21" s="373"/>
      <c r="FW21" s="373"/>
      <c r="FX21" s="373"/>
      <c r="FY21" s="373"/>
      <c r="FZ21" s="373"/>
      <c r="GA21" s="373"/>
      <c r="GB21" s="373"/>
      <c r="GC21" s="373"/>
      <c r="GD21" s="373"/>
      <c r="GE21" s="373"/>
      <c r="GF21" s="373"/>
      <c r="GG21" s="373"/>
      <c r="GH21" s="373"/>
      <c r="GI21" s="373"/>
      <c r="GJ21" s="373"/>
      <c r="GK21" s="373"/>
      <c r="GL21" s="373"/>
      <c r="GM21" s="373"/>
      <c r="GN21" s="373"/>
      <c r="GO21" s="373"/>
      <c r="GP21" s="373"/>
      <c r="GQ21" s="373"/>
      <c r="GR21" s="373"/>
      <c r="GS21" s="373"/>
      <c r="GT21" s="373"/>
      <c r="GU21" s="373"/>
      <c r="GV21" s="373"/>
      <c r="GW21" s="373"/>
      <c r="GX21" s="373"/>
      <c r="GY21" s="373"/>
      <c r="GZ21" s="373"/>
      <c r="HA21" s="373"/>
      <c r="HB21" s="373"/>
      <c r="HC21" s="373"/>
      <c r="HD21" s="373"/>
      <c r="HE21" s="373"/>
      <c r="HF21" s="373"/>
      <c r="HG21" s="373"/>
      <c r="HH21" s="373"/>
      <c r="HI21" s="373"/>
      <c r="HJ21" s="373"/>
      <c r="HK21" s="373"/>
      <c r="HL21" s="373"/>
      <c r="HM21" s="373"/>
      <c r="HN21" s="373"/>
      <c r="HO21" s="373"/>
      <c r="HP21" s="373"/>
      <c r="HQ21" s="373"/>
      <c r="HR21" s="373"/>
      <c r="HS21" s="373"/>
      <c r="HT21" s="373"/>
      <c r="HU21" s="373"/>
      <c r="HV21" s="373"/>
      <c r="HW21" s="373"/>
      <c r="HX21" s="373"/>
      <c r="HY21" s="373"/>
      <c r="HZ21" s="373"/>
      <c r="IA21" s="373"/>
      <c r="IB21" s="373"/>
      <c r="IC21" s="373"/>
      <c r="ID21" s="373"/>
      <c r="IE21" s="373"/>
      <c r="IF21" s="373"/>
      <c r="IG21" s="373"/>
      <c r="IH21" s="373"/>
      <c r="II21" s="373"/>
      <c r="IJ21" s="373"/>
      <c r="IK21" s="373"/>
      <c r="IL21" s="373"/>
      <c r="IM21" s="373"/>
      <c r="IN21" s="373"/>
      <c r="IO21" s="373"/>
      <c r="IP21" s="373"/>
      <c r="IQ21" s="373"/>
      <c r="IR21" s="373"/>
      <c r="IS21" s="373"/>
      <c r="IT21" s="373"/>
      <c r="IU21" s="373"/>
      <c r="IV21" s="373"/>
      <c r="IW21" s="373"/>
    </row>
    <row r="22" customFormat="false" ht="21.75" hidden="false" customHeight="true" outlineLevel="0" collapsed="false">
      <c r="A22" s="380"/>
      <c r="B22" s="380"/>
      <c r="C22" s="380"/>
      <c r="D22" s="380"/>
      <c r="E22" s="380"/>
      <c r="F22" s="380"/>
      <c r="G22" s="380"/>
      <c r="H22" s="380"/>
      <c r="I22" s="380"/>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c r="CY22" s="373"/>
      <c r="CZ22" s="373"/>
      <c r="DA22" s="373"/>
      <c r="DB22" s="373"/>
      <c r="DC22" s="373"/>
      <c r="DD22" s="373"/>
      <c r="DE22" s="373"/>
      <c r="DF22" s="373"/>
      <c r="DG22" s="373"/>
      <c r="DH22" s="373"/>
      <c r="DI22" s="373"/>
      <c r="DJ22" s="373"/>
      <c r="DK22" s="373"/>
      <c r="DL22" s="373"/>
      <c r="DM22" s="373"/>
      <c r="DN22" s="373"/>
      <c r="DO22" s="373"/>
      <c r="DP22" s="373"/>
      <c r="DQ22" s="373"/>
      <c r="DR22" s="373"/>
      <c r="DS22" s="373"/>
      <c r="DT22" s="373"/>
      <c r="DU22" s="373"/>
      <c r="DV22" s="373"/>
      <c r="DW22" s="373"/>
      <c r="DX22" s="373"/>
      <c r="DY22" s="373"/>
      <c r="DZ22" s="373"/>
      <c r="EA22" s="373"/>
      <c r="EB22" s="373"/>
      <c r="EC22" s="373"/>
      <c r="ED22" s="373"/>
      <c r="EE22" s="373"/>
      <c r="EF22" s="373"/>
      <c r="EG22" s="373"/>
      <c r="EH22" s="373"/>
      <c r="EI22" s="373"/>
      <c r="EJ22" s="373"/>
      <c r="EK22" s="373"/>
      <c r="EL22" s="373"/>
      <c r="EM22" s="373"/>
      <c r="EN22" s="373"/>
      <c r="EO22" s="373"/>
      <c r="EP22" s="373"/>
      <c r="EQ22" s="373"/>
      <c r="ER22" s="373"/>
      <c r="ES22" s="373"/>
      <c r="ET22" s="373"/>
      <c r="EU22" s="373"/>
      <c r="EV22" s="373"/>
      <c r="EW22" s="373"/>
      <c r="EX22" s="373"/>
      <c r="EY22" s="373"/>
      <c r="EZ22" s="373"/>
      <c r="FA22" s="373"/>
      <c r="FB22" s="373"/>
      <c r="FC22" s="373"/>
      <c r="FD22" s="373"/>
      <c r="FE22" s="373"/>
      <c r="FF22" s="373"/>
      <c r="FG22" s="373"/>
      <c r="FH22" s="373"/>
      <c r="FI22" s="373"/>
      <c r="FJ22" s="373"/>
      <c r="FK22" s="373"/>
      <c r="FL22" s="373"/>
      <c r="FM22" s="373"/>
      <c r="FN22" s="373"/>
      <c r="FO22" s="373"/>
      <c r="FP22" s="373"/>
      <c r="FQ22" s="373"/>
      <c r="FR22" s="373"/>
      <c r="FS22" s="373"/>
      <c r="FT22" s="373"/>
      <c r="FU22" s="373"/>
      <c r="FV22" s="373"/>
      <c r="FW22" s="373"/>
      <c r="FX22" s="373"/>
      <c r="FY22" s="373"/>
      <c r="FZ22" s="373"/>
      <c r="GA22" s="373"/>
      <c r="GB22" s="373"/>
      <c r="GC22" s="373"/>
      <c r="GD22" s="373"/>
      <c r="GE22" s="373"/>
      <c r="GF22" s="373"/>
      <c r="GG22" s="373"/>
      <c r="GH22" s="373"/>
      <c r="GI22" s="373"/>
      <c r="GJ22" s="373"/>
      <c r="GK22" s="373"/>
      <c r="GL22" s="373"/>
      <c r="GM22" s="373"/>
      <c r="GN22" s="373"/>
      <c r="GO22" s="373"/>
      <c r="GP22" s="373"/>
      <c r="GQ22" s="373"/>
      <c r="GR22" s="373"/>
      <c r="GS22" s="373"/>
      <c r="GT22" s="373"/>
      <c r="GU22" s="373"/>
      <c r="GV22" s="373"/>
      <c r="GW22" s="373"/>
      <c r="GX22" s="373"/>
      <c r="GY22" s="373"/>
      <c r="GZ22" s="373"/>
      <c r="HA22" s="373"/>
      <c r="HB22" s="373"/>
      <c r="HC22" s="373"/>
      <c r="HD22" s="373"/>
      <c r="HE22" s="373"/>
      <c r="HF22" s="373"/>
      <c r="HG22" s="373"/>
      <c r="HH22" s="373"/>
      <c r="HI22" s="373"/>
      <c r="HJ22" s="373"/>
      <c r="HK22" s="373"/>
      <c r="HL22" s="373"/>
      <c r="HM22" s="373"/>
      <c r="HN22" s="373"/>
      <c r="HO22" s="373"/>
      <c r="HP22" s="373"/>
      <c r="HQ22" s="373"/>
      <c r="HR22" s="373"/>
      <c r="HS22" s="373"/>
      <c r="HT22" s="373"/>
      <c r="HU22" s="373"/>
      <c r="HV22" s="373"/>
      <c r="HW22" s="373"/>
      <c r="HX22" s="373"/>
      <c r="HY22" s="373"/>
      <c r="HZ22" s="373"/>
      <c r="IA22" s="373"/>
      <c r="IB22" s="373"/>
      <c r="IC22" s="373"/>
      <c r="ID22" s="373"/>
      <c r="IE22" s="373"/>
      <c r="IF22" s="373"/>
      <c r="IG22" s="373"/>
      <c r="IH22" s="373"/>
      <c r="II22" s="373"/>
      <c r="IJ22" s="373"/>
      <c r="IK22" s="373"/>
      <c r="IL22" s="373"/>
      <c r="IM22" s="373"/>
      <c r="IN22" s="373"/>
      <c r="IO22" s="373"/>
      <c r="IP22" s="373"/>
      <c r="IQ22" s="373"/>
      <c r="IR22" s="373"/>
      <c r="IS22" s="373"/>
      <c r="IT22" s="373"/>
      <c r="IU22" s="373"/>
      <c r="IV22" s="373"/>
      <c r="IW22" s="373"/>
    </row>
    <row r="23" customFormat="false" ht="21.75" hidden="false" customHeight="true" outlineLevel="0" collapsed="false">
      <c r="A23" s="381" t="s">
        <v>450</v>
      </c>
      <c r="B23" s="381"/>
      <c r="C23" s="381"/>
      <c r="D23" s="381"/>
      <c r="E23" s="381"/>
      <c r="F23" s="381"/>
      <c r="G23" s="381"/>
      <c r="H23" s="381"/>
      <c r="I23" s="381"/>
      <c r="J23" s="373"/>
      <c r="K23" s="373"/>
      <c r="L23" s="373"/>
      <c r="M23" s="373"/>
      <c r="N23" s="373"/>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c r="CY23" s="373"/>
      <c r="CZ23" s="373"/>
      <c r="DA23" s="373"/>
      <c r="DB23" s="373"/>
      <c r="DC23" s="373"/>
      <c r="DD23" s="373"/>
      <c r="DE23" s="373"/>
      <c r="DF23" s="373"/>
      <c r="DG23" s="373"/>
      <c r="DH23" s="373"/>
      <c r="DI23" s="373"/>
      <c r="DJ23" s="373"/>
      <c r="DK23" s="373"/>
      <c r="DL23" s="373"/>
      <c r="DM23" s="373"/>
      <c r="DN23" s="373"/>
      <c r="DO23" s="373"/>
      <c r="DP23" s="373"/>
      <c r="DQ23" s="373"/>
      <c r="DR23" s="373"/>
      <c r="DS23" s="373"/>
      <c r="DT23" s="373"/>
      <c r="DU23" s="373"/>
      <c r="DV23" s="373"/>
      <c r="DW23" s="373"/>
      <c r="DX23" s="373"/>
      <c r="DY23" s="373"/>
      <c r="DZ23" s="373"/>
      <c r="EA23" s="373"/>
      <c r="EB23" s="373"/>
      <c r="EC23" s="373"/>
      <c r="ED23" s="373"/>
      <c r="EE23" s="373"/>
      <c r="EF23" s="373"/>
      <c r="EG23" s="373"/>
      <c r="EH23" s="373"/>
      <c r="EI23" s="373"/>
      <c r="EJ23" s="373"/>
      <c r="EK23" s="373"/>
      <c r="EL23" s="373"/>
      <c r="EM23" s="373"/>
      <c r="EN23" s="373"/>
      <c r="EO23" s="373"/>
      <c r="EP23" s="373"/>
      <c r="EQ23" s="373"/>
      <c r="ER23" s="373"/>
      <c r="ES23" s="373"/>
      <c r="ET23" s="373"/>
      <c r="EU23" s="373"/>
      <c r="EV23" s="373"/>
      <c r="EW23" s="373"/>
      <c r="EX23" s="373"/>
      <c r="EY23" s="373"/>
      <c r="EZ23" s="373"/>
      <c r="FA23" s="373"/>
      <c r="FB23" s="373"/>
      <c r="FC23" s="373"/>
      <c r="FD23" s="373"/>
      <c r="FE23" s="373"/>
      <c r="FF23" s="373"/>
      <c r="FG23" s="373"/>
      <c r="FH23" s="373"/>
      <c r="FI23" s="373"/>
      <c r="FJ23" s="373"/>
      <c r="FK23" s="373"/>
      <c r="FL23" s="373"/>
      <c r="FM23" s="373"/>
      <c r="FN23" s="373"/>
      <c r="FO23" s="373"/>
      <c r="FP23" s="373"/>
      <c r="FQ23" s="373"/>
      <c r="FR23" s="373"/>
      <c r="FS23" s="373"/>
      <c r="FT23" s="373"/>
      <c r="FU23" s="373"/>
      <c r="FV23" s="373"/>
      <c r="FW23" s="373"/>
      <c r="FX23" s="373"/>
      <c r="FY23" s="373"/>
      <c r="FZ23" s="373"/>
      <c r="GA23" s="373"/>
      <c r="GB23" s="373"/>
      <c r="GC23" s="373"/>
      <c r="GD23" s="373"/>
      <c r="GE23" s="373"/>
      <c r="GF23" s="373"/>
      <c r="GG23" s="373"/>
      <c r="GH23" s="373"/>
      <c r="GI23" s="373"/>
      <c r="GJ23" s="373"/>
      <c r="GK23" s="373"/>
      <c r="GL23" s="373"/>
      <c r="GM23" s="373"/>
      <c r="GN23" s="373"/>
      <c r="GO23" s="373"/>
      <c r="GP23" s="373"/>
      <c r="GQ23" s="373"/>
      <c r="GR23" s="373"/>
      <c r="GS23" s="373"/>
      <c r="GT23" s="373"/>
      <c r="GU23" s="373"/>
      <c r="GV23" s="373"/>
      <c r="GW23" s="373"/>
      <c r="GX23" s="373"/>
      <c r="GY23" s="373"/>
      <c r="GZ23" s="373"/>
      <c r="HA23" s="373"/>
      <c r="HB23" s="373"/>
      <c r="HC23" s="373"/>
      <c r="HD23" s="373"/>
      <c r="HE23" s="373"/>
      <c r="HF23" s="373"/>
      <c r="HG23" s="373"/>
      <c r="HH23" s="373"/>
      <c r="HI23" s="373"/>
      <c r="HJ23" s="373"/>
      <c r="HK23" s="373"/>
      <c r="HL23" s="373"/>
      <c r="HM23" s="373"/>
      <c r="HN23" s="373"/>
      <c r="HO23" s="373"/>
      <c r="HP23" s="373"/>
      <c r="HQ23" s="373"/>
      <c r="HR23" s="373"/>
      <c r="HS23" s="373"/>
      <c r="HT23" s="373"/>
      <c r="HU23" s="373"/>
      <c r="HV23" s="373"/>
      <c r="HW23" s="373"/>
      <c r="HX23" s="373"/>
      <c r="HY23" s="373"/>
      <c r="HZ23" s="373"/>
      <c r="IA23" s="373"/>
      <c r="IB23" s="373"/>
      <c r="IC23" s="373"/>
      <c r="ID23" s="373"/>
      <c r="IE23" s="373"/>
      <c r="IF23" s="373"/>
      <c r="IG23" s="373"/>
      <c r="IH23" s="373"/>
      <c r="II23" s="373"/>
      <c r="IJ23" s="373"/>
      <c r="IK23" s="373"/>
      <c r="IL23" s="373"/>
      <c r="IM23" s="373"/>
      <c r="IN23" s="373"/>
      <c r="IO23" s="373"/>
      <c r="IP23" s="373"/>
      <c r="IQ23" s="373"/>
      <c r="IR23" s="373"/>
      <c r="IS23" s="373"/>
      <c r="IT23" s="373"/>
      <c r="IU23" s="373"/>
      <c r="IV23" s="373"/>
      <c r="IW23" s="373"/>
    </row>
    <row r="24" customFormat="false" ht="21.75" hidden="false" customHeight="true" outlineLevel="0" collapsed="false">
      <c r="A24" s="381" t="s">
        <v>451</v>
      </c>
      <c r="B24" s="381"/>
      <c r="C24" s="381"/>
      <c r="D24" s="381"/>
      <c r="E24" s="381"/>
      <c r="F24" s="381"/>
      <c r="G24" s="381"/>
      <c r="H24" s="381"/>
      <c r="I24" s="381"/>
      <c r="J24" s="373"/>
      <c r="K24" s="373"/>
      <c r="L24" s="373"/>
      <c r="M24" s="373"/>
      <c r="N24" s="373"/>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c r="CY24" s="373"/>
      <c r="CZ24" s="373"/>
      <c r="DA24" s="373"/>
      <c r="DB24" s="373"/>
      <c r="DC24" s="373"/>
      <c r="DD24" s="373"/>
      <c r="DE24" s="373"/>
      <c r="DF24" s="373"/>
      <c r="DG24" s="373"/>
      <c r="DH24" s="373"/>
      <c r="DI24" s="373"/>
      <c r="DJ24" s="373"/>
      <c r="DK24" s="373"/>
      <c r="DL24" s="373"/>
      <c r="DM24" s="373"/>
      <c r="DN24" s="373"/>
      <c r="DO24" s="373"/>
      <c r="DP24" s="373"/>
      <c r="DQ24" s="373"/>
      <c r="DR24" s="373"/>
      <c r="DS24" s="373"/>
      <c r="DT24" s="373"/>
      <c r="DU24" s="373"/>
      <c r="DV24" s="373"/>
      <c r="DW24" s="373"/>
      <c r="DX24" s="373"/>
      <c r="DY24" s="373"/>
      <c r="DZ24" s="373"/>
      <c r="EA24" s="373"/>
      <c r="EB24" s="373"/>
      <c r="EC24" s="373"/>
      <c r="ED24" s="373"/>
      <c r="EE24" s="373"/>
      <c r="EF24" s="373"/>
      <c r="EG24" s="373"/>
      <c r="EH24" s="373"/>
      <c r="EI24" s="373"/>
      <c r="EJ24" s="373"/>
      <c r="EK24" s="373"/>
      <c r="EL24" s="373"/>
      <c r="EM24" s="373"/>
      <c r="EN24" s="373"/>
      <c r="EO24" s="373"/>
      <c r="EP24" s="373"/>
      <c r="EQ24" s="373"/>
      <c r="ER24" s="373"/>
      <c r="ES24" s="373"/>
      <c r="ET24" s="373"/>
      <c r="EU24" s="373"/>
      <c r="EV24" s="373"/>
      <c r="EW24" s="373"/>
      <c r="EX24" s="373"/>
      <c r="EY24" s="373"/>
      <c r="EZ24" s="373"/>
      <c r="FA24" s="373"/>
      <c r="FB24" s="373"/>
      <c r="FC24" s="373"/>
      <c r="FD24" s="373"/>
      <c r="FE24" s="373"/>
      <c r="FF24" s="373"/>
      <c r="FG24" s="373"/>
      <c r="FH24" s="373"/>
      <c r="FI24" s="373"/>
      <c r="FJ24" s="373"/>
      <c r="FK24" s="373"/>
      <c r="FL24" s="373"/>
      <c r="FM24" s="373"/>
      <c r="FN24" s="373"/>
      <c r="FO24" s="373"/>
      <c r="FP24" s="373"/>
      <c r="FQ24" s="373"/>
      <c r="FR24" s="373"/>
      <c r="FS24" s="373"/>
      <c r="FT24" s="373"/>
      <c r="FU24" s="373"/>
      <c r="FV24" s="373"/>
      <c r="FW24" s="373"/>
      <c r="FX24" s="373"/>
      <c r="FY24" s="373"/>
      <c r="FZ24" s="373"/>
      <c r="GA24" s="373"/>
      <c r="GB24" s="373"/>
      <c r="GC24" s="373"/>
      <c r="GD24" s="373"/>
      <c r="GE24" s="373"/>
      <c r="GF24" s="373"/>
      <c r="GG24" s="373"/>
      <c r="GH24" s="373"/>
      <c r="GI24" s="373"/>
      <c r="GJ24" s="373"/>
      <c r="GK24" s="373"/>
      <c r="GL24" s="373"/>
      <c r="GM24" s="373"/>
      <c r="GN24" s="373"/>
      <c r="GO24" s="373"/>
      <c r="GP24" s="373"/>
      <c r="GQ24" s="373"/>
      <c r="GR24" s="373"/>
      <c r="GS24" s="373"/>
      <c r="GT24" s="373"/>
      <c r="GU24" s="373"/>
      <c r="GV24" s="373"/>
      <c r="GW24" s="373"/>
      <c r="GX24" s="373"/>
      <c r="GY24" s="373"/>
      <c r="GZ24" s="373"/>
      <c r="HA24" s="373"/>
      <c r="HB24" s="373"/>
      <c r="HC24" s="373"/>
      <c r="HD24" s="373"/>
      <c r="HE24" s="373"/>
      <c r="HF24" s="373"/>
      <c r="HG24" s="373"/>
      <c r="HH24" s="373"/>
      <c r="HI24" s="373"/>
      <c r="HJ24" s="373"/>
      <c r="HK24" s="373"/>
      <c r="HL24" s="373"/>
      <c r="HM24" s="373"/>
      <c r="HN24" s="373"/>
      <c r="HO24" s="373"/>
      <c r="HP24" s="373"/>
      <c r="HQ24" s="373"/>
      <c r="HR24" s="373"/>
      <c r="HS24" s="373"/>
      <c r="HT24" s="373"/>
      <c r="HU24" s="373"/>
      <c r="HV24" s="373"/>
      <c r="HW24" s="373"/>
      <c r="HX24" s="373"/>
      <c r="HY24" s="373"/>
      <c r="HZ24" s="373"/>
      <c r="IA24" s="373"/>
      <c r="IB24" s="373"/>
      <c r="IC24" s="373"/>
      <c r="ID24" s="373"/>
      <c r="IE24" s="373"/>
      <c r="IF24" s="373"/>
      <c r="IG24" s="373"/>
      <c r="IH24" s="373"/>
      <c r="II24" s="373"/>
      <c r="IJ24" s="373"/>
      <c r="IK24" s="373"/>
      <c r="IL24" s="373"/>
      <c r="IM24" s="373"/>
      <c r="IN24" s="373"/>
      <c r="IO24" s="373"/>
      <c r="IP24" s="373"/>
      <c r="IQ24" s="373"/>
      <c r="IR24" s="373"/>
      <c r="IS24" s="373"/>
      <c r="IT24" s="373"/>
      <c r="IU24" s="373"/>
      <c r="IV24" s="373"/>
      <c r="IW24" s="373"/>
    </row>
    <row r="25" customFormat="false" ht="21.75" hidden="false" customHeight="true" outlineLevel="0" collapsed="false">
      <c r="A25" s="382"/>
      <c r="B25" s="382"/>
      <c r="C25" s="382"/>
      <c r="D25" s="382"/>
      <c r="E25" s="382"/>
      <c r="F25" s="382"/>
      <c r="G25" s="382"/>
      <c r="H25" s="382"/>
      <c r="I25" s="382"/>
      <c r="J25" s="373"/>
      <c r="K25" s="373"/>
      <c r="L25" s="373"/>
      <c r="M25" s="373"/>
      <c r="N25" s="373"/>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c r="CY25" s="373"/>
      <c r="CZ25" s="373"/>
      <c r="DA25" s="373"/>
      <c r="DB25" s="373"/>
      <c r="DC25" s="373"/>
      <c r="DD25" s="373"/>
      <c r="DE25" s="373"/>
      <c r="DF25" s="373"/>
      <c r="DG25" s="373"/>
      <c r="DH25" s="373"/>
      <c r="DI25" s="373"/>
      <c r="DJ25" s="373"/>
      <c r="DK25" s="373"/>
      <c r="DL25" s="373"/>
      <c r="DM25" s="373"/>
      <c r="DN25" s="373"/>
      <c r="DO25" s="373"/>
      <c r="DP25" s="373"/>
      <c r="DQ25" s="373"/>
      <c r="DR25" s="373"/>
      <c r="DS25" s="373"/>
      <c r="DT25" s="373"/>
      <c r="DU25" s="373"/>
      <c r="DV25" s="373"/>
      <c r="DW25" s="373"/>
      <c r="DX25" s="373"/>
      <c r="DY25" s="373"/>
      <c r="DZ25" s="373"/>
      <c r="EA25" s="373"/>
      <c r="EB25" s="373"/>
      <c r="EC25" s="373"/>
      <c r="ED25" s="373"/>
      <c r="EE25" s="373"/>
      <c r="EF25" s="373"/>
      <c r="EG25" s="373"/>
      <c r="EH25" s="373"/>
      <c r="EI25" s="373"/>
      <c r="EJ25" s="373"/>
      <c r="EK25" s="373"/>
      <c r="EL25" s="373"/>
      <c r="EM25" s="373"/>
      <c r="EN25" s="373"/>
      <c r="EO25" s="373"/>
      <c r="EP25" s="373"/>
      <c r="EQ25" s="373"/>
      <c r="ER25" s="373"/>
      <c r="ES25" s="373"/>
      <c r="ET25" s="373"/>
      <c r="EU25" s="373"/>
      <c r="EV25" s="373"/>
      <c r="EW25" s="373"/>
      <c r="EX25" s="373"/>
      <c r="EY25" s="373"/>
      <c r="EZ25" s="373"/>
      <c r="FA25" s="373"/>
      <c r="FB25" s="373"/>
      <c r="FC25" s="373"/>
      <c r="FD25" s="373"/>
      <c r="FE25" s="373"/>
      <c r="FF25" s="373"/>
      <c r="FG25" s="373"/>
      <c r="FH25" s="373"/>
      <c r="FI25" s="373"/>
      <c r="FJ25" s="373"/>
      <c r="FK25" s="373"/>
      <c r="FL25" s="373"/>
      <c r="FM25" s="373"/>
      <c r="FN25" s="373"/>
      <c r="FO25" s="373"/>
      <c r="FP25" s="373"/>
      <c r="FQ25" s="373"/>
      <c r="FR25" s="373"/>
      <c r="FS25" s="373"/>
      <c r="FT25" s="373"/>
      <c r="FU25" s="373"/>
      <c r="FV25" s="373"/>
      <c r="FW25" s="373"/>
      <c r="FX25" s="373"/>
      <c r="FY25" s="373"/>
      <c r="FZ25" s="373"/>
      <c r="GA25" s="373"/>
      <c r="GB25" s="373"/>
      <c r="GC25" s="373"/>
      <c r="GD25" s="373"/>
      <c r="GE25" s="373"/>
      <c r="GF25" s="373"/>
      <c r="GG25" s="373"/>
      <c r="GH25" s="373"/>
      <c r="GI25" s="373"/>
      <c r="GJ25" s="373"/>
      <c r="GK25" s="373"/>
      <c r="GL25" s="373"/>
      <c r="GM25" s="373"/>
      <c r="GN25" s="373"/>
      <c r="GO25" s="373"/>
      <c r="GP25" s="373"/>
      <c r="GQ25" s="373"/>
      <c r="GR25" s="373"/>
      <c r="GS25" s="373"/>
      <c r="GT25" s="373"/>
      <c r="GU25" s="373"/>
      <c r="GV25" s="373"/>
      <c r="GW25" s="373"/>
      <c r="GX25" s="373"/>
      <c r="GY25" s="373"/>
      <c r="GZ25" s="373"/>
      <c r="HA25" s="373"/>
      <c r="HB25" s="373"/>
      <c r="HC25" s="373"/>
      <c r="HD25" s="373"/>
      <c r="HE25" s="373"/>
      <c r="HF25" s="373"/>
      <c r="HG25" s="373"/>
      <c r="HH25" s="373"/>
      <c r="HI25" s="373"/>
      <c r="HJ25" s="373"/>
      <c r="HK25" s="373"/>
      <c r="HL25" s="373"/>
      <c r="HM25" s="373"/>
      <c r="HN25" s="373"/>
      <c r="HO25" s="373"/>
      <c r="HP25" s="373"/>
      <c r="HQ25" s="373"/>
      <c r="HR25" s="373"/>
      <c r="HS25" s="373"/>
      <c r="HT25" s="373"/>
      <c r="HU25" s="373"/>
      <c r="HV25" s="373"/>
      <c r="HW25" s="373"/>
      <c r="HX25" s="373"/>
      <c r="HY25" s="373"/>
      <c r="HZ25" s="373"/>
      <c r="IA25" s="373"/>
      <c r="IB25" s="373"/>
      <c r="IC25" s="373"/>
      <c r="ID25" s="373"/>
      <c r="IE25" s="373"/>
      <c r="IF25" s="373"/>
      <c r="IG25" s="373"/>
      <c r="IH25" s="373"/>
      <c r="II25" s="373"/>
      <c r="IJ25" s="373"/>
      <c r="IK25" s="373"/>
      <c r="IL25" s="373"/>
      <c r="IM25" s="373"/>
      <c r="IN25" s="373"/>
      <c r="IO25" s="373"/>
      <c r="IP25" s="373"/>
      <c r="IQ25" s="373"/>
      <c r="IR25" s="373"/>
      <c r="IS25" s="373"/>
      <c r="IT25" s="373"/>
      <c r="IU25" s="373"/>
      <c r="IV25" s="373"/>
      <c r="IW25" s="373"/>
    </row>
    <row r="26" customFormat="false" ht="21.75" hidden="false" customHeight="true" outlineLevel="0" collapsed="false">
      <c r="A26" s="381"/>
      <c r="B26" s="381"/>
      <c r="C26" s="381"/>
      <c r="D26" s="381"/>
      <c r="E26" s="381"/>
      <c r="F26" s="381"/>
      <c r="G26" s="381"/>
      <c r="H26" s="381"/>
      <c r="I26" s="381"/>
    </row>
    <row r="27" customFormat="false" ht="21.75" hidden="false" customHeight="true" outlineLevel="0" collapsed="false">
      <c r="A27" s="381"/>
      <c r="B27" s="381"/>
      <c r="C27" s="381"/>
      <c r="D27" s="381"/>
      <c r="E27" s="381"/>
      <c r="F27" s="381"/>
      <c r="G27" s="381"/>
      <c r="H27" s="381"/>
      <c r="I27" s="381"/>
      <c r="J27" s="383"/>
      <c r="K27" s="383"/>
      <c r="L27" s="383"/>
      <c r="M27" s="383"/>
      <c r="N27" s="383"/>
      <c r="O27" s="383"/>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3"/>
      <c r="BK27" s="383"/>
      <c r="BL27" s="383"/>
      <c r="BM27" s="383"/>
      <c r="BN27" s="383"/>
      <c r="BO27" s="383"/>
      <c r="BP27" s="383"/>
      <c r="BQ27" s="383"/>
      <c r="BR27" s="383"/>
      <c r="BS27" s="383"/>
      <c r="BT27" s="383"/>
      <c r="BU27" s="383"/>
      <c r="BV27" s="383"/>
      <c r="BW27" s="383"/>
      <c r="BX27" s="383"/>
      <c r="BY27" s="383"/>
      <c r="BZ27" s="383"/>
      <c r="CA27" s="383"/>
      <c r="CB27" s="383"/>
      <c r="CC27" s="383"/>
      <c r="CD27" s="383"/>
      <c r="CE27" s="383"/>
      <c r="CF27" s="383"/>
      <c r="CG27" s="383"/>
      <c r="CH27" s="383"/>
      <c r="CI27" s="383"/>
      <c r="CJ27" s="383"/>
      <c r="CK27" s="383"/>
      <c r="CL27" s="383"/>
      <c r="CM27" s="383"/>
      <c r="CN27" s="383"/>
      <c r="CO27" s="383"/>
      <c r="CP27" s="383"/>
      <c r="CQ27" s="383"/>
      <c r="CR27" s="383"/>
      <c r="CS27" s="383"/>
      <c r="CT27" s="383"/>
      <c r="CU27" s="383"/>
      <c r="CV27" s="383"/>
      <c r="CW27" s="383"/>
      <c r="CX27" s="383"/>
      <c r="CY27" s="383"/>
      <c r="CZ27" s="383"/>
      <c r="DA27" s="383"/>
      <c r="DB27" s="383"/>
      <c r="DC27" s="383"/>
      <c r="DD27" s="383"/>
      <c r="DE27" s="383"/>
      <c r="DF27" s="383"/>
      <c r="DG27" s="383"/>
      <c r="DH27" s="383"/>
      <c r="DI27" s="383"/>
      <c r="DJ27" s="383"/>
      <c r="DK27" s="383"/>
      <c r="DL27" s="383"/>
      <c r="DM27" s="383"/>
      <c r="DN27" s="383"/>
      <c r="DO27" s="383"/>
      <c r="DP27" s="383"/>
      <c r="DQ27" s="383"/>
      <c r="DR27" s="383"/>
      <c r="DS27" s="383"/>
      <c r="DT27" s="383"/>
      <c r="DU27" s="383"/>
      <c r="DV27" s="383"/>
      <c r="DW27" s="383"/>
      <c r="DX27" s="383"/>
      <c r="DY27" s="383"/>
      <c r="DZ27" s="383"/>
      <c r="EA27" s="383"/>
      <c r="EB27" s="383"/>
      <c r="EC27" s="383"/>
      <c r="ED27" s="383"/>
      <c r="EE27" s="383"/>
      <c r="EF27" s="383"/>
      <c r="EG27" s="383"/>
      <c r="EH27" s="383"/>
      <c r="EI27" s="383"/>
      <c r="EJ27" s="383"/>
      <c r="EK27" s="383"/>
      <c r="EL27" s="383"/>
      <c r="EM27" s="383"/>
      <c r="EN27" s="383"/>
      <c r="EO27" s="383"/>
      <c r="EP27" s="383"/>
      <c r="EQ27" s="383"/>
      <c r="ER27" s="383"/>
      <c r="ES27" s="383"/>
      <c r="ET27" s="383"/>
      <c r="EU27" s="383"/>
      <c r="EV27" s="383"/>
      <c r="EW27" s="383"/>
      <c r="EX27" s="383"/>
      <c r="EY27" s="383"/>
      <c r="EZ27" s="383"/>
      <c r="FA27" s="383"/>
      <c r="FB27" s="383"/>
      <c r="FC27" s="383"/>
      <c r="FD27" s="383"/>
      <c r="FE27" s="383"/>
      <c r="FF27" s="383"/>
      <c r="FG27" s="383"/>
      <c r="FH27" s="383"/>
      <c r="FI27" s="383"/>
      <c r="FJ27" s="383"/>
      <c r="FK27" s="383"/>
      <c r="FL27" s="383"/>
      <c r="FM27" s="383"/>
      <c r="FN27" s="383"/>
      <c r="FO27" s="383"/>
      <c r="FP27" s="383"/>
      <c r="FQ27" s="383"/>
      <c r="FR27" s="383"/>
      <c r="FS27" s="383"/>
      <c r="FT27" s="383"/>
      <c r="FU27" s="383"/>
      <c r="FV27" s="383"/>
      <c r="FW27" s="383"/>
      <c r="FX27" s="383"/>
      <c r="FY27" s="383"/>
      <c r="FZ27" s="383"/>
      <c r="GA27" s="383"/>
      <c r="GB27" s="383"/>
      <c r="GC27" s="383"/>
      <c r="GD27" s="383"/>
      <c r="GE27" s="383"/>
      <c r="GF27" s="383"/>
      <c r="GG27" s="383"/>
      <c r="GH27" s="383"/>
      <c r="GI27" s="383"/>
      <c r="GJ27" s="383"/>
      <c r="GK27" s="383"/>
      <c r="GL27" s="383"/>
      <c r="GM27" s="383"/>
      <c r="GN27" s="383"/>
      <c r="GO27" s="383"/>
      <c r="GP27" s="383"/>
      <c r="GQ27" s="383"/>
      <c r="GR27" s="383"/>
      <c r="GS27" s="383"/>
      <c r="GT27" s="383"/>
      <c r="GU27" s="383"/>
      <c r="GV27" s="383"/>
      <c r="GW27" s="383"/>
      <c r="GX27" s="383"/>
      <c r="GY27" s="383"/>
      <c r="GZ27" s="383"/>
      <c r="HA27" s="383"/>
      <c r="HB27" s="383"/>
      <c r="HC27" s="383"/>
      <c r="HD27" s="383"/>
      <c r="HE27" s="383"/>
      <c r="HF27" s="383"/>
      <c r="HG27" s="383"/>
      <c r="HH27" s="383"/>
      <c r="HI27" s="383"/>
      <c r="HJ27" s="383"/>
      <c r="HK27" s="383"/>
      <c r="HL27" s="383"/>
      <c r="HM27" s="383"/>
      <c r="HN27" s="383"/>
      <c r="HO27" s="383"/>
      <c r="HP27" s="383"/>
      <c r="HQ27" s="383"/>
      <c r="HR27" s="383"/>
      <c r="HS27" s="383"/>
      <c r="HT27" s="383"/>
      <c r="HU27" s="383"/>
      <c r="HV27" s="383"/>
      <c r="HW27" s="383"/>
      <c r="HX27" s="383"/>
      <c r="HY27" s="383"/>
      <c r="HZ27" s="383"/>
      <c r="IA27" s="383"/>
      <c r="IB27" s="383"/>
      <c r="IC27" s="383"/>
      <c r="ID27" s="383"/>
      <c r="IE27" s="383"/>
      <c r="IF27" s="383"/>
      <c r="IG27" s="383"/>
      <c r="IH27" s="383"/>
      <c r="II27" s="383"/>
      <c r="IJ27" s="383"/>
      <c r="IK27" s="383"/>
      <c r="IL27" s="383"/>
      <c r="IM27" s="383"/>
      <c r="IN27" s="383"/>
      <c r="IO27" s="383"/>
      <c r="IP27" s="383"/>
      <c r="IQ27" s="383"/>
      <c r="IR27" s="383"/>
      <c r="IS27" s="383"/>
      <c r="IT27" s="383"/>
      <c r="IU27" s="383"/>
      <c r="IV27" s="383"/>
      <c r="IW27" s="383"/>
    </row>
    <row r="28" customFormat="false" ht="21.75" hidden="false" customHeight="true" outlineLevel="0" collapsed="false">
      <c r="A28" s="381"/>
      <c r="B28" s="381"/>
      <c r="C28" s="381"/>
      <c r="D28" s="381"/>
      <c r="E28" s="381"/>
      <c r="F28" s="381"/>
      <c r="G28" s="381"/>
      <c r="H28" s="381"/>
      <c r="I28" s="381"/>
      <c r="J28" s="383"/>
      <c r="K28" s="383"/>
      <c r="L28" s="383"/>
      <c r="M28" s="383"/>
      <c r="N28" s="383"/>
      <c r="O28" s="383"/>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3"/>
      <c r="BK28" s="383"/>
      <c r="BL28" s="383"/>
      <c r="BM28" s="383"/>
      <c r="BN28" s="383"/>
      <c r="BO28" s="383"/>
      <c r="BP28" s="383"/>
      <c r="BQ28" s="383"/>
      <c r="BR28" s="383"/>
      <c r="BS28" s="383"/>
      <c r="BT28" s="383"/>
      <c r="BU28" s="383"/>
      <c r="BV28" s="383"/>
      <c r="BW28" s="383"/>
      <c r="BX28" s="383"/>
      <c r="BY28" s="383"/>
      <c r="BZ28" s="383"/>
      <c r="CA28" s="383"/>
      <c r="CB28" s="383"/>
      <c r="CC28" s="383"/>
      <c r="CD28" s="383"/>
      <c r="CE28" s="383"/>
      <c r="CF28" s="383"/>
      <c r="CG28" s="383"/>
      <c r="CH28" s="383"/>
      <c r="CI28" s="383"/>
      <c r="CJ28" s="383"/>
      <c r="CK28" s="383"/>
      <c r="CL28" s="383"/>
      <c r="CM28" s="383"/>
      <c r="CN28" s="383"/>
      <c r="CO28" s="383"/>
      <c r="CP28" s="383"/>
      <c r="CQ28" s="383"/>
      <c r="CR28" s="383"/>
      <c r="CS28" s="383"/>
      <c r="CT28" s="383"/>
      <c r="CU28" s="383"/>
      <c r="CV28" s="383"/>
      <c r="CW28" s="383"/>
      <c r="CX28" s="383"/>
      <c r="CY28" s="383"/>
      <c r="CZ28" s="383"/>
      <c r="DA28" s="383"/>
      <c r="DB28" s="383"/>
      <c r="DC28" s="383"/>
      <c r="DD28" s="383"/>
      <c r="DE28" s="383"/>
      <c r="DF28" s="383"/>
      <c r="DG28" s="383"/>
      <c r="DH28" s="383"/>
      <c r="DI28" s="383"/>
      <c r="DJ28" s="383"/>
      <c r="DK28" s="383"/>
      <c r="DL28" s="383"/>
      <c r="DM28" s="383"/>
      <c r="DN28" s="383"/>
      <c r="DO28" s="383"/>
      <c r="DP28" s="383"/>
      <c r="DQ28" s="383"/>
      <c r="DR28" s="383"/>
      <c r="DS28" s="383"/>
      <c r="DT28" s="383"/>
      <c r="DU28" s="383"/>
      <c r="DV28" s="383"/>
      <c r="DW28" s="383"/>
      <c r="DX28" s="383"/>
      <c r="DY28" s="383"/>
      <c r="DZ28" s="383"/>
      <c r="EA28" s="383"/>
      <c r="EB28" s="383"/>
      <c r="EC28" s="383"/>
      <c r="ED28" s="383"/>
      <c r="EE28" s="383"/>
      <c r="EF28" s="383"/>
      <c r="EG28" s="383"/>
      <c r="EH28" s="383"/>
      <c r="EI28" s="383"/>
      <c r="EJ28" s="383"/>
      <c r="EK28" s="383"/>
      <c r="EL28" s="383"/>
      <c r="EM28" s="383"/>
      <c r="EN28" s="383"/>
      <c r="EO28" s="383"/>
      <c r="EP28" s="383"/>
      <c r="EQ28" s="383"/>
      <c r="ER28" s="383"/>
      <c r="ES28" s="383"/>
      <c r="ET28" s="383"/>
      <c r="EU28" s="383"/>
      <c r="EV28" s="383"/>
      <c r="EW28" s="383"/>
      <c r="EX28" s="383"/>
      <c r="EY28" s="383"/>
      <c r="EZ28" s="383"/>
      <c r="FA28" s="383"/>
      <c r="FB28" s="383"/>
      <c r="FC28" s="383"/>
      <c r="FD28" s="383"/>
      <c r="FE28" s="383"/>
      <c r="FF28" s="383"/>
      <c r="FG28" s="383"/>
      <c r="FH28" s="383"/>
      <c r="FI28" s="383"/>
      <c r="FJ28" s="383"/>
      <c r="FK28" s="383"/>
      <c r="FL28" s="383"/>
      <c r="FM28" s="383"/>
      <c r="FN28" s="383"/>
      <c r="FO28" s="383"/>
      <c r="FP28" s="383"/>
      <c r="FQ28" s="383"/>
      <c r="FR28" s="383"/>
      <c r="FS28" s="383"/>
      <c r="FT28" s="383"/>
      <c r="FU28" s="383"/>
      <c r="FV28" s="383"/>
      <c r="FW28" s="383"/>
      <c r="FX28" s="383"/>
      <c r="FY28" s="383"/>
      <c r="FZ28" s="383"/>
      <c r="GA28" s="383"/>
      <c r="GB28" s="383"/>
      <c r="GC28" s="383"/>
      <c r="GD28" s="383"/>
      <c r="GE28" s="383"/>
      <c r="GF28" s="383"/>
      <c r="GG28" s="383"/>
      <c r="GH28" s="383"/>
      <c r="GI28" s="383"/>
      <c r="GJ28" s="383"/>
      <c r="GK28" s="383"/>
      <c r="GL28" s="383"/>
      <c r="GM28" s="383"/>
      <c r="GN28" s="383"/>
      <c r="GO28" s="383"/>
      <c r="GP28" s="383"/>
      <c r="GQ28" s="383"/>
      <c r="GR28" s="383"/>
      <c r="GS28" s="383"/>
      <c r="GT28" s="383"/>
      <c r="GU28" s="383"/>
      <c r="GV28" s="383"/>
      <c r="GW28" s="383"/>
      <c r="GX28" s="383"/>
      <c r="GY28" s="383"/>
      <c r="GZ28" s="383"/>
      <c r="HA28" s="383"/>
      <c r="HB28" s="383"/>
      <c r="HC28" s="383"/>
      <c r="HD28" s="383"/>
      <c r="HE28" s="383"/>
      <c r="HF28" s="383"/>
      <c r="HG28" s="383"/>
      <c r="HH28" s="383"/>
      <c r="HI28" s="383"/>
      <c r="HJ28" s="383"/>
      <c r="HK28" s="383"/>
      <c r="HL28" s="383"/>
      <c r="HM28" s="383"/>
      <c r="HN28" s="383"/>
      <c r="HO28" s="383"/>
      <c r="HP28" s="383"/>
      <c r="HQ28" s="383"/>
      <c r="HR28" s="383"/>
      <c r="HS28" s="383"/>
      <c r="HT28" s="383"/>
      <c r="HU28" s="383"/>
      <c r="HV28" s="383"/>
      <c r="HW28" s="383"/>
      <c r="HX28" s="383"/>
      <c r="HY28" s="383"/>
      <c r="HZ28" s="383"/>
      <c r="IA28" s="383"/>
      <c r="IB28" s="383"/>
      <c r="IC28" s="383"/>
      <c r="ID28" s="383"/>
      <c r="IE28" s="383"/>
      <c r="IF28" s="383"/>
      <c r="IG28" s="383"/>
      <c r="IH28" s="383"/>
      <c r="II28" s="383"/>
      <c r="IJ28" s="383"/>
      <c r="IK28" s="383"/>
      <c r="IL28" s="383"/>
      <c r="IM28" s="383"/>
      <c r="IN28" s="383"/>
      <c r="IO28" s="383"/>
      <c r="IP28" s="383"/>
      <c r="IQ28" s="383"/>
      <c r="IR28" s="383"/>
      <c r="IS28" s="383"/>
      <c r="IT28" s="383"/>
      <c r="IU28" s="383"/>
      <c r="IV28" s="383"/>
      <c r="IW28" s="383"/>
    </row>
    <row r="29" customFormat="false" ht="21.75" hidden="false" customHeight="true" outlineLevel="0" collapsed="false">
      <c r="A29" s="381"/>
      <c r="B29" s="381"/>
      <c r="C29" s="381"/>
      <c r="D29" s="381"/>
      <c r="E29" s="381"/>
      <c r="F29" s="381"/>
      <c r="G29" s="381"/>
      <c r="H29" s="381"/>
      <c r="I29" s="381"/>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3"/>
      <c r="BK29" s="383"/>
      <c r="BL29" s="383"/>
      <c r="BM29" s="383"/>
      <c r="BN29" s="383"/>
      <c r="BO29" s="383"/>
      <c r="BP29" s="383"/>
      <c r="BQ29" s="383"/>
      <c r="BR29" s="383"/>
      <c r="BS29" s="383"/>
      <c r="BT29" s="383"/>
      <c r="BU29" s="383"/>
      <c r="BV29" s="383"/>
      <c r="BW29" s="383"/>
      <c r="BX29" s="383"/>
      <c r="BY29" s="383"/>
      <c r="BZ29" s="383"/>
      <c r="CA29" s="383"/>
      <c r="CB29" s="383"/>
      <c r="CC29" s="383"/>
      <c r="CD29" s="383"/>
      <c r="CE29" s="383"/>
      <c r="CF29" s="383"/>
      <c r="CG29" s="383"/>
      <c r="CH29" s="383"/>
      <c r="CI29" s="383"/>
      <c r="CJ29" s="383"/>
      <c r="CK29" s="383"/>
      <c r="CL29" s="383"/>
      <c r="CM29" s="383"/>
      <c r="CN29" s="383"/>
      <c r="CO29" s="383"/>
      <c r="CP29" s="383"/>
      <c r="CQ29" s="383"/>
      <c r="CR29" s="383"/>
      <c r="CS29" s="383"/>
      <c r="CT29" s="383"/>
      <c r="CU29" s="383"/>
      <c r="CV29" s="383"/>
      <c r="CW29" s="383"/>
      <c r="CX29" s="383"/>
      <c r="CY29" s="383"/>
      <c r="CZ29" s="383"/>
      <c r="DA29" s="383"/>
      <c r="DB29" s="383"/>
      <c r="DC29" s="383"/>
      <c r="DD29" s="383"/>
      <c r="DE29" s="383"/>
      <c r="DF29" s="383"/>
      <c r="DG29" s="383"/>
      <c r="DH29" s="383"/>
      <c r="DI29" s="383"/>
      <c r="DJ29" s="383"/>
      <c r="DK29" s="383"/>
      <c r="DL29" s="383"/>
      <c r="DM29" s="383"/>
      <c r="DN29" s="383"/>
      <c r="DO29" s="383"/>
      <c r="DP29" s="383"/>
      <c r="DQ29" s="383"/>
      <c r="DR29" s="383"/>
      <c r="DS29" s="383"/>
      <c r="DT29" s="383"/>
      <c r="DU29" s="383"/>
      <c r="DV29" s="383"/>
      <c r="DW29" s="383"/>
      <c r="DX29" s="383"/>
      <c r="DY29" s="383"/>
      <c r="DZ29" s="383"/>
      <c r="EA29" s="383"/>
      <c r="EB29" s="383"/>
      <c r="EC29" s="383"/>
      <c r="ED29" s="383"/>
      <c r="EE29" s="383"/>
      <c r="EF29" s="383"/>
      <c r="EG29" s="383"/>
      <c r="EH29" s="383"/>
      <c r="EI29" s="383"/>
      <c r="EJ29" s="383"/>
      <c r="EK29" s="383"/>
      <c r="EL29" s="383"/>
      <c r="EM29" s="383"/>
      <c r="EN29" s="383"/>
      <c r="EO29" s="383"/>
      <c r="EP29" s="383"/>
      <c r="EQ29" s="383"/>
      <c r="ER29" s="383"/>
      <c r="ES29" s="383"/>
      <c r="ET29" s="383"/>
      <c r="EU29" s="383"/>
      <c r="EV29" s="383"/>
      <c r="EW29" s="383"/>
      <c r="EX29" s="383"/>
      <c r="EY29" s="383"/>
      <c r="EZ29" s="383"/>
      <c r="FA29" s="383"/>
      <c r="FB29" s="383"/>
      <c r="FC29" s="383"/>
      <c r="FD29" s="383"/>
      <c r="FE29" s="383"/>
      <c r="FF29" s="383"/>
      <c r="FG29" s="383"/>
      <c r="FH29" s="383"/>
      <c r="FI29" s="383"/>
      <c r="FJ29" s="383"/>
      <c r="FK29" s="383"/>
      <c r="FL29" s="383"/>
      <c r="FM29" s="383"/>
      <c r="FN29" s="383"/>
      <c r="FO29" s="383"/>
      <c r="FP29" s="383"/>
      <c r="FQ29" s="383"/>
      <c r="FR29" s="383"/>
      <c r="FS29" s="383"/>
      <c r="FT29" s="383"/>
      <c r="FU29" s="383"/>
      <c r="FV29" s="383"/>
      <c r="FW29" s="383"/>
      <c r="FX29" s="383"/>
      <c r="FY29" s="383"/>
      <c r="FZ29" s="383"/>
      <c r="GA29" s="383"/>
      <c r="GB29" s="383"/>
      <c r="GC29" s="383"/>
      <c r="GD29" s="383"/>
      <c r="GE29" s="383"/>
      <c r="GF29" s="383"/>
      <c r="GG29" s="383"/>
      <c r="GH29" s="383"/>
      <c r="GI29" s="383"/>
      <c r="GJ29" s="383"/>
      <c r="GK29" s="383"/>
      <c r="GL29" s="383"/>
      <c r="GM29" s="383"/>
      <c r="GN29" s="383"/>
      <c r="GO29" s="383"/>
      <c r="GP29" s="383"/>
      <c r="GQ29" s="383"/>
      <c r="GR29" s="383"/>
      <c r="GS29" s="383"/>
      <c r="GT29" s="383"/>
      <c r="GU29" s="383"/>
      <c r="GV29" s="383"/>
      <c r="GW29" s="383"/>
      <c r="GX29" s="383"/>
      <c r="GY29" s="383"/>
      <c r="GZ29" s="383"/>
      <c r="HA29" s="383"/>
      <c r="HB29" s="383"/>
      <c r="HC29" s="383"/>
      <c r="HD29" s="383"/>
      <c r="HE29" s="383"/>
      <c r="HF29" s="383"/>
      <c r="HG29" s="383"/>
      <c r="HH29" s="383"/>
      <c r="HI29" s="383"/>
      <c r="HJ29" s="383"/>
      <c r="HK29" s="383"/>
      <c r="HL29" s="383"/>
      <c r="HM29" s="383"/>
      <c r="HN29" s="383"/>
      <c r="HO29" s="383"/>
      <c r="HP29" s="383"/>
      <c r="HQ29" s="383"/>
      <c r="HR29" s="383"/>
      <c r="HS29" s="383"/>
      <c r="HT29" s="383"/>
      <c r="HU29" s="383"/>
      <c r="HV29" s="383"/>
      <c r="HW29" s="383"/>
      <c r="HX29" s="383"/>
      <c r="HY29" s="383"/>
      <c r="HZ29" s="383"/>
      <c r="IA29" s="383"/>
      <c r="IB29" s="383"/>
      <c r="IC29" s="383"/>
      <c r="ID29" s="383"/>
      <c r="IE29" s="383"/>
      <c r="IF29" s="383"/>
      <c r="IG29" s="383"/>
      <c r="IH29" s="383"/>
      <c r="II29" s="383"/>
      <c r="IJ29" s="383"/>
      <c r="IK29" s="383"/>
      <c r="IL29" s="383"/>
      <c r="IM29" s="383"/>
      <c r="IN29" s="383"/>
      <c r="IO29" s="383"/>
      <c r="IP29" s="383"/>
      <c r="IQ29" s="383"/>
      <c r="IR29" s="383"/>
      <c r="IS29" s="383"/>
      <c r="IT29" s="383"/>
      <c r="IU29" s="383"/>
      <c r="IV29" s="383"/>
      <c r="IW29" s="383"/>
    </row>
    <row r="30" customFormat="false" ht="21.75" hidden="false" customHeight="true" outlineLevel="0" collapsed="false">
      <c r="A30" s="381"/>
      <c r="B30" s="381"/>
      <c r="C30" s="381"/>
      <c r="D30" s="381"/>
      <c r="E30" s="381"/>
      <c r="F30" s="381"/>
      <c r="G30" s="381"/>
      <c r="H30" s="381"/>
      <c r="I30" s="381"/>
      <c r="J30" s="383"/>
      <c r="K30" s="383"/>
      <c r="L30" s="383"/>
      <c r="M30" s="383"/>
      <c r="N30" s="383"/>
      <c r="O30" s="383"/>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3"/>
      <c r="BK30" s="383"/>
      <c r="BL30" s="383"/>
      <c r="BM30" s="383"/>
      <c r="BN30" s="383"/>
      <c r="BO30" s="383"/>
      <c r="BP30" s="383"/>
      <c r="BQ30" s="383"/>
      <c r="BR30" s="383"/>
      <c r="BS30" s="383"/>
      <c r="BT30" s="383"/>
      <c r="BU30" s="383"/>
      <c r="BV30" s="383"/>
      <c r="BW30" s="383"/>
      <c r="BX30" s="383"/>
      <c r="BY30" s="383"/>
      <c r="BZ30" s="383"/>
      <c r="CA30" s="383"/>
      <c r="CB30" s="383"/>
      <c r="CC30" s="383"/>
      <c r="CD30" s="383"/>
      <c r="CE30" s="383"/>
      <c r="CF30" s="383"/>
      <c r="CG30" s="383"/>
      <c r="CH30" s="383"/>
      <c r="CI30" s="383"/>
      <c r="CJ30" s="383"/>
      <c r="CK30" s="383"/>
      <c r="CL30" s="383"/>
      <c r="CM30" s="383"/>
      <c r="CN30" s="383"/>
      <c r="CO30" s="383"/>
      <c r="CP30" s="383"/>
      <c r="CQ30" s="383"/>
      <c r="CR30" s="383"/>
      <c r="CS30" s="383"/>
      <c r="CT30" s="383"/>
      <c r="CU30" s="383"/>
      <c r="CV30" s="383"/>
      <c r="CW30" s="383"/>
      <c r="CX30" s="383"/>
      <c r="CY30" s="383"/>
      <c r="CZ30" s="383"/>
      <c r="DA30" s="383"/>
      <c r="DB30" s="383"/>
      <c r="DC30" s="383"/>
      <c r="DD30" s="383"/>
      <c r="DE30" s="383"/>
      <c r="DF30" s="383"/>
      <c r="DG30" s="383"/>
      <c r="DH30" s="383"/>
      <c r="DI30" s="383"/>
      <c r="DJ30" s="383"/>
      <c r="DK30" s="383"/>
      <c r="DL30" s="383"/>
      <c r="DM30" s="383"/>
      <c r="DN30" s="383"/>
      <c r="DO30" s="383"/>
      <c r="DP30" s="383"/>
      <c r="DQ30" s="383"/>
      <c r="DR30" s="383"/>
      <c r="DS30" s="383"/>
      <c r="DT30" s="383"/>
      <c r="DU30" s="383"/>
      <c r="DV30" s="383"/>
      <c r="DW30" s="383"/>
      <c r="DX30" s="383"/>
      <c r="DY30" s="383"/>
      <c r="DZ30" s="383"/>
      <c r="EA30" s="383"/>
      <c r="EB30" s="383"/>
      <c r="EC30" s="383"/>
      <c r="ED30" s="383"/>
      <c r="EE30" s="383"/>
      <c r="EF30" s="383"/>
      <c r="EG30" s="383"/>
      <c r="EH30" s="383"/>
      <c r="EI30" s="383"/>
      <c r="EJ30" s="383"/>
      <c r="EK30" s="383"/>
      <c r="EL30" s="383"/>
      <c r="EM30" s="383"/>
      <c r="EN30" s="383"/>
      <c r="EO30" s="383"/>
      <c r="EP30" s="383"/>
      <c r="EQ30" s="383"/>
      <c r="ER30" s="383"/>
      <c r="ES30" s="383"/>
      <c r="ET30" s="383"/>
      <c r="EU30" s="383"/>
      <c r="EV30" s="383"/>
      <c r="EW30" s="383"/>
      <c r="EX30" s="383"/>
      <c r="EY30" s="383"/>
      <c r="EZ30" s="383"/>
      <c r="FA30" s="383"/>
      <c r="FB30" s="383"/>
      <c r="FC30" s="383"/>
      <c r="FD30" s="383"/>
      <c r="FE30" s="383"/>
      <c r="FF30" s="383"/>
      <c r="FG30" s="383"/>
      <c r="FH30" s="383"/>
      <c r="FI30" s="383"/>
      <c r="FJ30" s="383"/>
      <c r="FK30" s="383"/>
      <c r="FL30" s="383"/>
      <c r="FM30" s="383"/>
      <c r="FN30" s="383"/>
      <c r="FO30" s="383"/>
      <c r="FP30" s="383"/>
      <c r="FQ30" s="383"/>
      <c r="FR30" s="383"/>
      <c r="FS30" s="383"/>
      <c r="FT30" s="383"/>
      <c r="FU30" s="383"/>
      <c r="FV30" s="383"/>
      <c r="FW30" s="383"/>
      <c r="FX30" s="383"/>
      <c r="FY30" s="383"/>
      <c r="FZ30" s="383"/>
      <c r="GA30" s="383"/>
      <c r="GB30" s="383"/>
      <c r="GC30" s="383"/>
      <c r="GD30" s="383"/>
      <c r="GE30" s="383"/>
      <c r="GF30" s="383"/>
      <c r="GG30" s="383"/>
      <c r="GH30" s="383"/>
      <c r="GI30" s="383"/>
      <c r="GJ30" s="383"/>
      <c r="GK30" s="383"/>
      <c r="GL30" s="383"/>
      <c r="GM30" s="383"/>
      <c r="GN30" s="383"/>
      <c r="GO30" s="383"/>
      <c r="GP30" s="383"/>
      <c r="GQ30" s="383"/>
      <c r="GR30" s="383"/>
      <c r="GS30" s="383"/>
      <c r="GT30" s="383"/>
      <c r="GU30" s="383"/>
      <c r="GV30" s="383"/>
      <c r="GW30" s="383"/>
      <c r="GX30" s="383"/>
      <c r="GY30" s="383"/>
      <c r="GZ30" s="383"/>
      <c r="HA30" s="383"/>
      <c r="HB30" s="383"/>
      <c r="HC30" s="383"/>
      <c r="HD30" s="383"/>
      <c r="HE30" s="383"/>
      <c r="HF30" s="383"/>
      <c r="HG30" s="383"/>
      <c r="HH30" s="383"/>
      <c r="HI30" s="383"/>
      <c r="HJ30" s="383"/>
      <c r="HK30" s="383"/>
      <c r="HL30" s="383"/>
      <c r="HM30" s="383"/>
      <c r="HN30" s="383"/>
      <c r="HO30" s="383"/>
      <c r="HP30" s="383"/>
      <c r="HQ30" s="383"/>
      <c r="HR30" s="383"/>
      <c r="HS30" s="383"/>
      <c r="HT30" s="383"/>
      <c r="HU30" s="383"/>
      <c r="HV30" s="383"/>
      <c r="HW30" s="383"/>
      <c r="HX30" s="383"/>
      <c r="HY30" s="383"/>
      <c r="HZ30" s="383"/>
      <c r="IA30" s="383"/>
      <c r="IB30" s="383"/>
      <c r="IC30" s="383"/>
      <c r="ID30" s="383"/>
      <c r="IE30" s="383"/>
      <c r="IF30" s="383"/>
      <c r="IG30" s="383"/>
      <c r="IH30" s="383"/>
      <c r="II30" s="383"/>
      <c r="IJ30" s="383"/>
      <c r="IK30" s="383"/>
      <c r="IL30" s="383"/>
      <c r="IM30" s="383"/>
      <c r="IN30" s="383"/>
      <c r="IO30" s="383"/>
      <c r="IP30" s="383"/>
      <c r="IQ30" s="383"/>
      <c r="IR30" s="383"/>
      <c r="IS30" s="383"/>
      <c r="IT30" s="383"/>
      <c r="IU30" s="383"/>
      <c r="IV30" s="383"/>
      <c r="IW30" s="383"/>
    </row>
    <row r="31" customFormat="false" ht="21.75" hidden="false" customHeight="true" outlineLevel="0" collapsed="false">
      <c r="A31" s="381"/>
      <c r="B31" s="381"/>
      <c r="C31" s="381"/>
      <c r="D31" s="381"/>
      <c r="E31" s="381"/>
      <c r="F31" s="381"/>
      <c r="G31" s="381"/>
      <c r="H31" s="381"/>
      <c r="I31" s="381"/>
      <c r="J31" s="383"/>
      <c r="K31" s="383"/>
      <c r="L31" s="383"/>
      <c r="M31" s="383"/>
      <c r="N31" s="383"/>
      <c r="O31" s="383"/>
      <c r="P31" s="383"/>
      <c r="Q31" s="383"/>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3"/>
      <c r="BK31" s="383"/>
      <c r="BL31" s="383"/>
      <c r="BM31" s="383"/>
      <c r="BN31" s="383"/>
      <c r="BO31" s="383"/>
      <c r="BP31" s="383"/>
      <c r="BQ31" s="383"/>
      <c r="BR31" s="383"/>
      <c r="BS31" s="383"/>
      <c r="BT31" s="383"/>
      <c r="BU31" s="383"/>
      <c r="BV31" s="383"/>
      <c r="BW31" s="383"/>
      <c r="BX31" s="383"/>
      <c r="BY31" s="383"/>
      <c r="BZ31" s="383"/>
      <c r="CA31" s="383"/>
      <c r="CB31" s="383"/>
      <c r="CC31" s="383"/>
      <c r="CD31" s="383"/>
      <c r="CE31" s="383"/>
      <c r="CF31" s="383"/>
      <c r="CG31" s="383"/>
      <c r="CH31" s="383"/>
      <c r="CI31" s="383"/>
      <c r="CJ31" s="383"/>
      <c r="CK31" s="383"/>
      <c r="CL31" s="383"/>
      <c r="CM31" s="383"/>
      <c r="CN31" s="383"/>
      <c r="CO31" s="383"/>
      <c r="CP31" s="383"/>
      <c r="CQ31" s="383"/>
      <c r="CR31" s="383"/>
      <c r="CS31" s="383"/>
      <c r="CT31" s="383"/>
      <c r="CU31" s="383"/>
      <c r="CV31" s="383"/>
      <c r="CW31" s="383"/>
      <c r="CX31" s="383"/>
      <c r="CY31" s="383"/>
      <c r="CZ31" s="383"/>
      <c r="DA31" s="383"/>
      <c r="DB31" s="383"/>
      <c r="DC31" s="383"/>
      <c r="DD31" s="383"/>
      <c r="DE31" s="383"/>
      <c r="DF31" s="383"/>
      <c r="DG31" s="383"/>
      <c r="DH31" s="383"/>
      <c r="DI31" s="383"/>
      <c r="DJ31" s="383"/>
      <c r="DK31" s="383"/>
      <c r="DL31" s="383"/>
      <c r="DM31" s="383"/>
      <c r="DN31" s="383"/>
      <c r="DO31" s="383"/>
      <c r="DP31" s="383"/>
      <c r="DQ31" s="383"/>
      <c r="DR31" s="383"/>
      <c r="DS31" s="383"/>
      <c r="DT31" s="383"/>
      <c r="DU31" s="383"/>
      <c r="DV31" s="383"/>
      <c r="DW31" s="383"/>
      <c r="DX31" s="383"/>
      <c r="DY31" s="383"/>
      <c r="DZ31" s="383"/>
      <c r="EA31" s="383"/>
      <c r="EB31" s="383"/>
      <c r="EC31" s="383"/>
      <c r="ED31" s="383"/>
      <c r="EE31" s="383"/>
      <c r="EF31" s="383"/>
      <c r="EG31" s="383"/>
      <c r="EH31" s="383"/>
      <c r="EI31" s="383"/>
      <c r="EJ31" s="383"/>
      <c r="EK31" s="383"/>
      <c r="EL31" s="383"/>
      <c r="EM31" s="383"/>
      <c r="EN31" s="383"/>
      <c r="EO31" s="383"/>
      <c r="EP31" s="383"/>
      <c r="EQ31" s="383"/>
      <c r="ER31" s="383"/>
      <c r="ES31" s="383"/>
      <c r="ET31" s="383"/>
      <c r="EU31" s="383"/>
      <c r="EV31" s="383"/>
      <c r="EW31" s="383"/>
      <c r="EX31" s="383"/>
      <c r="EY31" s="383"/>
      <c r="EZ31" s="383"/>
      <c r="FA31" s="383"/>
      <c r="FB31" s="383"/>
      <c r="FC31" s="383"/>
      <c r="FD31" s="383"/>
      <c r="FE31" s="383"/>
      <c r="FF31" s="383"/>
      <c r="FG31" s="383"/>
      <c r="FH31" s="383"/>
      <c r="FI31" s="383"/>
      <c r="FJ31" s="383"/>
      <c r="FK31" s="383"/>
      <c r="FL31" s="383"/>
      <c r="FM31" s="383"/>
      <c r="FN31" s="383"/>
      <c r="FO31" s="383"/>
      <c r="FP31" s="383"/>
      <c r="FQ31" s="383"/>
      <c r="FR31" s="383"/>
      <c r="FS31" s="383"/>
      <c r="FT31" s="383"/>
      <c r="FU31" s="383"/>
      <c r="FV31" s="383"/>
      <c r="FW31" s="383"/>
      <c r="FX31" s="383"/>
      <c r="FY31" s="383"/>
      <c r="FZ31" s="383"/>
      <c r="GA31" s="383"/>
      <c r="GB31" s="383"/>
      <c r="GC31" s="383"/>
      <c r="GD31" s="383"/>
      <c r="GE31" s="383"/>
      <c r="GF31" s="383"/>
      <c r="GG31" s="383"/>
      <c r="GH31" s="383"/>
      <c r="GI31" s="383"/>
      <c r="GJ31" s="383"/>
      <c r="GK31" s="383"/>
      <c r="GL31" s="383"/>
      <c r="GM31" s="383"/>
      <c r="GN31" s="383"/>
      <c r="GO31" s="383"/>
      <c r="GP31" s="383"/>
      <c r="GQ31" s="383"/>
      <c r="GR31" s="383"/>
      <c r="GS31" s="383"/>
      <c r="GT31" s="383"/>
      <c r="GU31" s="383"/>
      <c r="GV31" s="383"/>
      <c r="GW31" s="383"/>
      <c r="GX31" s="383"/>
      <c r="GY31" s="383"/>
      <c r="GZ31" s="383"/>
      <c r="HA31" s="383"/>
      <c r="HB31" s="383"/>
      <c r="HC31" s="383"/>
      <c r="HD31" s="383"/>
      <c r="HE31" s="383"/>
      <c r="HF31" s="383"/>
      <c r="HG31" s="383"/>
      <c r="HH31" s="383"/>
      <c r="HI31" s="383"/>
      <c r="HJ31" s="383"/>
      <c r="HK31" s="383"/>
      <c r="HL31" s="383"/>
      <c r="HM31" s="383"/>
      <c r="HN31" s="383"/>
      <c r="HO31" s="383"/>
      <c r="HP31" s="383"/>
      <c r="HQ31" s="383"/>
      <c r="HR31" s="383"/>
      <c r="HS31" s="383"/>
      <c r="HT31" s="383"/>
      <c r="HU31" s="383"/>
      <c r="HV31" s="383"/>
      <c r="HW31" s="383"/>
      <c r="HX31" s="383"/>
      <c r="HY31" s="383"/>
      <c r="HZ31" s="383"/>
      <c r="IA31" s="383"/>
      <c r="IB31" s="383"/>
      <c r="IC31" s="383"/>
      <c r="ID31" s="383"/>
      <c r="IE31" s="383"/>
      <c r="IF31" s="383"/>
      <c r="IG31" s="383"/>
      <c r="IH31" s="383"/>
      <c r="II31" s="383"/>
      <c r="IJ31" s="383"/>
      <c r="IK31" s="383"/>
      <c r="IL31" s="383"/>
      <c r="IM31" s="383"/>
      <c r="IN31" s="383"/>
      <c r="IO31" s="383"/>
      <c r="IP31" s="383"/>
      <c r="IQ31" s="383"/>
      <c r="IR31" s="383"/>
      <c r="IS31" s="383"/>
      <c r="IT31" s="383"/>
      <c r="IU31" s="383"/>
      <c r="IV31" s="383"/>
      <c r="IW31" s="383"/>
    </row>
    <row r="32" customFormat="false" ht="21.75" hidden="false" customHeight="true" outlineLevel="0" collapsed="false">
      <c r="A32" s="384"/>
      <c r="B32" s="384"/>
      <c r="C32" s="384"/>
      <c r="D32" s="384"/>
      <c r="E32" s="384"/>
      <c r="F32" s="384"/>
      <c r="G32" s="384"/>
      <c r="H32" s="384"/>
      <c r="I32" s="384"/>
    </row>
    <row r="33" customFormat="false" ht="25.5" hidden="false" customHeight="true" outlineLevel="0" collapsed="false">
      <c r="A33" s="385" t="s">
        <v>426</v>
      </c>
      <c r="B33" s="385"/>
      <c r="C33" s="385"/>
      <c r="D33" s="385"/>
      <c r="E33" s="385"/>
      <c r="F33" s="385"/>
      <c r="G33" s="385"/>
      <c r="H33" s="385"/>
      <c r="I33" s="385"/>
    </row>
    <row r="34" customFormat="false" ht="22.35" hidden="false" customHeight="true" outlineLevel="0" collapsed="false">
      <c r="A34" s="385" t="s">
        <v>452</v>
      </c>
      <c r="B34" s="385"/>
      <c r="C34" s="385"/>
      <c r="D34" s="385"/>
      <c r="E34" s="385"/>
      <c r="F34" s="385"/>
      <c r="G34" s="385"/>
      <c r="H34" s="385"/>
      <c r="I34" s="385"/>
    </row>
    <row r="35" customFormat="false" ht="20.1" hidden="false" customHeight="true" outlineLevel="0" collapsed="false"/>
    <row r="36" customFormat="false" ht="20.1" hidden="false" customHeight="true" outlineLevel="0" collapsed="false"/>
    <row r="37" customFormat="false" ht="20.1" hidden="false" customHeight="true" outlineLevel="0" collapsed="false"/>
    <row r="38" customFormat="false" ht="20.1" hidden="false" customHeight="true" outlineLevel="0" collapsed="false"/>
    <row r="39" customFormat="false" ht="20.1" hidden="false" customHeight="true" outlineLevel="0" collapsed="false"/>
    <row r="40" customFormat="false" ht="20.1" hidden="false" customHeight="true" outlineLevel="0" collapsed="false"/>
    <row r="41" customFormat="false" ht="20.1" hidden="false" customHeight="true" outlineLevel="0" collapsed="false"/>
    <row r="42" customFormat="false" ht="20.1" hidden="false" customHeight="true" outlineLevel="0" collapsed="false"/>
  </sheetData>
  <mergeCells count="46">
    <mergeCell ref="A1:I1"/>
    <mergeCell ref="A2:I2"/>
    <mergeCell ref="A3:I3"/>
    <mergeCell ref="D6:D7"/>
    <mergeCell ref="E6:F7"/>
    <mergeCell ref="G6:G7"/>
    <mergeCell ref="H6:H7"/>
    <mergeCell ref="I6:I7"/>
    <mergeCell ref="B7:C7"/>
    <mergeCell ref="B8:C8"/>
    <mergeCell ref="D8:D11"/>
    <mergeCell ref="E8:E9"/>
    <mergeCell ref="F8:F9"/>
    <mergeCell ref="G8:G10"/>
    <mergeCell ref="B9:C9"/>
    <mergeCell ref="H9:H10"/>
    <mergeCell ref="I9:I10"/>
    <mergeCell ref="B10:C10"/>
    <mergeCell ref="E10:E11"/>
    <mergeCell ref="F10:F11"/>
    <mergeCell ref="G11:G13"/>
    <mergeCell ref="D12:E12"/>
    <mergeCell ref="H12:H13"/>
    <mergeCell ref="I12:I13"/>
    <mergeCell ref="D13:E13"/>
    <mergeCell ref="C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s>
  <printOptions headings="false" gridLines="false" gridLinesSet="true" horizontalCentered="true" verticalCentered="false"/>
  <pageMargins left="0.4330708661417323" right="0.4330708661417323" top="0.7874015748031497" bottom="0.7874015748031497" header="0.3937007874015748" footer="0.3937007874015748"/>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40"/>
  <sheetViews>
    <sheetView showFormulas="false" showGridLines="true" showRowColHeaders="true" showZeros="false" rightToLeft="false" tabSelected="false" showOutlineSymbols="true" defaultGridColor="true" view="normal" topLeftCell="A22" colorId="64" zoomScale="85" zoomScaleNormal="85" zoomScalePageLayoutView="85" workbookViewId="0">
      <selection pane="topLeft" activeCell="P16" activeCellId="0" sqref="P16"/>
    </sheetView>
  </sheetViews>
  <sheetFormatPr defaultColWidth="8.88671875" defaultRowHeight="13.5" customHeight="false" zeroHeight="false" outlineLevelRow="0" outlineLevelCol="0"/>
  <cols>
    <col collapsed="false" customWidth="true" hidden="false" outlineLevel="0" max="1" min="1" style="386" width="6.77"/>
    <col collapsed="false" customWidth="true" hidden="false" outlineLevel="0" max="3" min="2" style="386" width="3.77"/>
    <col collapsed="false" customWidth="true" hidden="false" outlineLevel="0" max="4" min="4" style="386" width="5.88"/>
    <col collapsed="false" customWidth="true" hidden="false" outlineLevel="0" max="5" min="5" style="386" width="7.1"/>
    <col collapsed="false" customWidth="true" hidden="false" outlineLevel="0" max="6" min="6" style="386" width="12.33"/>
    <col collapsed="false" customWidth="true" hidden="false" outlineLevel="0" max="7" min="7" style="387" width="7.66"/>
    <col collapsed="false" customWidth="true" hidden="false" outlineLevel="0" max="8" min="8" style="386" width="7.1"/>
    <col collapsed="false" customWidth="true" hidden="false" outlineLevel="0" max="9" min="9" style="386" width="4.33"/>
    <col collapsed="false" customWidth="true" hidden="false" outlineLevel="0" max="10" min="10" style="386" width="4.1"/>
    <col collapsed="false" customWidth="true" hidden="false" outlineLevel="0" max="11" min="11" style="386" width="7.1"/>
    <col collapsed="false" customWidth="true" hidden="false" outlineLevel="0" max="12" min="12" style="386" width="6.99"/>
    <col collapsed="false" customWidth="true" hidden="false" outlineLevel="0" max="13" min="13" style="386" width="9.88"/>
    <col collapsed="false" customWidth="true" hidden="false" outlineLevel="0" max="14" min="14" style="387" width="7.33"/>
    <col collapsed="false" customWidth="false" hidden="false" outlineLevel="0" max="257" min="15" style="386" width="8.88"/>
  </cols>
  <sheetData>
    <row r="1" customFormat="false" ht="13.5" hidden="false" customHeight="true" outlineLevel="0" collapsed="false">
      <c r="A1" s="388" t="s">
        <v>453</v>
      </c>
      <c r="B1" s="388"/>
      <c r="C1" s="388"/>
      <c r="D1" s="388"/>
      <c r="E1" s="388"/>
      <c r="F1" s="388"/>
      <c r="G1" s="388"/>
      <c r="H1" s="388"/>
      <c r="I1" s="388"/>
      <c r="J1" s="388"/>
      <c r="K1" s="388"/>
      <c r="L1" s="388"/>
      <c r="M1" s="388"/>
      <c r="N1" s="388"/>
    </row>
    <row r="2" customFormat="false" ht="17.25" hidden="false" customHeight="true" outlineLevel="0" collapsed="false">
      <c r="A2" s="389" t="s">
        <v>454</v>
      </c>
      <c r="B2" s="389"/>
      <c r="C2" s="389"/>
      <c r="D2" s="389"/>
      <c r="E2" s="390" t="s">
        <v>455</v>
      </c>
      <c r="F2" s="390"/>
      <c r="G2" s="391" t="s">
        <v>165</v>
      </c>
      <c r="H2" s="392"/>
      <c r="I2" s="392"/>
      <c r="J2" s="392"/>
      <c r="K2" s="392"/>
      <c r="L2" s="392"/>
      <c r="M2" s="392"/>
      <c r="N2" s="393"/>
    </row>
    <row r="3" customFormat="false" ht="17.25" hidden="false" customHeight="true" outlineLevel="0" collapsed="false">
      <c r="A3" s="389"/>
      <c r="B3" s="389"/>
      <c r="C3" s="389"/>
      <c r="D3" s="389"/>
      <c r="E3" s="394" t="s">
        <v>456</v>
      </c>
      <c r="F3" s="394"/>
      <c r="G3" s="391" t="inlineStr">
        <is>
          <t xml:space="preserve">[  ]</t>
        </is>
      </c>
      <c r="H3" s="394" t="s">
        <v>457</v>
      </c>
      <c r="I3" s="394"/>
      <c r="J3" s="394"/>
      <c r="K3" s="394"/>
      <c r="L3" s="395" t="s">
        <v>165</v>
      </c>
      <c r="M3" s="390" t="s">
        <v>458</v>
      </c>
      <c r="N3" s="390"/>
    </row>
    <row r="4" customFormat="false" ht="24.75" hidden="false" customHeight="true" outlineLevel="0" collapsed="false">
      <c r="A4" s="388" t="s">
        <v>459</v>
      </c>
      <c r="B4" s="388"/>
      <c r="C4" s="388"/>
      <c r="D4" s="388"/>
      <c r="E4" s="388"/>
      <c r="F4" s="388"/>
      <c r="G4" s="388"/>
      <c r="H4" s="388"/>
      <c r="I4" s="388"/>
      <c r="J4" s="388"/>
      <c r="K4" s="388"/>
      <c r="L4" s="388"/>
      <c r="M4" s="388"/>
      <c r="N4" s="388"/>
    </row>
    <row r="5" customFormat="false" ht="25.5" hidden="false" customHeight="true" outlineLevel="0" collapsed="false">
      <c r="A5" s="396" t="s">
        <v>460</v>
      </c>
      <c r="B5" s="396"/>
      <c r="C5" s="396"/>
      <c r="D5" s="396"/>
      <c r="E5" s="396"/>
      <c r="F5" s="396"/>
      <c r="G5" s="396"/>
      <c r="H5" s="396"/>
      <c r="I5" s="396"/>
      <c r="J5" s="396"/>
      <c r="K5" s="396"/>
      <c r="L5" s="396"/>
      <c r="M5" s="396"/>
      <c r="N5" s="396"/>
    </row>
    <row r="6" customFormat="false" ht="25.5" hidden="false" customHeight="true" outlineLevel="0" collapsed="false">
      <c r="A6" s="397" t="s">
        <v>461</v>
      </c>
      <c r="B6" s="397"/>
      <c r="C6" s="397"/>
      <c r="D6" s="397"/>
      <c r="E6" s="398">
        <f aca="false">개요!B14</f>
      </c>
      <c r="F6" s="398"/>
      <c r="G6" s="398"/>
      <c r="H6" s="398" t="s">
        <v>462</v>
      </c>
      <c r="I6" s="398"/>
      <c r="J6" s="398"/>
      <c r="K6" s="398"/>
      <c r="L6" s="399">
        <f aca="false">개요!B15</f>
      </c>
      <c r="M6" s="399"/>
      <c r="N6" s="399"/>
    </row>
    <row r="7" customFormat="false" ht="25.5" hidden="false" customHeight="true" outlineLevel="0" collapsed="false">
      <c r="A7" s="400" t="s">
        <v>463</v>
      </c>
      <c r="B7" s="400"/>
      <c r="C7" s="400"/>
      <c r="D7" s="400"/>
      <c r="E7" s="401">
        <f aca="false">개요!B16</f>
      </c>
      <c r="F7" s="401"/>
      <c r="G7" s="401"/>
      <c r="H7" s="401"/>
      <c r="I7" s="401"/>
      <c r="J7" s="401"/>
      <c r="K7" s="401"/>
      <c r="L7" s="401"/>
      <c r="M7" s="401"/>
      <c r="N7" s="401"/>
    </row>
    <row r="8" customFormat="false" ht="23.25" hidden="false" customHeight="true" outlineLevel="0" collapsed="false">
      <c r="A8" s="402" t="s">
        <v>464</v>
      </c>
      <c r="B8" s="402"/>
      <c r="C8" s="402"/>
      <c r="D8" s="402"/>
      <c r="E8" s="402"/>
      <c r="F8" s="402"/>
      <c r="G8" s="402"/>
      <c r="H8" s="402"/>
      <c r="I8" s="402"/>
      <c r="J8" s="402"/>
      <c r="K8" s="402"/>
      <c r="L8" s="402"/>
      <c r="M8" s="402"/>
      <c r="N8" s="402"/>
    </row>
    <row r="9" customFormat="false" ht="26.25" hidden="false" customHeight="true" outlineLevel="0" collapsed="false">
      <c r="A9" s="403" t="s">
        <v>158</v>
      </c>
      <c r="B9" s="404" t="s">
        <v>159</v>
      </c>
      <c r="C9" s="404"/>
      <c r="D9" s="404"/>
      <c r="E9" s="404"/>
      <c r="F9" s="404"/>
      <c r="G9" s="404" t="s">
        <v>160</v>
      </c>
      <c r="H9" s="404" t="s">
        <v>158</v>
      </c>
      <c r="I9" s="404" t="s">
        <v>159</v>
      </c>
      <c r="J9" s="404"/>
      <c r="K9" s="404"/>
      <c r="L9" s="404"/>
      <c r="M9" s="404"/>
      <c r="N9" s="405" t="s">
        <v>160</v>
      </c>
    </row>
    <row r="10" customFormat="false" ht="24" hidden="false" customHeight="true" outlineLevel="0" collapsed="false">
      <c r="A10" s="406" t="s">
        <v>161</v>
      </c>
      <c r="B10" s="407" t="str">
        <f aca="false">현황!C6</f>
        <v>[  ]</v>
      </c>
      <c r="C10" s="408" t="str">
        <f aca="false">현황!E6</f>
        <v>소화기구 및 자동소화장치</v>
      </c>
      <c r="D10" s="408"/>
      <c r="E10" s="408"/>
      <c r="F10" s="408"/>
      <c r="G10" s="409" t="s">
        <v>32</v>
      </c>
      <c r="H10" s="410" t="s">
        <v>164</v>
      </c>
      <c r="I10" s="407" t="str">
        <f aca="false">현황!Y6</f>
        <v>[  ]</v>
      </c>
      <c r="J10" s="408" t="str">
        <f aca="false">현황!AA6</f>
        <v>피난기구</v>
      </c>
      <c r="K10" s="408"/>
      <c r="L10" s="408"/>
      <c r="M10" s="408"/>
      <c r="N10" s="411" t="s">
        <v>32</v>
      </c>
      <c r="P10" s="387"/>
    </row>
    <row r="11" customFormat="false" ht="24" hidden="false" customHeight="true" outlineLevel="0" collapsed="false">
      <c r="A11" s="406"/>
      <c r="B11" s="412"/>
      <c r="C11" s="413" t="str">
        <f aca="false">현황!D7</f>
        <v>[  ]</v>
      </c>
      <c r="D11" s="414" t="str">
        <f aca="false">현황!F7</f>
        <v>소화기구(소화기,자확,간이)</v>
      </c>
      <c r="E11" s="414"/>
      <c r="F11" s="414"/>
      <c r="G11" s="398">
        <f aca="false">현황!S7</f>
      </c>
      <c r="H11" s="410"/>
      <c r="I11" s="415"/>
      <c r="J11" s="416" t="str">
        <f aca="false">현황!Z7</f>
        <v>[  ]</v>
      </c>
      <c r="K11" s="417" t="str">
        <f aca="false">현황!AB7</f>
        <v>공기안전매트·피난사다리</v>
      </c>
      <c r="L11" s="417"/>
      <c r="M11" s="417"/>
      <c r="N11" s="399">
        <f aca="false">현황!AO7</f>
      </c>
      <c r="P11" s="387"/>
    </row>
    <row r="12" customFormat="false" ht="24" hidden="false" customHeight="true" outlineLevel="0" collapsed="false">
      <c r="A12" s="406"/>
      <c r="B12" s="412"/>
      <c r="C12" s="413" t="str">
        <f aca="false">현황!D8</f>
        <v>[  ]</v>
      </c>
      <c r="D12" s="414" t="str">
        <f aca="false">현황!F8</f>
        <v>주거용주방자동소화장치</v>
      </c>
      <c r="E12" s="414"/>
      <c r="F12" s="414"/>
      <c r="G12" s="398">
        <f aca="false">현황!S8</f>
      </c>
      <c r="H12" s="410"/>
      <c r="I12" s="415"/>
      <c r="J12" s="416" t="n">
        <f aca="false">현황!Z8</f>
        <v>0</v>
      </c>
      <c r="K12" s="417" t="str">
        <f aca="false">현황!AB8</f>
        <v>(간이)완강기·미끄럼대·구조대</v>
      </c>
      <c r="L12" s="417"/>
      <c r="M12" s="417"/>
      <c r="N12" s="399" t="n">
        <f aca="false">현황!AO8</f>
        <v>0</v>
      </c>
    </row>
    <row r="13" customFormat="false" ht="24" hidden="false" customHeight="true" outlineLevel="0" collapsed="false">
      <c r="A13" s="406"/>
      <c r="B13" s="412"/>
      <c r="C13" s="413" t="str">
        <f aca="false">현황!D9</f>
        <v>[  ]</v>
      </c>
      <c r="D13" s="414" t="str">
        <f aca="false">현황!F9</f>
        <v>상업용주방자동소화장치</v>
      </c>
      <c r="E13" s="414"/>
      <c r="F13" s="414"/>
      <c r="G13" s="398">
        <f aca="false">현황!S9</f>
      </c>
      <c r="H13" s="410"/>
      <c r="I13" s="415"/>
      <c r="J13" s="416" t="str">
        <f aca="false">현황!Z9</f>
        <v>[  ]</v>
      </c>
      <c r="K13" s="417" t="str">
        <f aca="false">현황!AB9</f>
        <v>다수인피난장비</v>
      </c>
      <c r="L13" s="417"/>
      <c r="M13" s="417"/>
      <c r="N13" s="399">
        <f aca="false">현황!AO9</f>
      </c>
    </row>
    <row r="14" customFormat="false" ht="24" hidden="false" customHeight="true" outlineLevel="0" collapsed="false">
      <c r="A14" s="406"/>
      <c r="B14" s="412"/>
      <c r="C14" s="413" t="str">
        <f aca="false">현황!D10</f>
        <v>[  ]</v>
      </c>
      <c r="D14" s="414" t="str">
        <f aca="false">현황!F10</f>
        <v>캐비닛형자동소화장치</v>
      </c>
      <c r="E14" s="414"/>
      <c r="F14" s="414"/>
      <c r="G14" s="398">
        <f aca="false">현황!S10</f>
      </c>
      <c r="H14" s="410"/>
      <c r="I14" s="415"/>
      <c r="J14" s="416" t="str">
        <f aca="false">현황!Z10</f>
        <v>[  ]</v>
      </c>
      <c r="K14" s="417" t="str">
        <f aca="false">현황!AB10</f>
        <v>승강식피난기</v>
      </c>
      <c r="L14" s="417"/>
      <c r="M14" s="417"/>
      <c r="N14" s="399">
        <f aca="false">현황!AO10</f>
      </c>
    </row>
    <row r="15" customFormat="false" ht="24" hidden="false" customHeight="true" outlineLevel="0" collapsed="false">
      <c r="A15" s="406"/>
      <c r="B15" s="418"/>
      <c r="C15" s="419" t="str">
        <f aca="false">현황!D11</f>
        <v>[  ]</v>
      </c>
      <c r="D15" s="420" t="str">
        <f aca="false">현황!F11</f>
        <v>가스·분말·고체자동소화장치</v>
      </c>
      <c r="E15" s="420"/>
      <c r="F15" s="420"/>
      <c r="G15" s="398">
        <f aca="false">현황!S11</f>
      </c>
      <c r="H15" s="410"/>
      <c r="I15" s="421"/>
      <c r="J15" s="422" t="n">
        <f aca="false">현황!Z11</f>
        <v>0</v>
      </c>
      <c r="K15" s="423" t="str">
        <f aca="false">현황!AB11</f>
        <v>하향식피난구용내림식사다리</v>
      </c>
      <c r="L15" s="423"/>
      <c r="M15" s="423"/>
      <c r="N15" s="399" t="n">
        <f aca="false">현황!AO11</f>
        <v>0</v>
      </c>
    </row>
    <row r="16" customFormat="false" ht="24" hidden="false" customHeight="true" outlineLevel="0" collapsed="false">
      <c r="A16" s="406"/>
      <c r="B16" s="410" t="str">
        <f aca="false">현황!C12</f>
        <v>[  ]</v>
      </c>
      <c r="C16" s="424" t="str">
        <f aca="false">현황!E12</f>
        <v>옥내소화전설비</v>
      </c>
      <c r="D16" s="424"/>
      <c r="E16" s="424"/>
      <c r="F16" s="424"/>
      <c r="G16" s="398">
        <f aca="false">현황!S12</f>
      </c>
      <c r="H16" s="410"/>
      <c r="I16" s="410" t="str">
        <f aca="false">현황!Y12</f>
        <v>[  ]</v>
      </c>
      <c r="J16" s="424" t="str">
        <f aca="false">현황!AA12</f>
        <v>인명구조기구</v>
      </c>
      <c r="K16" s="424"/>
      <c r="L16" s="424"/>
      <c r="M16" s="424"/>
      <c r="N16" s="399">
        <f aca="false">현황!AO12</f>
      </c>
    </row>
    <row r="17" customFormat="false" ht="24" hidden="false" customHeight="true" outlineLevel="0" collapsed="false">
      <c r="A17" s="406"/>
      <c r="B17" s="410" t="str">
        <f aca="false">현황!C13</f>
        <v>[  ]</v>
      </c>
      <c r="C17" s="424" t="str">
        <f aca="false">현황!E13</f>
        <v>스프링클러설비</v>
      </c>
      <c r="D17" s="424"/>
      <c r="E17" s="424"/>
      <c r="F17" s="424"/>
      <c r="G17" s="398">
        <f aca="false">현황!S13</f>
      </c>
      <c r="H17" s="410"/>
      <c r="I17" s="410" t="str">
        <f aca="false">현황!Y13</f>
        <v>[  ]</v>
      </c>
      <c r="J17" s="424" t="str">
        <f aca="false">현황!AA13</f>
        <v>유도등</v>
      </c>
      <c r="K17" s="424"/>
      <c r="L17" s="424"/>
      <c r="M17" s="424"/>
      <c r="N17" s="399">
        <f aca="false">현황!AO13</f>
      </c>
    </row>
    <row r="18" customFormat="false" ht="24" hidden="false" customHeight="true" outlineLevel="0" collapsed="false">
      <c r="A18" s="406"/>
      <c r="B18" s="410" t="str">
        <f aca="false">현황!C14</f>
        <v>[  ]</v>
      </c>
      <c r="C18" s="424" t="str">
        <f aca="false">현황!E14</f>
        <v>간이스프링클러설비</v>
      </c>
      <c r="D18" s="424"/>
      <c r="E18" s="424"/>
      <c r="F18" s="424"/>
      <c r="G18" s="398">
        <f aca="false">현황!S14</f>
      </c>
      <c r="H18" s="410"/>
      <c r="I18" s="410" t="str">
        <f aca="false">현황!Y14</f>
        <v>[  ]</v>
      </c>
      <c r="J18" s="424" t="str">
        <f aca="false">현황!AA14</f>
        <v>유도표지</v>
      </c>
      <c r="K18" s="424"/>
      <c r="L18" s="424"/>
      <c r="M18" s="424"/>
      <c r="N18" s="399">
        <f aca="false">현황!AO14</f>
      </c>
    </row>
    <row r="19" customFormat="false" ht="24" hidden="false" customHeight="true" outlineLevel="0" collapsed="false">
      <c r="A19" s="406"/>
      <c r="B19" s="410" t="str">
        <f aca="false">현황!C15</f>
        <v>[  ]</v>
      </c>
      <c r="C19" s="424" t="str">
        <f aca="false">현황!E15</f>
        <v>화재조기진압용스프링클러설비</v>
      </c>
      <c r="D19" s="424"/>
      <c r="E19" s="424"/>
      <c r="F19" s="424"/>
      <c r="G19" s="398">
        <f aca="false">현황!S15</f>
      </c>
      <c r="H19" s="410"/>
      <c r="I19" s="410" t="str">
        <f aca="false">현황!Y15</f>
        <v>[  ]</v>
      </c>
      <c r="J19" s="424" t="str">
        <f aca="false">현황!AA15</f>
        <v>피난유도선</v>
      </c>
      <c r="K19" s="424"/>
      <c r="L19" s="424"/>
      <c r="M19" s="424"/>
      <c r="N19" s="399">
        <f aca="false">현황!AO15</f>
      </c>
    </row>
    <row r="20" customFormat="false" ht="24" hidden="false" customHeight="true" outlineLevel="0" collapsed="false">
      <c r="A20" s="406"/>
      <c r="B20" s="410" t="str">
        <f aca="false">현황!C16</f>
        <v>[  ]</v>
      </c>
      <c r="C20" s="424" t="str">
        <f aca="false">현황!E16</f>
        <v>물분무소화설비</v>
      </c>
      <c r="D20" s="424"/>
      <c r="E20" s="424"/>
      <c r="F20" s="424"/>
      <c r="G20" s="398">
        <f aca="false">현황!S16</f>
      </c>
      <c r="H20" s="410"/>
      <c r="I20" s="410" t="str">
        <f aca="false">현황!Y16</f>
        <v>[  ]</v>
      </c>
      <c r="J20" s="424" t="str">
        <f aca="false">현황!AA16</f>
        <v>비상조명등</v>
      </c>
      <c r="K20" s="424"/>
      <c r="L20" s="424"/>
      <c r="M20" s="424"/>
      <c r="N20" s="399">
        <f aca="false">현황!AO16</f>
      </c>
    </row>
    <row r="21" customFormat="false" ht="24" hidden="false" customHeight="true" outlineLevel="0" collapsed="false">
      <c r="A21" s="406"/>
      <c r="B21" s="410" t="str">
        <f aca="false">현황!C17</f>
        <v>[  ]</v>
      </c>
      <c r="C21" s="424" t="str">
        <f aca="false">현황!E17</f>
        <v>미분무소화설비</v>
      </c>
      <c r="D21" s="424"/>
      <c r="E21" s="424"/>
      <c r="F21" s="424"/>
      <c r="G21" s="398">
        <f aca="false">현황!S17</f>
      </c>
      <c r="H21" s="410"/>
      <c r="I21" s="410" t="str">
        <f aca="false">현황!Y17</f>
        <v>[  ]</v>
      </c>
      <c r="J21" s="424" t="str">
        <f aca="false">현황!AA17</f>
        <v>휴대용비상조명등</v>
      </c>
      <c r="K21" s="424"/>
      <c r="L21" s="424"/>
      <c r="M21" s="424"/>
      <c r="N21" s="399">
        <f aca="false">현황!AO17</f>
      </c>
    </row>
    <row r="22" customFormat="false" ht="24" hidden="false" customHeight="true" outlineLevel="0" collapsed="false">
      <c r="A22" s="406"/>
      <c r="B22" s="410" t="str">
        <f aca="false">현황!C18</f>
        <v>[  ]</v>
      </c>
      <c r="C22" s="424" t="str">
        <f aca="false">현황!E18</f>
        <v>포소화설비</v>
      </c>
      <c r="D22" s="424"/>
      <c r="E22" s="424"/>
      <c r="F22" s="424"/>
      <c r="G22" s="398">
        <f aca="false">현황!S18</f>
      </c>
      <c r="H22" s="410" t="s">
        <v>465</v>
      </c>
      <c r="I22" s="410" t="str">
        <f aca="false">현황!Y18</f>
        <v>[  ]</v>
      </c>
      <c r="J22" s="424" t="str">
        <f aca="false">현황!AA18</f>
        <v>상수도소화용수설비</v>
      </c>
      <c r="K22" s="424"/>
      <c r="L22" s="424"/>
      <c r="M22" s="424"/>
      <c r="N22" s="399">
        <f aca="false">현황!AO18</f>
      </c>
    </row>
    <row r="23" customFormat="false" ht="24" hidden="false" customHeight="true" outlineLevel="0" collapsed="false">
      <c r="A23" s="406"/>
      <c r="B23" s="410" t="str">
        <f aca="false">현황!C19</f>
        <v>[  ]</v>
      </c>
      <c r="C23" s="424" t="str">
        <f aca="false">현황!E19</f>
        <v>이산화탄소소화설비</v>
      </c>
      <c r="D23" s="424"/>
      <c r="E23" s="424"/>
      <c r="F23" s="424"/>
      <c r="G23" s="398">
        <f aca="false">현황!S19</f>
      </c>
      <c r="H23" s="410"/>
      <c r="I23" s="410" t="str">
        <f aca="false">현황!Y19</f>
        <v>[  ]</v>
      </c>
      <c r="J23" s="424" t="str">
        <f aca="false">현황!AA19</f>
        <v>소화수조 및 저수조</v>
      </c>
      <c r="K23" s="424"/>
      <c r="L23" s="424"/>
      <c r="M23" s="424"/>
      <c r="N23" s="399">
        <f aca="false">현황!AO19</f>
      </c>
    </row>
    <row r="24" customFormat="false" ht="24" hidden="false" customHeight="true" outlineLevel="0" collapsed="false">
      <c r="A24" s="406"/>
      <c r="B24" s="410" t="str">
        <f aca="false">현황!C20</f>
        <v>[  ]</v>
      </c>
      <c r="C24" s="424" t="str">
        <f aca="false">현황!E20</f>
        <v>할론소화설비</v>
      </c>
      <c r="D24" s="424"/>
      <c r="E24" s="424"/>
      <c r="F24" s="424"/>
      <c r="G24" s="398">
        <f aca="false">현황!S20</f>
      </c>
      <c r="H24" s="410" t="s">
        <v>195</v>
      </c>
      <c r="I24" s="410" t="str">
        <f aca="false">현황!Y20</f>
        <v>[  ]</v>
      </c>
      <c r="J24" s="424" t="str">
        <f aca="false">현황!AA20</f>
        <v>거실제연설비</v>
      </c>
      <c r="K24" s="424"/>
      <c r="L24" s="424"/>
      <c r="M24" s="424"/>
      <c r="N24" s="399">
        <f aca="false">현황!AO20</f>
      </c>
    </row>
    <row r="25" customFormat="false" ht="24" hidden="false" customHeight="true" outlineLevel="0" collapsed="false">
      <c r="A25" s="406"/>
      <c r="B25" s="410" t="str">
        <f aca="false">현황!C21</f>
        <v>[  ]</v>
      </c>
      <c r="C25" s="424" t="str">
        <f aca="false">현황!E21</f>
        <v>할로겐화합물 및 불활성기체 소화설비</v>
      </c>
      <c r="D25" s="424"/>
      <c r="E25" s="424"/>
      <c r="F25" s="424"/>
      <c r="G25" s="398">
        <f aca="false">현황!S21</f>
      </c>
      <c r="H25" s="410"/>
      <c r="I25" s="410" t="str">
        <f aca="false">현황!Y21</f>
        <v>[  ]</v>
      </c>
      <c r="J25" s="424" t="str">
        <f aca="false">현황!AA21</f>
        <v>부속실 등 제연설비</v>
      </c>
      <c r="K25" s="424"/>
      <c r="L25" s="424"/>
      <c r="M25" s="424"/>
      <c r="N25" s="399">
        <f aca="false">현황!AO21</f>
      </c>
    </row>
    <row r="26" customFormat="false" ht="24" hidden="false" customHeight="true" outlineLevel="0" collapsed="false">
      <c r="A26" s="406"/>
      <c r="B26" s="410" t="str">
        <f aca="false">현황!C22</f>
        <v>[  ]</v>
      </c>
      <c r="C26" s="424" t="str">
        <f aca="false">현황!E22</f>
        <v>분말소화설비</v>
      </c>
      <c r="D26" s="424"/>
      <c r="E26" s="424"/>
      <c r="F26" s="424"/>
      <c r="G26" s="398">
        <f aca="false">현황!S22</f>
      </c>
      <c r="H26" s="410"/>
      <c r="I26" s="410" t="str">
        <f aca="false">현황!Y22</f>
        <v>[  ]</v>
      </c>
      <c r="J26" s="424" t="str">
        <f aca="false">현황!AA22</f>
        <v>연결송수관설비</v>
      </c>
      <c r="K26" s="424"/>
      <c r="L26" s="424"/>
      <c r="M26" s="424"/>
      <c r="N26" s="399">
        <f aca="false">현황!AO22</f>
      </c>
    </row>
    <row r="27" customFormat="false" ht="24" hidden="false" customHeight="true" outlineLevel="0" collapsed="false">
      <c r="A27" s="406"/>
      <c r="B27" s="410" t="str">
        <f aca="false">현황!C23</f>
        <v>[  ]</v>
      </c>
      <c r="C27" s="424" t="str">
        <f aca="false">현황!E23</f>
        <v>강화액소화설비</v>
      </c>
      <c r="D27" s="424"/>
      <c r="E27" s="424"/>
      <c r="F27" s="424"/>
      <c r="G27" s="398">
        <f aca="false">현황!S23</f>
      </c>
      <c r="H27" s="410"/>
      <c r="I27" s="410" t="str">
        <f aca="false">현황!Y23</f>
        <v>[  ]</v>
      </c>
      <c r="J27" s="424" t="str">
        <f aca="false">현황!AA23</f>
        <v>연결살수설비</v>
      </c>
      <c r="K27" s="424"/>
      <c r="L27" s="424"/>
      <c r="M27" s="424"/>
      <c r="N27" s="399">
        <f aca="false">현황!AO23</f>
      </c>
    </row>
    <row r="28" customFormat="false" ht="24" hidden="false" customHeight="true" outlineLevel="0" collapsed="false">
      <c r="A28" s="406"/>
      <c r="B28" s="410" t="str">
        <f aca="false">현황!C24</f>
        <v>[  ]</v>
      </c>
      <c r="C28" s="424" t="str">
        <f aca="false">현황!E24</f>
        <v>고체에어로졸소화설비</v>
      </c>
      <c r="D28" s="424"/>
      <c r="E28" s="424"/>
      <c r="F28" s="424"/>
      <c r="G28" s="398">
        <f aca="false">현황!S24</f>
      </c>
      <c r="H28" s="410"/>
      <c r="I28" s="410" t="str">
        <f aca="false">현황!Y24</f>
        <v>[  ]</v>
      </c>
      <c r="J28" s="424" t="str">
        <f aca="false">현황!AA24</f>
        <v>비상콘센트설비</v>
      </c>
      <c r="K28" s="424"/>
      <c r="L28" s="424"/>
      <c r="M28" s="424"/>
      <c r="N28" s="399">
        <f aca="false">현황!AO24</f>
      </c>
    </row>
    <row r="29" customFormat="false" ht="24" hidden="false" customHeight="true" outlineLevel="0" collapsed="false">
      <c r="A29" s="406"/>
      <c r="B29" s="410" t="str">
        <f aca="false">현황!C25</f>
        <v>[  ]</v>
      </c>
      <c r="C29" s="424" t="str">
        <f aca="false">현황!E25</f>
        <v>옥외소화전설비</v>
      </c>
      <c r="D29" s="424"/>
      <c r="E29" s="424"/>
      <c r="F29" s="424"/>
      <c r="G29" s="398">
        <f aca="false">현황!S25</f>
      </c>
      <c r="H29" s="410"/>
      <c r="I29" s="410" t="str">
        <f aca="false">현황!Y25</f>
        <v>[  ]</v>
      </c>
      <c r="J29" s="424" t="str">
        <f aca="false">현황!AA25</f>
        <v>무선통신보조설비</v>
      </c>
      <c r="K29" s="424"/>
      <c r="L29" s="424"/>
      <c r="M29" s="424"/>
      <c r="N29" s="399">
        <f aca="false">현황!AO25</f>
      </c>
    </row>
    <row r="30" customFormat="false" ht="24" hidden="false" customHeight="true" outlineLevel="0" collapsed="false">
      <c r="A30" s="400" t="s">
        <v>207</v>
      </c>
      <c r="B30" s="410" t="str">
        <f aca="false">현황!C26</f>
        <v>[  ]</v>
      </c>
      <c r="C30" s="424" t="str">
        <f aca="false">현황!E26</f>
        <v>단독경보형감지기</v>
      </c>
      <c r="D30" s="424"/>
      <c r="E30" s="424"/>
      <c r="F30" s="424"/>
      <c r="G30" s="398">
        <f aca="false">현황!S26</f>
      </c>
      <c r="H30" s="410"/>
      <c r="I30" s="410" t="str">
        <f aca="false">현황!Y26</f>
        <v>[  ]</v>
      </c>
      <c r="J30" s="424" t="str">
        <f aca="false">현황!AA26</f>
        <v>연소방지설비</v>
      </c>
      <c r="K30" s="424"/>
      <c r="L30" s="424"/>
      <c r="M30" s="424"/>
      <c r="N30" s="399">
        <f aca="false">현황!AO26</f>
      </c>
    </row>
    <row r="31" customFormat="false" ht="24" hidden="false" customHeight="true" outlineLevel="0" collapsed="false">
      <c r="A31" s="400"/>
      <c r="B31" s="410" t="str">
        <f aca="false">현황!C27</f>
        <v>[  ]</v>
      </c>
      <c r="C31" s="424" t="str">
        <f aca="false">현황!E27</f>
        <v>비상경보설비</v>
      </c>
      <c r="D31" s="424"/>
      <c r="E31" s="424"/>
      <c r="F31" s="424"/>
      <c r="G31" s="398">
        <f aca="false">현황!S27</f>
      </c>
      <c r="H31" s="398" t="s">
        <v>466</v>
      </c>
      <c r="I31" s="410" t="str">
        <f aca="false">현황!Y27</f>
        <v>[  ]</v>
      </c>
      <c r="J31" s="424" t="str">
        <f aca="false">현황!AA27</f>
        <v>방화문, 방화셔터</v>
      </c>
      <c r="K31" s="424"/>
      <c r="L31" s="424"/>
      <c r="M31" s="424"/>
      <c r="N31" s="399">
        <f aca="false">현황!AO27</f>
      </c>
    </row>
    <row r="32" customFormat="false" ht="24" hidden="false" customHeight="true" outlineLevel="0" collapsed="false">
      <c r="A32" s="400"/>
      <c r="B32" s="410" t="str">
        <f aca="false">현황!C28</f>
        <v>[  ]</v>
      </c>
      <c r="C32" s="424" t="str">
        <f aca="false">현황!E28</f>
        <v>자동화재탐지설비 및 시각경보기</v>
      </c>
      <c r="D32" s="424"/>
      <c r="E32" s="424"/>
      <c r="F32" s="424"/>
      <c r="G32" s="398">
        <f aca="false">현황!S28</f>
      </c>
      <c r="H32" s="398"/>
      <c r="I32" s="410" t="str">
        <f aca="false">현황!Y28</f>
        <v>[  ]</v>
      </c>
      <c r="J32" s="424" t="str">
        <f aca="false">현황!AA28</f>
        <v>비상구, 피난통로</v>
      </c>
      <c r="K32" s="424"/>
      <c r="L32" s="424"/>
      <c r="M32" s="424"/>
      <c r="N32" s="399">
        <f aca="false">현황!AO28</f>
      </c>
    </row>
    <row r="33" customFormat="false" ht="24" hidden="false" customHeight="true" outlineLevel="0" collapsed="false">
      <c r="A33" s="400"/>
      <c r="B33" s="410" t="str">
        <f aca="false">현황!C29</f>
        <v>[  ]</v>
      </c>
      <c r="C33" s="424" t="str">
        <f aca="false">현황!E29</f>
        <v>비상방송설비</v>
      </c>
      <c r="D33" s="424"/>
      <c r="E33" s="424"/>
      <c r="F33" s="424"/>
      <c r="G33" s="398">
        <f aca="false">현황!S29</f>
      </c>
      <c r="H33" s="398"/>
      <c r="I33" s="410" t="str">
        <f aca="false">현황!Y29</f>
        <v>[  ]</v>
      </c>
      <c r="J33" s="424" t="str">
        <f aca="false">현황!AA29</f>
        <v>방  염</v>
      </c>
      <c r="K33" s="424"/>
      <c r="L33" s="424"/>
      <c r="M33" s="424"/>
      <c r="N33" s="399">
        <f aca="false">현황!AO29</f>
      </c>
    </row>
    <row r="34" customFormat="false" ht="24" hidden="false" customHeight="true" outlineLevel="0" collapsed="false">
      <c r="A34" s="400"/>
      <c r="B34" s="410" t="str">
        <f aca="false">현황!C30</f>
        <v>[  ]</v>
      </c>
      <c r="C34" s="424" t="str">
        <f aca="false">현황!E30</f>
        <v>통합감시시설</v>
      </c>
      <c r="D34" s="424"/>
      <c r="E34" s="424"/>
      <c r="F34" s="424"/>
      <c r="G34" s="398">
        <f aca="false">현황!S30</f>
      </c>
      <c r="H34" s="425" t="s">
        <v>467</v>
      </c>
      <c r="I34" s="426"/>
      <c r="J34" s="426"/>
      <c r="K34" s="426"/>
      <c r="L34" s="426"/>
      <c r="M34" s="426"/>
      <c r="N34" s="426"/>
    </row>
    <row r="35" customFormat="false" ht="24" hidden="false" customHeight="true" outlineLevel="0" collapsed="false">
      <c r="A35" s="400"/>
      <c r="B35" s="410" t="str">
        <f aca="false">현황!C31</f>
        <v>[  ]</v>
      </c>
      <c r="C35" s="424" t="str">
        <f aca="false">현황!E31</f>
        <v>자동화재속보설비</v>
      </c>
      <c r="D35" s="424"/>
      <c r="E35" s="424"/>
      <c r="F35" s="424"/>
      <c r="G35" s="398">
        <f aca="false">현황!S31</f>
      </c>
      <c r="H35" s="425"/>
      <c r="I35" s="425"/>
      <c r="J35" s="426"/>
      <c r="K35" s="426"/>
      <c r="L35" s="426"/>
      <c r="M35" s="426"/>
      <c r="N35" s="426"/>
    </row>
    <row r="36" customFormat="false" ht="24" hidden="false" customHeight="true" outlineLevel="0" collapsed="false">
      <c r="A36" s="400"/>
      <c r="B36" s="410" t="str">
        <f aca="false">현황!C32</f>
        <v>[  ]</v>
      </c>
      <c r="C36" s="424" t="str">
        <f aca="false">현황!E32</f>
        <v>누전경보기</v>
      </c>
      <c r="D36" s="424"/>
      <c r="E36" s="424"/>
      <c r="F36" s="424"/>
      <c r="G36" s="398">
        <f aca="false">현황!S32</f>
      </c>
      <c r="H36" s="425"/>
      <c r="I36" s="425"/>
      <c r="J36" s="426"/>
      <c r="K36" s="426"/>
      <c r="L36" s="426"/>
      <c r="M36" s="426"/>
      <c r="N36" s="426"/>
    </row>
    <row r="37" customFormat="false" ht="24" hidden="false" customHeight="true" outlineLevel="0" collapsed="false">
      <c r="A37" s="400"/>
      <c r="B37" s="427" t="str">
        <f aca="false">현황!C33</f>
        <v>[  ]</v>
      </c>
      <c r="C37" s="428" t="str">
        <f aca="false">현황!E33</f>
        <v>가스누설경보기</v>
      </c>
      <c r="D37" s="428"/>
      <c r="E37" s="428"/>
      <c r="F37" s="428"/>
      <c r="G37" s="425">
        <f aca="false">현황!S33</f>
      </c>
      <c r="H37" s="425"/>
      <c r="I37" s="425"/>
      <c r="J37" s="426"/>
      <c r="K37" s="426"/>
      <c r="L37" s="426"/>
      <c r="M37" s="426"/>
      <c r="N37" s="426"/>
    </row>
    <row r="38" customFormat="false" ht="14.1" hidden="false" customHeight="true" outlineLevel="0" collapsed="false">
      <c r="A38" s="429"/>
      <c r="B38" s="429"/>
      <c r="C38" s="429"/>
      <c r="D38" s="429"/>
      <c r="E38" s="429"/>
      <c r="F38" s="429"/>
      <c r="G38" s="429"/>
    </row>
    <row r="39" customFormat="false" ht="14.1" hidden="false" customHeight="true" outlineLevel="0" collapsed="false">
      <c r="G39" s="386"/>
      <c r="N39" s="386"/>
    </row>
    <row r="40" customFormat="false" ht="14.1" hidden="false" customHeight="true" outlineLevel="0" collapsed="false">
      <c r="G40" s="386"/>
      <c r="N40" s="386"/>
    </row>
  </sheetData>
  <mergeCells count="78">
    <mergeCell ref="A1:N1"/>
    <mergeCell ref="A2:D3"/>
    <mergeCell ref="E2:F2"/>
    <mergeCell ref="E3:F3"/>
    <mergeCell ref="H3:K3"/>
    <mergeCell ref="M3:N3"/>
    <mergeCell ref="A4:N4"/>
    <mergeCell ref="A5:N5"/>
    <mergeCell ref="A6:D6"/>
    <mergeCell ref="E6:G6"/>
    <mergeCell ref="H6:K6"/>
    <mergeCell ref="L6:N6"/>
    <mergeCell ref="A7:D7"/>
    <mergeCell ref="E7:N7"/>
    <mergeCell ref="A8:N8"/>
    <mergeCell ref="B9:F9"/>
    <mergeCell ref="I9:M9"/>
    <mergeCell ref="A10:A29"/>
    <mergeCell ref="C10:F10"/>
    <mergeCell ref="H10:H21"/>
    <mergeCell ref="J10:M10"/>
    <mergeCell ref="D11:F11"/>
    <mergeCell ref="K11:M11"/>
    <mergeCell ref="D12:F12"/>
    <mergeCell ref="K12:M12"/>
    <mergeCell ref="D13:F13"/>
    <mergeCell ref="K13:M13"/>
    <mergeCell ref="D14:F14"/>
    <mergeCell ref="K14:M14"/>
    <mergeCell ref="D15:F15"/>
    <mergeCell ref="K15:M15"/>
    <mergeCell ref="C16:F16"/>
    <mergeCell ref="J16:M16"/>
    <mergeCell ref="C17:F17"/>
    <mergeCell ref="J17:M17"/>
    <mergeCell ref="C18:F18"/>
    <mergeCell ref="J18:M18"/>
    <mergeCell ref="C19:F19"/>
    <mergeCell ref="J19:M19"/>
    <mergeCell ref="C20:F20"/>
    <mergeCell ref="J20:M20"/>
    <mergeCell ref="C21:F21"/>
    <mergeCell ref="J21:M21"/>
    <mergeCell ref="C22:F22"/>
    <mergeCell ref="H22:H23"/>
    <mergeCell ref="J22:M22"/>
    <mergeCell ref="C23:F23"/>
    <mergeCell ref="J23:M23"/>
    <mergeCell ref="C24:F24"/>
    <mergeCell ref="H24:H30"/>
    <mergeCell ref="J24:M24"/>
    <mergeCell ref="C25:F25"/>
    <mergeCell ref="J25:M25"/>
    <mergeCell ref="C26:F26"/>
    <mergeCell ref="J26:M26"/>
    <mergeCell ref="C27:F27"/>
    <mergeCell ref="J27:M27"/>
    <mergeCell ref="C28:F28"/>
    <mergeCell ref="J28:M28"/>
    <mergeCell ref="C29:F29"/>
    <mergeCell ref="J29:M29"/>
    <mergeCell ref="A30:A37"/>
    <mergeCell ref="C30:F30"/>
    <mergeCell ref="J30:M30"/>
    <mergeCell ref="C31:F31"/>
    <mergeCell ref="H31:H33"/>
    <mergeCell ref="J31:M31"/>
    <mergeCell ref="C32:F32"/>
    <mergeCell ref="J32:M32"/>
    <mergeCell ref="C33:F33"/>
    <mergeCell ref="J33:M33"/>
    <mergeCell ref="C34:F34"/>
    <mergeCell ref="H34:H37"/>
    <mergeCell ref="I34:N37"/>
    <mergeCell ref="C35:F35"/>
    <mergeCell ref="C36:F36"/>
    <mergeCell ref="C37:F37"/>
    <mergeCell ref="A38:G38"/>
  </mergeCells>
  <printOptions headings="false" gridLines="false" gridLinesSet="true" horizontalCentered="false" verticalCentered="false"/>
  <pageMargins left="0.3937007874015748" right="0.19" top="0.3" bottom="0.21" header="0.31496062992125984" footer="0.23"/>
  <pageSetup paperSize="9" scale="9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false" rightToLeft="false" tabSelected="false" showOutlineSymbols="true" defaultGridColor="true" view="normal" topLeftCell="A1" colorId="64" zoomScale="85" zoomScaleNormal="85" zoomScalePageLayoutView="100" workbookViewId="0">
      <selection pane="topLeft" activeCell="A19" activeCellId="0" sqref="A19:C19"/>
    </sheetView>
  </sheetViews>
  <sheetFormatPr defaultColWidth="8.88671875" defaultRowHeight="13.5" customHeight="false" zeroHeight="false" outlineLevelRow="0" outlineLevelCol="0"/>
  <cols>
    <col collapsed="false" customWidth="true" hidden="false" outlineLevel="0" max="1" min="1" style="386" width="5.78"/>
    <col collapsed="false" customWidth="true" hidden="false" outlineLevel="0" max="2" min="2" style="386" width="4.55"/>
    <col collapsed="false" customWidth="true" hidden="false" outlineLevel="0" max="3" min="3" style="386" width="6.44"/>
    <col collapsed="false" customWidth="true" hidden="false" outlineLevel="0" max="4" min="4" style="386" width="7.77"/>
    <col collapsed="false" customWidth="true" hidden="false" outlineLevel="0" max="5" min="5" style="386" width="13.88"/>
    <col collapsed="false" customWidth="true" hidden="false" outlineLevel="0" max="6" min="6" style="387" width="8.1"/>
    <col collapsed="false" customWidth="true" hidden="false" outlineLevel="0" max="7" min="7" style="386" width="6.77"/>
    <col collapsed="false" customWidth="true" hidden="false" outlineLevel="0" max="8" min="8" style="386" width="4.55"/>
    <col collapsed="false" customWidth="true" hidden="false" outlineLevel="0" max="9" min="9" style="386" width="4.1"/>
    <col collapsed="false" customWidth="true" hidden="false" outlineLevel="0" max="10" min="10" style="386" width="24.21"/>
    <col collapsed="false" customWidth="true" hidden="false" outlineLevel="0" max="11" min="11" style="387" width="8.33"/>
    <col collapsed="false" customWidth="false" hidden="false" outlineLevel="0" max="257" min="12" style="386" width="8.88"/>
  </cols>
  <sheetData>
    <row r="1" customFormat="false" ht="29.25" hidden="false" customHeight="true" outlineLevel="0" collapsed="false">
      <c r="A1" s="402" t="s">
        <v>468</v>
      </c>
      <c r="B1" s="402"/>
      <c r="C1" s="402"/>
      <c r="D1" s="402"/>
      <c r="E1" s="402"/>
      <c r="F1" s="402"/>
      <c r="G1" s="402"/>
      <c r="H1" s="402"/>
      <c r="I1" s="402"/>
      <c r="J1" s="402"/>
      <c r="K1" s="402"/>
    </row>
    <row r="2" customFormat="false" ht="26.25" hidden="false" customHeight="true" outlineLevel="0" collapsed="false">
      <c r="A2" s="403" t="s">
        <v>158</v>
      </c>
      <c r="B2" s="403"/>
      <c r="C2" s="404" t="s">
        <v>159</v>
      </c>
      <c r="D2" s="404"/>
      <c r="E2" s="404"/>
      <c r="F2" s="404" t="s">
        <v>160</v>
      </c>
      <c r="G2" s="404" t="s">
        <v>158</v>
      </c>
      <c r="H2" s="404"/>
      <c r="I2" s="404" t="s">
        <v>159</v>
      </c>
      <c r="J2" s="404"/>
      <c r="K2" s="405" t="s">
        <v>160</v>
      </c>
    </row>
    <row r="3" customFormat="false" ht="26.25" hidden="false" customHeight="true" outlineLevel="0" collapsed="false">
      <c r="A3" s="430" t="s">
        <v>161</v>
      </c>
      <c r="B3" s="430" t="str">
        <f aca="false">현황!C37</f>
        <v>[  ]</v>
      </c>
      <c r="C3" s="424" t="str">
        <f aca="false">현황!E37</f>
        <v>소화기 또는 자동확산소화기</v>
      </c>
      <c r="D3" s="424"/>
      <c r="E3" s="424"/>
      <c r="F3" s="431">
        <f aca="false">현황!S37</f>
      </c>
      <c r="G3" s="157" t="s">
        <v>224</v>
      </c>
      <c r="H3" s="157" t="str">
        <f aca="false">현황!Y37</f>
        <v>[  ]</v>
      </c>
      <c r="I3" s="424" t="str">
        <f aca="false">현황!AA37</f>
        <v>방화문</v>
      </c>
      <c r="J3" s="424"/>
      <c r="K3" s="399">
        <f aca="false">현황!AO37</f>
      </c>
      <c r="M3" s="387"/>
    </row>
    <row r="4" customFormat="false" ht="26.25" hidden="false" customHeight="true" outlineLevel="0" collapsed="false">
      <c r="A4" s="430"/>
      <c r="B4" s="430" t="str">
        <f aca="false">현황!C38</f>
        <v>[  ]</v>
      </c>
      <c r="C4" s="424" t="str">
        <f aca="false">현황!E38</f>
        <v>간이스프링클러설비</v>
      </c>
      <c r="D4" s="424"/>
      <c r="E4" s="424"/>
      <c r="F4" s="431">
        <f aca="false">현황!S38</f>
      </c>
      <c r="G4" s="157"/>
      <c r="H4" s="157" t="str">
        <f aca="false">현황!Y38</f>
        <v>[  ]</v>
      </c>
      <c r="I4" s="424" t="str">
        <f aca="false">현황!AA38</f>
        <v>비상구(비상탈출구)</v>
      </c>
      <c r="J4" s="424"/>
      <c r="K4" s="399">
        <f aca="false">현황!AO38</f>
      </c>
      <c r="M4" s="387"/>
    </row>
    <row r="5" customFormat="false" ht="26.25" hidden="false" customHeight="true" outlineLevel="0" collapsed="false">
      <c r="A5" s="275" t="s">
        <v>207</v>
      </c>
      <c r="B5" s="430" t="str">
        <f aca="false">현황!C39</f>
        <v>[  ]</v>
      </c>
      <c r="C5" s="424" t="str">
        <f aca="false">현황!E39</f>
        <v>비상경보설비 또는 자동화재탐지설비</v>
      </c>
      <c r="D5" s="424"/>
      <c r="E5" s="424"/>
      <c r="F5" s="431">
        <f aca="false">현황!S39</f>
      </c>
      <c r="G5" s="398" t="s">
        <v>466</v>
      </c>
      <c r="H5" s="157" t="str">
        <f aca="false">현황!Y39</f>
        <v>[  ]</v>
      </c>
      <c r="I5" s="424" t="str">
        <f aca="false">현황!AA39</f>
        <v>영업장 내부 피난통로</v>
      </c>
      <c r="J5" s="424"/>
      <c r="K5" s="399">
        <f aca="false">현황!AO39</f>
      </c>
    </row>
    <row r="6" customFormat="false" ht="26.25" hidden="false" customHeight="true" outlineLevel="0" collapsed="false">
      <c r="A6" s="275"/>
      <c r="B6" s="430" t="str">
        <f aca="false">현황!C40</f>
        <v>[  ]</v>
      </c>
      <c r="C6" s="424" t="str">
        <f aca="false">현황!E40</f>
        <v>가스누설경보기</v>
      </c>
      <c r="D6" s="424"/>
      <c r="E6" s="424"/>
      <c r="F6" s="431">
        <f aca="false">현황!S40</f>
      </c>
      <c r="G6" s="398"/>
      <c r="H6" s="157" t="str">
        <f aca="false">현황!Y40</f>
        <v>[  ]</v>
      </c>
      <c r="I6" s="424" t="str">
        <f aca="false">현황!AA40</f>
        <v>영상음향차단장치</v>
      </c>
      <c r="J6" s="424"/>
      <c r="K6" s="399">
        <f aca="false">현황!AO40</f>
      </c>
    </row>
    <row r="7" customFormat="false" ht="26.25" hidden="false" customHeight="true" outlineLevel="0" collapsed="false">
      <c r="A7" s="430" t="s">
        <v>164</v>
      </c>
      <c r="B7" s="430" t="str">
        <f aca="false">현황!C41</f>
        <v>[  ]</v>
      </c>
      <c r="C7" s="424" t="str">
        <f aca="false">현황!E41</f>
        <v>피난기구</v>
      </c>
      <c r="D7" s="424"/>
      <c r="E7" s="424"/>
      <c r="F7" s="431">
        <f aca="false">현황!S41</f>
      </c>
      <c r="G7" s="398"/>
      <c r="H7" s="157" t="str">
        <f aca="false">현황!Y41</f>
        <v>[  ]</v>
      </c>
      <c r="I7" s="424" t="str">
        <f aca="false">현황!AA41</f>
        <v>누전차단기</v>
      </c>
      <c r="J7" s="424"/>
      <c r="K7" s="399">
        <f aca="false">현황!AO41</f>
      </c>
    </row>
    <row r="8" customFormat="false" ht="26.25" hidden="false" customHeight="true" outlineLevel="0" collapsed="false">
      <c r="A8" s="430"/>
      <c r="B8" s="430" t="str">
        <f aca="false">현황!C42</f>
        <v>[  ]</v>
      </c>
      <c r="C8" s="424" t="str">
        <f aca="false">현황!E42</f>
        <v>피난유도선</v>
      </c>
      <c r="D8" s="424"/>
      <c r="E8" s="424"/>
      <c r="F8" s="431">
        <f aca="false">현황!S42</f>
      </c>
      <c r="G8" s="398"/>
      <c r="H8" s="157" t="str">
        <f aca="false">현황!Y42</f>
        <v>[  ]</v>
      </c>
      <c r="I8" s="424" t="str">
        <f aca="false">현황!AA42</f>
        <v>창 문</v>
      </c>
      <c r="J8" s="424"/>
      <c r="K8" s="399">
        <f aca="false">현황!AO42</f>
      </c>
    </row>
    <row r="9" customFormat="false" ht="26.25" hidden="false" customHeight="true" outlineLevel="0" collapsed="false">
      <c r="A9" s="430"/>
      <c r="B9" s="430" t="str">
        <f aca="false">현황!C43</f>
        <v>[  ]</v>
      </c>
      <c r="C9" s="424" t="str">
        <f aca="false">현황!E43</f>
        <v>유도등, 유도표지 또는 비상조명등</v>
      </c>
      <c r="D9" s="424"/>
      <c r="E9" s="424"/>
      <c r="F9" s="431">
        <f aca="false">현황!S43</f>
      </c>
      <c r="G9" s="398"/>
      <c r="H9" s="157" t="str">
        <f aca="false">현황!Y43</f>
        <v>[  ]</v>
      </c>
      <c r="I9" s="424" t="str">
        <f aca="false">현황!AA43</f>
        <v>피난안내도, 피난안내영상물</v>
      </c>
      <c r="J9" s="424"/>
      <c r="K9" s="399">
        <f aca="false">현황!AO43</f>
      </c>
    </row>
    <row r="10" customFormat="false" ht="26.25" hidden="false" customHeight="true" outlineLevel="0" collapsed="false">
      <c r="A10" s="430"/>
      <c r="B10" s="430" t="str">
        <f aca="false">현황!C44</f>
        <v>[  ]</v>
      </c>
      <c r="C10" s="424" t="str">
        <f aca="false">현황!E44</f>
        <v>휴대용비상조명등</v>
      </c>
      <c r="D10" s="424"/>
      <c r="E10" s="424"/>
      <c r="F10" s="431">
        <f aca="false">현황!S44</f>
      </c>
      <c r="G10" s="398"/>
      <c r="H10" s="157" t="str">
        <f aca="false">현황!Y44</f>
        <v>[  ]</v>
      </c>
      <c r="I10" s="424" t="str">
        <f aca="false">현황!AA44</f>
        <v>방염물품</v>
      </c>
      <c r="J10" s="424"/>
      <c r="K10" s="399">
        <f aca="false">현황!AO44</f>
      </c>
    </row>
    <row r="11" customFormat="false" ht="26.25" hidden="false" customHeight="true" outlineLevel="0" collapsed="false">
      <c r="A11" s="432" t="s">
        <v>467</v>
      </c>
      <c r="B11" s="426" t="n">
        <f aca="false">현황!C45</f>
        <v>0</v>
      </c>
      <c r="C11" s="426"/>
      <c r="D11" s="426"/>
      <c r="E11" s="426"/>
      <c r="F11" s="426"/>
      <c r="G11" s="426"/>
      <c r="H11" s="426"/>
      <c r="I11" s="426"/>
      <c r="J11" s="426"/>
      <c r="K11" s="426"/>
    </row>
    <row r="12" customFormat="false" ht="14.1" hidden="false" customHeight="true" outlineLevel="0" collapsed="false">
      <c r="A12" s="429"/>
      <c r="B12" s="429"/>
      <c r="C12" s="429"/>
      <c r="D12" s="429"/>
      <c r="E12" s="429"/>
      <c r="F12" s="429"/>
    </row>
    <row r="13" customFormat="false" ht="29.25" hidden="false" customHeight="true" outlineLevel="0" collapsed="false">
      <c r="A13" s="433" t="s">
        <v>469</v>
      </c>
      <c r="B13" s="433"/>
      <c r="F13" s="386"/>
      <c r="K13" s="386"/>
    </row>
    <row r="14" customFormat="false" ht="26.25" hidden="false" customHeight="true" outlineLevel="0" collapsed="false">
      <c r="A14" s="434" t="s">
        <v>86</v>
      </c>
      <c r="B14" s="434"/>
      <c r="C14" s="434"/>
      <c r="D14" s="435" t="s">
        <v>87</v>
      </c>
      <c r="E14" s="435" t="s">
        <v>88</v>
      </c>
      <c r="F14" s="435"/>
      <c r="G14" s="435" t="s">
        <v>89</v>
      </c>
      <c r="H14" s="435"/>
      <c r="I14" s="435"/>
      <c r="J14" s="435" t="s">
        <v>90</v>
      </c>
      <c r="K14" s="436" t="s">
        <v>470</v>
      </c>
    </row>
    <row r="15" customFormat="false" ht="24.75" hidden="false" customHeight="true" outlineLevel="0" collapsed="false">
      <c r="A15" s="81" t="s">
        <v>471</v>
      </c>
      <c r="B15" s="81"/>
      <c r="C15" s="81"/>
      <c r="D15" s="437" t="str">
        <f aca="false">보고서!C17</f>
        <v>김흥준</v>
      </c>
      <c r="E15" s="437" t="str">
        <f aca="false">보고서!D17</f>
        <v>소방시설관리사</v>
      </c>
      <c r="F15" s="437"/>
      <c r="G15" s="437" t="str">
        <f aca="false">보고서!E17</f>
        <v>제2005-60호</v>
      </c>
      <c r="H15" s="437"/>
      <c r="I15" s="437"/>
      <c r="J15" s="438">
        <f aca="false">보고서!F17</f>
      </c>
      <c r="K15" s="439"/>
    </row>
    <row r="16" customFormat="false" ht="24.75" hidden="false" customHeight="true" outlineLevel="0" collapsed="false">
      <c r="A16" s="81" t="s">
        <v>472</v>
      </c>
      <c r="B16" s="81"/>
      <c r="C16" s="81"/>
      <c r="D16" s="437">
        <f aca="false">보고서!C18</f>
      </c>
      <c r="E16" s="437" t="str">
        <f aca="false">보고서!D18</f>
        <v>점검자경력수첩</v>
      </c>
      <c r="F16" s="437"/>
      <c r="G16" s="437">
        <f aca="false">보고서!E18</f>
      </c>
      <c r="H16" s="437"/>
      <c r="I16" s="437"/>
      <c r="J16" s="438">
        <f aca="false">보고서!F18</f>
      </c>
      <c r="K16" s="439"/>
    </row>
    <row r="17" customFormat="false" ht="24.75" hidden="false" customHeight="true" outlineLevel="0" collapsed="false">
      <c r="A17" s="81" t="s">
        <v>472</v>
      </c>
      <c r="B17" s="81"/>
      <c r="C17" s="81"/>
      <c r="D17" s="437">
        <f aca="false">보고서!C19</f>
      </c>
      <c r="E17" s="437" t="str">
        <f aca="false">보고서!D19</f>
        <v>점검자경력수첩</v>
      </c>
      <c r="F17" s="437"/>
      <c r="G17" s="437">
        <f aca="false">보고서!E19</f>
      </c>
      <c r="H17" s="437"/>
      <c r="I17" s="437"/>
      <c r="J17" s="438">
        <f aca="false">보고서!F19</f>
      </c>
      <c r="K17" s="439"/>
    </row>
    <row r="18" customFormat="false" ht="24.75" hidden="false" customHeight="true" outlineLevel="0" collapsed="false">
      <c r="A18" s="81" t="s">
        <v>472</v>
      </c>
      <c r="B18" s="81"/>
      <c r="C18" s="81"/>
      <c r="D18" s="437">
        <f aca="false">보고서!C20</f>
      </c>
      <c r="E18" s="437" t="str">
        <f aca="false">보고서!D20</f>
        <v>점검자경력수첩</v>
      </c>
      <c r="F18" s="437"/>
      <c r="G18" s="437">
        <f aca="false">보고서!E20</f>
      </c>
      <c r="H18" s="437"/>
      <c r="I18" s="437"/>
      <c r="J18" s="438">
        <f aca="false">보고서!F20</f>
      </c>
      <c r="K18" s="439"/>
    </row>
    <row r="19" customFormat="false" ht="24.75" hidden="false" customHeight="true" outlineLevel="0" collapsed="false">
      <c r="A19" s="81" t="s">
        <v>472</v>
      </c>
      <c r="B19" s="81"/>
      <c r="C19" s="81"/>
      <c r="D19" s="437">
        <f aca="false">개요!B5</f>
      </c>
      <c r="E19" s="437" t="str">
        <f aca="false">개요!C5</f>
        <v>점검자경력수첩</v>
      </c>
      <c r="F19" s="437"/>
      <c r="G19" s="437">
        <f aca="false">개요!D5</f>
      </c>
      <c r="H19" s="437"/>
      <c r="I19" s="437"/>
      <c r="J19" s="438">
        <f aca="false">보고서!F21</f>
      </c>
      <c r="K19" s="439"/>
    </row>
    <row r="20" customFormat="false" ht="24.75" hidden="false" customHeight="true" outlineLevel="0" collapsed="false">
      <c r="A20" s="81" t="s">
        <v>472</v>
      </c>
      <c r="B20" s="81"/>
      <c r="C20" s="81"/>
      <c r="D20" s="437">
        <f aca="false">개요!B6</f>
      </c>
      <c r="E20" s="437" t="str">
        <f aca="false">개요!C6</f>
        <v>점검자경력수첩</v>
      </c>
      <c r="F20" s="437"/>
      <c r="G20" s="437">
        <f aca="false">개요!D6</f>
      </c>
      <c r="H20" s="437"/>
      <c r="I20" s="437"/>
      <c r="J20" s="438">
        <f aca="false">보고서!F23</f>
      </c>
      <c r="K20" s="439"/>
    </row>
    <row r="21" customFormat="false" ht="24.75" hidden="false" customHeight="true" outlineLevel="0" collapsed="false">
      <c r="A21" s="81" t="s">
        <v>472</v>
      </c>
      <c r="B21" s="81"/>
      <c r="C21" s="81"/>
      <c r="D21" s="437">
        <f aca="false">개요!B8</f>
      </c>
      <c r="E21" s="437" t="str">
        <f aca="false">개요!C8</f>
        <v>점검자경력수첩</v>
      </c>
      <c r="F21" s="437"/>
      <c r="G21" s="437">
        <f aca="false">개요!D8</f>
      </c>
      <c r="H21" s="437"/>
      <c r="I21" s="437"/>
      <c r="J21" s="438">
        <f aca="false">보고서!F24</f>
      </c>
      <c r="K21" s="439"/>
    </row>
    <row r="22" customFormat="false" ht="33" hidden="false" customHeight="true" outlineLevel="0" collapsed="false">
      <c r="A22" s="440" t="s">
        <v>473</v>
      </c>
      <c r="B22" s="440"/>
      <c r="C22" s="440"/>
      <c r="D22" s="441">
        <f aca="false">개요!E1</f>
      </c>
      <c r="E22" s="441"/>
      <c r="F22" s="441"/>
      <c r="G22" s="441"/>
      <c r="H22" s="441"/>
      <c r="I22" s="441"/>
      <c r="J22" s="442" t="s">
        <v>474</v>
      </c>
      <c r="K22" s="443">
        <f aca="false">개요!F1</f>
      </c>
    </row>
    <row r="23" customFormat="false" ht="74.25" hidden="false" customHeight="true" outlineLevel="0" collapsed="false">
      <c r="A23" s="444" t="s">
        <v>475</v>
      </c>
      <c r="B23" s="444"/>
      <c r="C23" s="444"/>
      <c r="D23" s="444"/>
      <c r="E23" s="444"/>
      <c r="F23" s="444"/>
      <c r="G23" s="444"/>
      <c r="H23" s="444"/>
      <c r="I23" s="444"/>
      <c r="J23" s="444"/>
      <c r="K23" s="444"/>
    </row>
    <row r="24" customFormat="false" ht="29.25" hidden="false" customHeight="true" outlineLevel="0" collapsed="false">
      <c r="A24" s="445" t="s">
        <v>476</v>
      </c>
      <c r="B24" s="445"/>
      <c r="C24" s="445"/>
      <c r="D24" s="445"/>
      <c r="E24" s="445"/>
      <c r="F24" s="445"/>
      <c r="G24" s="445"/>
      <c r="H24" s="445"/>
      <c r="I24" s="445"/>
      <c r="J24" s="445"/>
      <c r="K24" s="445"/>
    </row>
    <row r="25" customFormat="false" ht="37.5" hidden="false" customHeight="true" outlineLevel="0" collapsed="false">
      <c r="A25" s="446" t="s">
        <v>477</v>
      </c>
      <c r="B25" s="446"/>
      <c r="C25" s="446"/>
      <c r="D25" s="447" t="s">
        <v>478</v>
      </c>
      <c r="E25" s="447"/>
      <c r="F25" s="447"/>
      <c r="G25" s="447"/>
      <c r="H25" s="447"/>
      <c r="I25" s="447"/>
      <c r="J25" s="447"/>
      <c r="K25" s="447"/>
    </row>
    <row r="26" customFormat="false" ht="37.5" hidden="false" customHeight="true" outlineLevel="0" collapsed="false">
      <c r="A26" s="448" t="s">
        <v>479</v>
      </c>
      <c r="B26" s="448"/>
      <c r="C26" s="448"/>
      <c r="D26" s="449" t="s">
        <v>480</v>
      </c>
      <c r="E26" s="449"/>
      <c r="F26" s="449"/>
      <c r="G26" s="449"/>
      <c r="H26" s="449"/>
      <c r="I26" s="449"/>
      <c r="J26" s="449"/>
      <c r="K26" s="449"/>
    </row>
    <row r="27" customFormat="false" ht="37.5" hidden="false" customHeight="true" outlineLevel="0" collapsed="false">
      <c r="A27" s="450" t="s">
        <v>481</v>
      </c>
      <c r="B27" s="450"/>
      <c r="C27" s="450"/>
      <c r="D27" s="451" t="s">
        <v>482</v>
      </c>
      <c r="E27" s="451"/>
      <c r="F27" s="451"/>
      <c r="G27" s="451"/>
      <c r="H27" s="451"/>
      <c r="I27" s="451"/>
      <c r="J27" s="451"/>
      <c r="K27" s="451"/>
    </row>
    <row r="29" customFormat="false" ht="30" hidden="false" customHeight="true" outlineLevel="0" collapsed="false">
      <c r="A29" s="452" t="s">
        <v>483</v>
      </c>
      <c r="B29" s="452"/>
      <c r="C29" s="452"/>
      <c r="D29" s="452"/>
      <c r="E29" s="452"/>
      <c r="F29" s="452"/>
      <c r="G29" s="452"/>
      <c r="H29" s="452"/>
      <c r="I29" s="452"/>
      <c r="J29" s="452"/>
      <c r="K29" s="452"/>
    </row>
    <row r="30" customFormat="false" ht="40.5" hidden="false" customHeight="true" outlineLevel="0" collapsed="false">
      <c r="A30" s="453" t="s">
        <v>484</v>
      </c>
      <c r="B30" s="453"/>
      <c r="C30" s="453"/>
      <c r="D30" s="453"/>
      <c r="E30" s="453"/>
      <c r="F30" s="453"/>
      <c r="G30" s="453"/>
      <c r="H30" s="453"/>
      <c r="I30" s="453"/>
      <c r="J30" s="453"/>
      <c r="K30" s="453"/>
    </row>
  </sheetData>
  <mergeCells count="61">
    <mergeCell ref="A1:K1"/>
    <mergeCell ref="C2:E2"/>
    <mergeCell ref="I2:J2"/>
    <mergeCell ref="A3:A4"/>
    <mergeCell ref="C3:E3"/>
    <mergeCell ref="G3:G4"/>
    <mergeCell ref="I3:J3"/>
    <mergeCell ref="C4:E4"/>
    <mergeCell ref="I4:J4"/>
    <mergeCell ref="A5:A6"/>
    <mergeCell ref="C5:E5"/>
    <mergeCell ref="G5:G10"/>
    <mergeCell ref="I5:J5"/>
    <mergeCell ref="C6:E6"/>
    <mergeCell ref="I6:J6"/>
    <mergeCell ref="A7:A10"/>
    <mergeCell ref="C7:E7"/>
    <mergeCell ref="I7:J7"/>
    <mergeCell ref="C8:E8"/>
    <mergeCell ref="I8:J8"/>
    <mergeCell ref="C9:E9"/>
    <mergeCell ref="I9:J9"/>
    <mergeCell ref="C10:E10"/>
    <mergeCell ref="I10:J10"/>
    <mergeCell ref="B11:K11"/>
    <mergeCell ref="A12:F12"/>
    <mergeCell ref="A14:C14"/>
    <mergeCell ref="E14:F14"/>
    <mergeCell ref="G14:I14"/>
    <mergeCell ref="A15:C15"/>
    <mergeCell ref="E15:F15"/>
    <mergeCell ref="G15:I15"/>
    <mergeCell ref="A16:C16"/>
    <mergeCell ref="E16:F16"/>
    <mergeCell ref="G16:I16"/>
    <mergeCell ref="A17:C17"/>
    <mergeCell ref="E17:F17"/>
    <mergeCell ref="G17:I17"/>
    <mergeCell ref="A18:C18"/>
    <mergeCell ref="E18:F18"/>
    <mergeCell ref="G18:I18"/>
    <mergeCell ref="A19:C19"/>
    <mergeCell ref="E19:F19"/>
    <mergeCell ref="G19:I19"/>
    <mergeCell ref="A20:C20"/>
    <mergeCell ref="E20:F20"/>
    <mergeCell ref="G20:I20"/>
    <mergeCell ref="A21:C21"/>
    <mergeCell ref="E21:F21"/>
    <mergeCell ref="G21:I21"/>
    <mergeCell ref="D22:I22"/>
    <mergeCell ref="A23:K23"/>
    <mergeCell ref="A24:K24"/>
    <mergeCell ref="A25:C25"/>
    <mergeCell ref="D25:K25"/>
    <mergeCell ref="A26:C26"/>
    <mergeCell ref="D26:K26"/>
    <mergeCell ref="A27:C27"/>
    <mergeCell ref="D27:K27"/>
    <mergeCell ref="A29:K29"/>
    <mergeCell ref="A30:K30"/>
  </mergeCells>
  <printOptions headings="false" gridLines="false" gridLinesSet="true" horizontalCentered="false" verticalCentered="false"/>
  <pageMargins left="0.3937007874015748" right="0.19" top="0.3" bottom="0.21" header="0.31496062992125984" footer="0.23"/>
  <pageSetup paperSize="9" scale="8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8"/>
  <sheetViews>
    <sheetView showFormulas="false" showGridLines="true" showRowColHeaders="true" showZeros="false" rightToLeft="false" tabSelected="false" showOutlineSymbols="true" defaultGridColor="true" view="normal" topLeftCell="A25" colorId="64" zoomScale="100" zoomScaleNormal="100" zoomScalePageLayoutView="100" workbookViewId="0">
      <selection pane="topLeft" activeCell="G23" activeCellId="0" sqref="G23:T23"/>
    </sheetView>
  </sheetViews>
  <sheetFormatPr defaultColWidth="8.88671875" defaultRowHeight="13.5" customHeight="false" zeroHeight="false" outlineLevelRow="0" outlineLevelCol="0"/>
  <cols>
    <col collapsed="false" customWidth="true" hidden="false" outlineLevel="0" max="1" min="1" style="241" width="10.99"/>
    <col collapsed="false" customWidth="true" hidden="false" outlineLevel="0" max="2" min="2" style="241" width="3.55"/>
    <col collapsed="false" customWidth="true" hidden="false" outlineLevel="0" max="3" min="3" style="241" width="3.66"/>
    <col collapsed="false" customWidth="true" hidden="false" outlineLevel="0" max="4" min="4" style="241" width="1.66"/>
    <col collapsed="false" customWidth="true" hidden="false" outlineLevel="0" max="5" min="5" style="241" width="0.88"/>
    <col collapsed="false" customWidth="true" hidden="false" outlineLevel="0" max="6" min="6" style="241" width="0.78"/>
    <col collapsed="false" customWidth="true" hidden="false" outlineLevel="0" max="7" min="7" style="241" width="3.66"/>
    <col collapsed="false" customWidth="true" hidden="false" outlineLevel="0" max="8" min="8" style="241" width="7.21"/>
    <col collapsed="false" customWidth="true" hidden="false" outlineLevel="0" max="9" min="9" style="241" width="3.66"/>
    <col collapsed="false" customWidth="true" hidden="false" outlineLevel="0" max="10" min="10" style="241" width="3.44"/>
    <col collapsed="false" customWidth="true" hidden="false" outlineLevel="0" max="11" min="11" style="241" width="3.21"/>
    <col collapsed="false" customWidth="true" hidden="false" outlineLevel="0" max="12" min="12" style="241" width="3.99"/>
    <col collapsed="false" customWidth="true" hidden="false" outlineLevel="0" max="13" min="13" style="241" width="7.1"/>
    <col collapsed="false" customWidth="true" hidden="false" outlineLevel="0" max="14" min="14" style="241" width="1.33"/>
    <col collapsed="false" customWidth="true" hidden="false" outlineLevel="0" max="15" min="15" style="241" width="4.44"/>
    <col collapsed="false" customWidth="true" hidden="false" outlineLevel="0" max="16" min="16" style="241" width="5.78"/>
    <col collapsed="false" customWidth="true" hidden="false" outlineLevel="0" max="17" min="17" style="241" width="1.66"/>
    <col collapsed="false" customWidth="true" hidden="false" outlineLevel="0" max="18" min="18" style="241" width="3.77"/>
    <col collapsed="false" customWidth="true" hidden="false" outlineLevel="0" max="19" min="19" style="241" width="5.33"/>
    <col collapsed="false" customWidth="true" hidden="false" outlineLevel="0" max="20" min="20" style="241" width="7.33"/>
    <col collapsed="false" customWidth="false" hidden="false" outlineLevel="0" max="257" min="21" style="241" width="8.88"/>
  </cols>
  <sheetData>
    <row r="1" customFormat="false" ht="30" hidden="false" customHeight="true" outlineLevel="0" collapsed="false">
      <c r="A1" s="454" t="s">
        <v>485</v>
      </c>
      <c r="B1" s="454"/>
      <c r="C1" s="454"/>
      <c r="D1" s="454"/>
      <c r="E1" s="454"/>
      <c r="F1" s="454"/>
      <c r="G1" s="454"/>
      <c r="H1" s="454"/>
      <c r="I1" s="454"/>
      <c r="J1" s="454"/>
      <c r="K1" s="454"/>
      <c r="L1" s="454"/>
      <c r="M1" s="454"/>
      <c r="N1" s="454"/>
      <c r="O1" s="454"/>
      <c r="P1" s="454"/>
      <c r="Q1" s="243"/>
      <c r="R1" s="243"/>
      <c r="S1" s="100" t="s">
        <v>486</v>
      </c>
      <c r="T1" s="100"/>
    </row>
    <row r="2" customFormat="false" ht="34.5" hidden="false" customHeight="true" outlineLevel="0" collapsed="false">
      <c r="A2" s="455" t="s">
        <v>487</v>
      </c>
      <c r="B2" s="455"/>
      <c r="C2" s="455"/>
      <c r="D2" s="455"/>
      <c r="E2" s="455"/>
      <c r="F2" s="455"/>
      <c r="G2" s="455"/>
      <c r="H2" s="455"/>
      <c r="I2" s="455"/>
      <c r="J2" s="455"/>
      <c r="K2" s="455"/>
      <c r="L2" s="455"/>
      <c r="M2" s="455"/>
      <c r="N2" s="455"/>
      <c r="O2" s="455"/>
      <c r="P2" s="455"/>
      <c r="Q2" s="455"/>
      <c r="R2" s="455"/>
      <c r="S2" s="455"/>
      <c r="T2" s="455"/>
    </row>
    <row r="3" customFormat="false" ht="22.5" hidden="false" customHeight="true" outlineLevel="0" collapsed="false">
      <c r="A3" s="244" t="s">
        <v>488</v>
      </c>
      <c r="B3" s="244"/>
      <c r="C3" s="244"/>
      <c r="D3" s="244"/>
      <c r="E3" s="244"/>
      <c r="F3" s="244"/>
      <c r="G3" s="244"/>
      <c r="H3" s="244"/>
      <c r="I3" s="244"/>
      <c r="J3" s="244"/>
      <c r="K3" s="244"/>
      <c r="L3" s="244"/>
      <c r="M3" s="244"/>
      <c r="N3" s="244"/>
      <c r="O3" s="244"/>
      <c r="P3" s="244"/>
      <c r="Q3" s="244"/>
      <c r="R3" s="244"/>
      <c r="S3" s="244"/>
      <c r="T3" s="244"/>
    </row>
    <row r="4" customFormat="false" ht="20.25" hidden="false" customHeight="true" outlineLevel="0" collapsed="false">
      <c r="A4" s="129" t="s">
        <v>158</v>
      </c>
      <c r="B4" s="245" t="n">
        <f aca="false">현1!B3</f>
        <v>0</v>
      </c>
      <c r="C4" s="456" t="str">
        <f aca="false">현1!C3</f>
        <v>[  ]</v>
      </c>
      <c r="D4" s="247" t="str">
        <f aca="false">현1!D3</f>
        <v>   소화기</v>
      </c>
      <c r="E4" s="247"/>
      <c r="F4" s="247"/>
      <c r="G4" s="247"/>
      <c r="H4" s="247"/>
      <c r="I4" s="248"/>
      <c r="J4" s="456" t="str">
        <f aca="false">현1!J3</f>
        <v>[  ]</v>
      </c>
      <c r="K4" s="249" t="str">
        <f aca="false">현1!K3</f>
        <v> 간이소화용구</v>
      </c>
      <c r="L4" s="249"/>
      <c r="M4" s="249"/>
      <c r="N4" s="250"/>
      <c r="O4" s="457" t="str">
        <f aca="false">현1!O3</f>
        <v>[  ]</v>
      </c>
      <c r="P4" s="251" t="s">
        <v>239</v>
      </c>
      <c r="Q4" s="252"/>
      <c r="R4" s="457" t="str">
        <f aca="false">현1!R3</f>
        <v>[  ]</v>
      </c>
      <c r="S4" s="251" t="s">
        <v>239</v>
      </c>
      <c r="T4" s="253" t="s">
        <v>240</v>
      </c>
    </row>
    <row r="5" customFormat="false" ht="20.25" hidden="false" customHeight="true" outlineLevel="0" collapsed="false">
      <c r="A5" s="129"/>
      <c r="B5" s="262" t="str">
        <f aca="false">현1!B4</f>
        <v>[  ]</v>
      </c>
      <c r="C5" s="458" t="s">
        <v>489</v>
      </c>
      <c r="D5" s="458"/>
      <c r="E5" s="458"/>
      <c r="F5" s="458"/>
      <c r="G5" s="262" t="str">
        <f aca="false">현1!G4</f>
        <v>[  ]</v>
      </c>
      <c r="H5" s="254" t="s">
        <v>242</v>
      </c>
      <c r="I5" s="459" t="str">
        <f aca="false">현1!I4</f>
        <v>[  ]</v>
      </c>
      <c r="J5" s="255" t="s">
        <v>243</v>
      </c>
      <c r="K5" s="255"/>
      <c r="L5" s="459" t="str">
        <f aca="false">현1!L4</f>
        <v>[  ]</v>
      </c>
      <c r="M5" s="133" t="s">
        <v>211</v>
      </c>
      <c r="N5" s="256" t="s">
        <v>244</v>
      </c>
      <c r="O5" s="256"/>
      <c r="P5" s="256"/>
      <c r="Q5" s="257" t="s">
        <v>245</v>
      </c>
      <c r="R5" s="257"/>
      <c r="S5" s="257"/>
      <c r="T5" s="253"/>
    </row>
    <row r="6" customFormat="false" ht="18" hidden="false" customHeight="true" outlineLevel="0" collapsed="false">
      <c r="A6" s="258" t="s">
        <v>246</v>
      </c>
      <c r="B6" s="136" t="n">
        <f aca="false">현1!B5</f>
        <v>0</v>
      </c>
      <c r="C6" s="136"/>
      <c r="D6" s="136"/>
      <c r="E6" s="136"/>
      <c r="F6" s="136"/>
      <c r="G6" s="136" t="n">
        <f aca="false">현1!G5</f>
        <v>0</v>
      </c>
      <c r="H6" s="136"/>
      <c r="I6" s="136" t="n">
        <f aca="false">현1!I5</f>
        <v>0</v>
      </c>
      <c r="J6" s="136"/>
      <c r="K6" s="136"/>
      <c r="L6" s="133" t="n">
        <f aca="false">현1!L5</f>
        <v>0</v>
      </c>
      <c r="M6" s="133"/>
      <c r="N6" s="136" t="n">
        <f aca="false">현1!N5</f>
        <v>0</v>
      </c>
      <c r="O6" s="136"/>
      <c r="P6" s="136"/>
      <c r="Q6" s="136" t="n">
        <f aca="false">현1!Q5</f>
        <v>0</v>
      </c>
      <c r="R6" s="136"/>
      <c r="S6" s="136"/>
      <c r="T6" s="259" t="str">
        <f aca="false">현1!T5</f>
        <v> </v>
      </c>
    </row>
    <row r="7" customFormat="false" ht="18" hidden="false" customHeight="true" outlineLevel="0" collapsed="false">
      <c r="A7" s="260" t="s">
        <v>247</v>
      </c>
      <c r="B7" s="136"/>
      <c r="C7" s="136"/>
      <c r="D7" s="136"/>
      <c r="E7" s="136"/>
      <c r="F7" s="136"/>
      <c r="G7" s="136"/>
      <c r="H7" s="136"/>
      <c r="I7" s="136"/>
      <c r="J7" s="136"/>
      <c r="K7" s="136"/>
      <c r="L7" s="133"/>
      <c r="M7" s="133"/>
      <c r="N7" s="136"/>
      <c r="O7" s="136"/>
      <c r="P7" s="136"/>
      <c r="Q7" s="136"/>
      <c r="R7" s="136"/>
      <c r="S7" s="136"/>
      <c r="T7" s="259"/>
    </row>
    <row r="8" customFormat="false" ht="18" hidden="false" customHeight="true" outlineLevel="0" collapsed="false">
      <c r="A8" s="261" t="n">
        <f aca="false">현1!A7</f>
        <v>1</v>
      </c>
      <c r="B8" s="136" t="n">
        <f aca="false">현1!B7</f>
        <v>0</v>
      </c>
      <c r="C8" s="136"/>
      <c r="D8" s="136"/>
      <c r="E8" s="136"/>
      <c r="F8" s="136"/>
      <c r="G8" s="136" t="n">
        <f aca="false">현1!G7</f>
        <v>0</v>
      </c>
      <c r="H8" s="136"/>
      <c r="I8" s="136" t="n">
        <f aca="false">현1!I7</f>
        <v>0</v>
      </c>
      <c r="J8" s="136"/>
      <c r="K8" s="136"/>
      <c r="L8" s="133" t="n">
        <f aca="false">현1!L7</f>
        <v>0</v>
      </c>
      <c r="M8" s="133"/>
      <c r="N8" s="136" t="n">
        <f aca="false">현1!N7</f>
        <v>0</v>
      </c>
      <c r="O8" s="136"/>
      <c r="P8" s="136"/>
      <c r="Q8" s="136" t="n">
        <f aca="false">현1!Q7</f>
        <v>0</v>
      </c>
      <c r="R8" s="136"/>
      <c r="S8" s="136"/>
      <c r="T8" s="262" t="str">
        <f aca="false">현1!T7</f>
        <v> </v>
      </c>
    </row>
    <row r="9" customFormat="false" ht="18" hidden="false" customHeight="true" outlineLevel="0" collapsed="false">
      <c r="A9" s="261" t="n">
        <f aca="false">현1!A8</f>
        <v>2</v>
      </c>
      <c r="B9" s="136" t="n">
        <f aca="false">현1!B8</f>
        <v>0</v>
      </c>
      <c r="C9" s="136"/>
      <c r="D9" s="136"/>
      <c r="E9" s="136"/>
      <c r="F9" s="136"/>
      <c r="G9" s="136" t="n">
        <f aca="false">현1!G8</f>
        <v>0</v>
      </c>
      <c r="H9" s="136"/>
      <c r="I9" s="136" t="n">
        <f aca="false">현1!I8</f>
        <v>0</v>
      </c>
      <c r="J9" s="136"/>
      <c r="K9" s="136"/>
      <c r="L9" s="133" t="n">
        <f aca="false">현1!L8</f>
        <v>0</v>
      </c>
      <c r="M9" s="133"/>
      <c r="N9" s="136" t="n">
        <f aca="false">현1!N8</f>
        <v>0</v>
      </c>
      <c r="O9" s="136"/>
      <c r="P9" s="136"/>
      <c r="Q9" s="136" t="n">
        <f aca="false">현1!Q8</f>
        <v>0</v>
      </c>
      <c r="R9" s="136"/>
      <c r="S9" s="136"/>
      <c r="T9" s="262" t="n">
        <f aca="false">현1!T8</f>
        <v>0</v>
      </c>
    </row>
    <row r="10" customFormat="false" ht="18" hidden="false" customHeight="true" outlineLevel="0" collapsed="false">
      <c r="A10" s="261" t="n">
        <f aca="false">현1!A9</f>
        <v>3</v>
      </c>
      <c r="B10" s="136" t="n">
        <f aca="false">현1!B9</f>
        <v>0</v>
      </c>
      <c r="C10" s="136"/>
      <c r="D10" s="136"/>
      <c r="E10" s="136"/>
      <c r="F10" s="136"/>
      <c r="G10" s="136" t="n">
        <f aca="false">현1!G9</f>
        <v>0</v>
      </c>
      <c r="H10" s="136"/>
      <c r="I10" s="136" t="n">
        <f aca="false">현1!I9</f>
        <v>0</v>
      </c>
      <c r="J10" s="136"/>
      <c r="K10" s="136"/>
      <c r="L10" s="133" t="n">
        <f aca="false">현1!L9</f>
        <v>0</v>
      </c>
      <c r="M10" s="133"/>
      <c r="N10" s="136" t="n">
        <f aca="false">현1!N9</f>
        <v>0</v>
      </c>
      <c r="O10" s="136"/>
      <c r="P10" s="136"/>
      <c r="Q10" s="136" t="n">
        <f aca="false">현1!Q9</f>
        <v>0</v>
      </c>
      <c r="R10" s="136"/>
      <c r="S10" s="136"/>
      <c r="T10" s="262" t="n">
        <f aca="false">현1!T9</f>
        <v>0</v>
      </c>
    </row>
    <row r="11" customFormat="false" ht="18" hidden="false" customHeight="true" outlineLevel="0" collapsed="false">
      <c r="A11" s="261" t="n">
        <f aca="false">현1!A10</f>
        <v>4</v>
      </c>
      <c r="B11" s="136" t="n">
        <f aca="false">현1!B10</f>
        <v>0</v>
      </c>
      <c r="C11" s="136"/>
      <c r="D11" s="136"/>
      <c r="E11" s="136"/>
      <c r="F11" s="136"/>
      <c r="G11" s="136" t="n">
        <f aca="false">현1!G10</f>
        <v>0</v>
      </c>
      <c r="H11" s="136"/>
      <c r="I11" s="136" t="n">
        <f aca="false">현1!I10</f>
        <v>0</v>
      </c>
      <c r="J11" s="136"/>
      <c r="K11" s="136"/>
      <c r="L11" s="133" t="n">
        <f aca="false">현1!L10</f>
        <v>0</v>
      </c>
      <c r="M11" s="133"/>
      <c r="N11" s="136" t="n">
        <f aca="false">현1!N10</f>
        <v>0</v>
      </c>
      <c r="O11" s="136"/>
      <c r="P11" s="136"/>
      <c r="Q11" s="136" t="n">
        <f aca="false">현1!Q10</f>
        <v>0</v>
      </c>
      <c r="R11" s="136"/>
      <c r="S11" s="136"/>
      <c r="T11" s="262" t="n">
        <f aca="false">현1!T10</f>
        <v>0</v>
      </c>
    </row>
    <row r="12" customFormat="false" ht="18" hidden="false" customHeight="true" outlineLevel="0" collapsed="false">
      <c r="A12" s="261" t="n">
        <f aca="false">현1!A11</f>
        <v>5</v>
      </c>
      <c r="B12" s="136" t="n">
        <f aca="false">현1!B11</f>
        <v>0</v>
      </c>
      <c r="C12" s="136"/>
      <c r="D12" s="136"/>
      <c r="E12" s="136"/>
      <c r="F12" s="136"/>
      <c r="G12" s="136" t="n">
        <f aca="false">현1!G11</f>
        <v>0</v>
      </c>
      <c r="H12" s="136"/>
      <c r="I12" s="136" t="n">
        <f aca="false">현1!I11</f>
        <v>0</v>
      </c>
      <c r="J12" s="136"/>
      <c r="K12" s="136"/>
      <c r="L12" s="133" t="n">
        <f aca="false">현1!L11</f>
        <v>0</v>
      </c>
      <c r="M12" s="133"/>
      <c r="N12" s="136" t="n">
        <f aca="false">현1!N11</f>
        <v>0</v>
      </c>
      <c r="O12" s="136"/>
      <c r="P12" s="136"/>
      <c r="Q12" s="136" t="n">
        <f aca="false">현1!Q11</f>
        <v>0</v>
      </c>
      <c r="R12" s="136"/>
      <c r="S12" s="136"/>
      <c r="T12" s="262" t="n">
        <f aca="false">현1!T11</f>
        <v>0</v>
      </c>
    </row>
    <row r="13" customFormat="false" ht="18" hidden="false" customHeight="true" outlineLevel="0" collapsed="false">
      <c r="A13" s="261" t="n">
        <f aca="false">현1!A12</f>
        <v>6</v>
      </c>
      <c r="B13" s="136" t="n">
        <f aca="false">현1!B12</f>
        <v>0</v>
      </c>
      <c r="C13" s="136"/>
      <c r="D13" s="136"/>
      <c r="E13" s="136"/>
      <c r="F13" s="136"/>
      <c r="G13" s="136" t="str">
        <f aca="false">현1!G12</f>
        <v> </v>
      </c>
      <c r="H13" s="136"/>
      <c r="I13" s="136" t="n">
        <f aca="false">현1!I12</f>
        <v>0</v>
      </c>
      <c r="J13" s="136"/>
      <c r="K13" s="136"/>
      <c r="L13" s="133" t="str">
        <f aca="false">현1!L12</f>
        <v> </v>
      </c>
      <c r="M13" s="133"/>
      <c r="N13" s="136" t="str">
        <f aca="false">현1!N12</f>
        <v> </v>
      </c>
      <c r="O13" s="136"/>
      <c r="P13" s="136"/>
      <c r="Q13" s="136" t="str">
        <f aca="false">현1!Q12</f>
        <v> </v>
      </c>
      <c r="R13" s="136"/>
      <c r="S13" s="136"/>
      <c r="T13" s="262" t="n">
        <f aca="false">현1!T12</f>
        <v>0</v>
      </c>
    </row>
    <row r="14" customFormat="false" ht="18" hidden="false" customHeight="true" outlineLevel="0" collapsed="false">
      <c r="A14" s="261" t="n">
        <f aca="false">현1!A13</f>
        <v>7</v>
      </c>
      <c r="B14" s="136" t="n">
        <f aca="false">현1!B13</f>
        <v>0</v>
      </c>
      <c r="C14" s="136"/>
      <c r="D14" s="136"/>
      <c r="E14" s="136"/>
      <c r="F14" s="136"/>
      <c r="G14" s="136" t="str">
        <f aca="false">현1!G13</f>
        <v> </v>
      </c>
      <c r="H14" s="136"/>
      <c r="I14" s="136" t="n">
        <f aca="false">현1!I13</f>
        <v>0</v>
      </c>
      <c r="J14" s="136"/>
      <c r="K14" s="136"/>
      <c r="L14" s="133" t="str">
        <f aca="false">현1!L13</f>
        <v> </v>
      </c>
      <c r="M14" s="133"/>
      <c r="N14" s="136" t="str">
        <f aca="false">현1!N13</f>
        <v> </v>
      </c>
      <c r="O14" s="136"/>
      <c r="P14" s="136"/>
      <c r="Q14" s="136" t="str">
        <f aca="false">현1!Q13</f>
        <v> </v>
      </c>
      <c r="R14" s="136"/>
      <c r="S14" s="136"/>
      <c r="T14" s="262" t="n">
        <f aca="false">현1!T13</f>
        <v>0</v>
      </c>
    </row>
    <row r="15" customFormat="false" ht="18" hidden="false" customHeight="true" outlineLevel="0" collapsed="false">
      <c r="A15" s="263" t="n">
        <f aca="false">현1!A14</f>
        <v>8</v>
      </c>
      <c r="B15" s="264" t="n">
        <f aca="false">현1!B14</f>
        <v>0</v>
      </c>
      <c r="C15" s="264"/>
      <c r="D15" s="264"/>
      <c r="E15" s="264"/>
      <c r="F15" s="264"/>
      <c r="G15" s="264" t="str">
        <f aca="false">현1!G14</f>
        <v> </v>
      </c>
      <c r="H15" s="264"/>
      <c r="I15" s="264" t="str">
        <f aca="false">현1!I14</f>
        <v> </v>
      </c>
      <c r="J15" s="264"/>
      <c r="K15" s="264"/>
      <c r="L15" s="150" t="str">
        <f aca="false">현1!L14</f>
        <v> </v>
      </c>
      <c r="M15" s="150"/>
      <c r="N15" s="264" t="str">
        <f aca="false">현1!N14</f>
        <v> </v>
      </c>
      <c r="O15" s="264"/>
      <c r="P15" s="264"/>
      <c r="Q15" s="264" t="str">
        <f aca="false">현1!Q14</f>
        <v> </v>
      </c>
      <c r="R15" s="264"/>
      <c r="S15" s="264"/>
      <c r="T15" s="266" t="n">
        <f aca="false">현1!T14</f>
        <v>0</v>
      </c>
    </row>
    <row r="16" customFormat="false" ht="24" hidden="false" customHeight="true" outlineLevel="0" collapsed="false">
      <c r="A16" s="244" t="s">
        <v>490</v>
      </c>
      <c r="B16" s="244"/>
      <c r="C16" s="244"/>
      <c r="D16" s="244"/>
      <c r="E16" s="244"/>
      <c r="F16" s="244"/>
      <c r="G16" s="244"/>
      <c r="H16" s="244"/>
      <c r="I16" s="244"/>
      <c r="J16" s="244"/>
      <c r="K16" s="244"/>
      <c r="L16" s="244"/>
      <c r="M16" s="244"/>
      <c r="N16" s="244"/>
      <c r="O16" s="244"/>
      <c r="P16" s="244"/>
      <c r="Q16" s="244"/>
      <c r="R16" s="244"/>
      <c r="S16" s="244"/>
      <c r="T16" s="244"/>
    </row>
    <row r="17" customFormat="false" ht="20.25" hidden="false" customHeight="true" outlineLevel="0" collapsed="false">
      <c r="A17" s="268" t="s">
        <v>249</v>
      </c>
      <c r="B17" s="131" t="s">
        <v>250</v>
      </c>
      <c r="C17" s="131"/>
      <c r="D17" s="131"/>
      <c r="E17" s="131"/>
      <c r="F17" s="131"/>
      <c r="G17" s="295" t="str">
        <f aca="false">현1!G16</f>
        <v>◦ 설비의 종류: [  ]옥내소화전설비 [  ]옥외소화전설비 [  ]스프링클러설비</v>
      </c>
      <c r="H17" s="295"/>
      <c r="I17" s="295"/>
      <c r="J17" s="295"/>
      <c r="K17" s="295"/>
      <c r="L17" s="295"/>
      <c r="M17" s="295"/>
      <c r="N17" s="295"/>
      <c r="O17" s="295"/>
      <c r="P17" s="295"/>
      <c r="Q17" s="295"/>
      <c r="R17" s="295"/>
      <c r="S17" s="295"/>
      <c r="T17" s="295"/>
    </row>
    <row r="18" customFormat="false" ht="20.25" hidden="false" customHeight="true" outlineLevel="0" collapsed="false">
      <c r="A18" s="268"/>
      <c r="B18" s="131"/>
      <c r="C18" s="131"/>
      <c r="D18" s="131"/>
      <c r="E18" s="131"/>
      <c r="F18" s="131"/>
      <c r="G18" s="277" t="str">
        <f aca="false">현1!G17</f>
        <v>               [  ]간이스프링클러설비 [  ]화재조기진압용스프링클러설비 </v>
      </c>
      <c r="H18" s="277"/>
      <c r="I18" s="277"/>
      <c r="J18" s="277"/>
      <c r="K18" s="277"/>
      <c r="L18" s="277"/>
      <c r="M18" s="277"/>
      <c r="N18" s="277"/>
      <c r="O18" s="277"/>
      <c r="P18" s="277"/>
      <c r="Q18" s="277"/>
      <c r="R18" s="277"/>
      <c r="S18" s="277"/>
      <c r="T18" s="277"/>
    </row>
    <row r="19" customFormat="false" ht="20.25" hidden="false" customHeight="true" outlineLevel="0" collapsed="false">
      <c r="A19" s="268"/>
      <c r="B19" s="131"/>
      <c r="C19" s="131"/>
      <c r="D19" s="131"/>
      <c r="E19" s="131"/>
      <c r="F19" s="131"/>
      <c r="G19" s="277" t="str">
        <f aca="false">현1!G18</f>
        <v>               [  ]물분무소화설비 [  ]미분무소화설비 [  ]포소화설비</v>
      </c>
      <c r="H19" s="277"/>
      <c r="I19" s="277"/>
      <c r="J19" s="277"/>
      <c r="K19" s="277"/>
      <c r="L19" s="277"/>
      <c r="M19" s="277"/>
      <c r="N19" s="277"/>
      <c r="O19" s="277"/>
      <c r="P19" s="277"/>
      <c r="Q19" s="277"/>
      <c r="R19" s="277"/>
      <c r="S19" s="277"/>
      <c r="T19" s="277"/>
    </row>
    <row r="20" customFormat="false" ht="20.25" hidden="false" customHeight="true" outlineLevel="0" collapsed="false">
      <c r="A20" s="268"/>
      <c r="B20" s="131"/>
      <c r="C20" s="131"/>
      <c r="D20" s="131"/>
      <c r="E20" s="131"/>
      <c r="F20" s="131"/>
      <c r="G20" s="277" t="str">
        <f aca="false">현1!G19</f>
        <v>◦ 설치장소: 동명(            ) [  ]지상/[  ]지하 (   )층, 실명(            )</v>
      </c>
      <c r="H20" s="277"/>
      <c r="I20" s="277"/>
      <c r="J20" s="277"/>
      <c r="K20" s="277"/>
      <c r="L20" s="277"/>
      <c r="M20" s="277"/>
      <c r="N20" s="277"/>
      <c r="O20" s="277"/>
      <c r="P20" s="277"/>
      <c r="Q20" s="277"/>
      <c r="R20" s="277"/>
      <c r="S20" s="277"/>
      <c r="T20" s="277"/>
    </row>
    <row r="21" customFormat="false" ht="20.25" hidden="false" customHeight="true" outlineLevel="0" collapsed="false">
      <c r="A21" s="268"/>
      <c r="B21" s="131"/>
      <c r="C21" s="131"/>
      <c r="D21" s="131"/>
      <c r="E21" s="131"/>
      <c r="F21" s="131"/>
      <c r="G21" s="278" t="str">
        <f aca="false">현1!G20</f>
        <v>◦ 흡입방식: [  ]정압 [  ]부압,   ◦ 유효수량: (         )㎥</v>
      </c>
      <c r="H21" s="278"/>
      <c r="I21" s="278"/>
      <c r="J21" s="278"/>
      <c r="K21" s="278"/>
      <c r="L21" s="278"/>
      <c r="M21" s="278"/>
      <c r="N21" s="278"/>
      <c r="O21" s="278"/>
      <c r="P21" s="278"/>
      <c r="Q21" s="278"/>
      <c r="R21" s="278"/>
      <c r="S21" s="278"/>
      <c r="T21" s="278"/>
    </row>
    <row r="22" customFormat="false" ht="20.25" hidden="false" customHeight="true" outlineLevel="0" collapsed="false">
      <c r="A22" s="268"/>
      <c r="B22" s="136" t="s">
        <v>256</v>
      </c>
      <c r="C22" s="136"/>
      <c r="D22" s="136"/>
      <c r="E22" s="136"/>
      <c r="F22" s="136"/>
      <c r="G22" s="278" t="str">
        <f aca="false">현1!G21</f>
        <v>◦ 설치장소: 동명(            ) 실명(            ), ◦ 유효수량: (         )㎥</v>
      </c>
      <c r="H22" s="278"/>
      <c r="I22" s="278"/>
      <c r="J22" s="278"/>
      <c r="K22" s="278"/>
      <c r="L22" s="278"/>
      <c r="M22" s="278"/>
      <c r="N22" s="278"/>
      <c r="O22" s="278"/>
      <c r="P22" s="278"/>
      <c r="Q22" s="278"/>
      <c r="R22" s="278"/>
      <c r="S22" s="278"/>
      <c r="T22" s="278"/>
    </row>
    <row r="23" customFormat="false" ht="20.25" hidden="false" customHeight="true" outlineLevel="0" collapsed="false">
      <c r="A23" s="316" t="s">
        <v>258</v>
      </c>
      <c r="B23" s="136" t="s">
        <v>259</v>
      </c>
      <c r="C23" s="136"/>
      <c r="D23" s="136"/>
      <c r="E23" s="136"/>
      <c r="F23" s="136"/>
      <c r="G23" s="276" t="str">
        <f aca="false">현1!G22</f>
        <v>◦ 설비의 종류: [  ]옥내소화전설비 [  ]옥외소화전설비 [  ]스프링클러설비</v>
      </c>
      <c r="H23" s="276"/>
      <c r="I23" s="276"/>
      <c r="J23" s="276"/>
      <c r="K23" s="276"/>
      <c r="L23" s="276"/>
      <c r="M23" s="276"/>
      <c r="N23" s="276"/>
      <c r="O23" s="276"/>
      <c r="P23" s="276"/>
      <c r="Q23" s="276"/>
      <c r="R23" s="276"/>
      <c r="S23" s="276"/>
      <c r="T23" s="276"/>
    </row>
    <row r="24" customFormat="false" ht="20.25" hidden="false" customHeight="true" outlineLevel="0" collapsed="false">
      <c r="A24" s="316"/>
      <c r="B24" s="136"/>
      <c r="C24" s="136"/>
      <c r="D24" s="136"/>
      <c r="E24" s="136"/>
      <c r="F24" s="136"/>
      <c r="G24" s="277" t="str">
        <f aca="false">현1!G23</f>
        <v>               [  ]간이스프링클러설비 [  ]화재조기진압용스프링클러설비 </v>
      </c>
      <c r="H24" s="277"/>
      <c r="I24" s="277"/>
      <c r="J24" s="277"/>
      <c r="K24" s="277"/>
      <c r="L24" s="277"/>
      <c r="M24" s="277"/>
      <c r="N24" s="277"/>
      <c r="O24" s="277"/>
      <c r="P24" s="277"/>
      <c r="Q24" s="277"/>
      <c r="R24" s="277"/>
      <c r="S24" s="277"/>
      <c r="T24" s="277"/>
    </row>
    <row r="25" customFormat="false" ht="20.25" hidden="false" customHeight="true" outlineLevel="0" collapsed="false">
      <c r="A25" s="316"/>
      <c r="B25" s="136"/>
      <c r="C25" s="136"/>
      <c r="D25" s="136"/>
      <c r="E25" s="136"/>
      <c r="F25" s="136"/>
      <c r="G25" s="277" t="str">
        <f aca="false">현1!G24</f>
        <v>               [  ]물분무소화설비 [  ]미분무소화설비 [  ]포소화설비</v>
      </c>
      <c r="H25" s="277"/>
      <c r="I25" s="277"/>
      <c r="J25" s="277"/>
      <c r="K25" s="277"/>
      <c r="L25" s="277"/>
      <c r="M25" s="277"/>
      <c r="N25" s="277"/>
      <c r="O25" s="277"/>
      <c r="P25" s="277"/>
      <c r="Q25" s="277"/>
      <c r="R25" s="277"/>
      <c r="S25" s="277"/>
      <c r="T25" s="277"/>
    </row>
    <row r="26" customFormat="false" ht="20.25" hidden="false" customHeight="true" outlineLevel="0" collapsed="false">
      <c r="A26" s="316"/>
      <c r="B26" s="136"/>
      <c r="C26" s="136"/>
      <c r="D26" s="136"/>
      <c r="E26" s="136"/>
      <c r="F26" s="136"/>
      <c r="G26" s="278" t="str">
        <f aca="false">현1!G25</f>
        <v>◦ 설치장소: 동명(            ) 실명(            ), ◦ 유효수량: (         )㎥</v>
      </c>
      <c r="H26" s="278"/>
      <c r="I26" s="278"/>
      <c r="J26" s="278"/>
      <c r="K26" s="278"/>
      <c r="L26" s="278"/>
      <c r="M26" s="278"/>
      <c r="N26" s="278"/>
      <c r="O26" s="278"/>
      <c r="P26" s="278"/>
      <c r="Q26" s="278"/>
      <c r="R26" s="278"/>
      <c r="S26" s="278"/>
      <c r="T26" s="278"/>
    </row>
    <row r="27" customFormat="false" ht="20.25" hidden="false" customHeight="true" outlineLevel="0" collapsed="false">
      <c r="A27" s="316"/>
      <c r="B27" s="136" t="s">
        <v>260</v>
      </c>
      <c r="C27" s="136"/>
      <c r="D27" s="136"/>
      <c r="E27" s="136"/>
      <c r="F27" s="136"/>
      <c r="G27" s="277" t="str">
        <f aca="false">현1!G26</f>
        <v>◦ 설비의 종류: [  ]옥내소화전설비 [  ]옥외소화전설비 [  ]스프링클러설비</v>
      </c>
      <c r="H27" s="277"/>
      <c r="I27" s="277"/>
      <c r="J27" s="277"/>
      <c r="K27" s="277"/>
      <c r="L27" s="277"/>
      <c r="M27" s="277"/>
      <c r="N27" s="277"/>
      <c r="O27" s="277"/>
      <c r="P27" s="277"/>
      <c r="Q27" s="277"/>
      <c r="R27" s="277"/>
      <c r="S27" s="277"/>
      <c r="T27" s="277"/>
    </row>
    <row r="28" customFormat="false" ht="20.25" hidden="false" customHeight="true" outlineLevel="0" collapsed="false">
      <c r="A28" s="316"/>
      <c r="B28" s="136"/>
      <c r="C28" s="136"/>
      <c r="D28" s="136"/>
      <c r="E28" s="136"/>
      <c r="F28" s="136"/>
      <c r="G28" s="277" t="str">
        <f aca="false">현1!G27</f>
        <v>               [  ]간이스프링클러설비 [  ]화재조기진압용스프링클러설비 </v>
      </c>
      <c r="H28" s="277"/>
      <c r="I28" s="277"/>
      <c r="J28" s="277"/>
      <c r="K28" s="277"/>
      <c r="L28" s="277"/>
      <c r="M28" s="277"/>
      <c r="N28" s="277"/>
      <c r="O28" s="277"/>
      <c r="P28" s="277"/>
      <c r="Q28" s="277"/>
      <c r="R28" s="277"/>
      <c r="S28" s="277"/>
      <c r="T28" s="277"/>
    </row>
    <row r="29" customFormat="false" ht="20.25" hidden="false" customHeight="true" outlineLevel="0" collapsed="false">
      <c r="A29" s="316"/>
      <c r="B29" s="136"/>
      <c r="C29" s="136"/>
      <c r="D29" s="136"/>
      <c r="E29" s="136"/>
      <c r="F29" s="136"/>
      <c r="G29" s="277" t="str">
        <f aca="false">현1!G28</f>
        <v>               [  ]물분무소화설비 [  ]미분무소화설비 [  ]포소화설비</v>
      </c>
      <c r="H29" s="277"/>
      <c r="I29" s="277"/>
      <c r="J29" s="277"/>
      <c r="K29" s="277"/>
      <c r="L29" s="277"/>
      <c r="M29" s="277"/>
      <c r="N29" s="277"/>
      <c r="O29" s="277"/>
      <c r="P29" s="277"/>
      <c r="Q29" s="277"/>
      <c r="R29" s="277"/>
      <c r="S29" s="277"/>
      <c r="T29" s="277"/>
    </row>
    <row r="30" customFormat="false" ht="20.25" hidden="false" customHeight="true" outlineLevel="0" collapsed="false">
      <c r="A30" s="316"/>
      <c r="B30" s="136"/>
      <c r="C30" s="136"/>
      <c r="D30" s="136"/>
      <c r="E30" s="136"/>
      <c r="F30" s="136"/>
      <c r="G30" s="277" t="str">
        <f aca="false">현1!G29</f>
        <v>◦ 설치장소: 동명(            ) [  ]지상/[  ]지하 (   )층, 실명(            )</v>
      </c>
      <c r="H30" s="277"/>
      <c r="I30" s="277"/>
      <c r="J30" s="277"/>
      <c r="K30" s="277"/>
      <c r="L30" s="277"/>
      <c r="M30" s="277"/>
      <c r="N30" s="277"/>
      <c r="O30" s="277"/>
      <c r="P30" s="277"/>
      <c r="Q30" s="277"/>
      <c r="R30" s="277"/>
      <c r="S30" s="277"/>
      <c r="T30" s="277"/>
    </row>
    <row r="31" customFormat="false" ht="20.25" hidden="false" customHeight="true" outlineLevel="0" collapsed="false">
      <c r="A31" s="316"/>
      <c r="B31" s="136"/>
      <c r="C31" s="136"/>
      <c r="D31" s="136"/>
      <c r="E31" s="136"/>
      <c r="F31" s="136"/>
      <c r="G31" s="277" t="str">
        <f aca="false">현1!G30</f>
        <v>◦ 수조용량: (         )ℓ, 수조가압압력:(         )Mpa</v>
      </c>
      <c r="H31" s="277"/>
      <c r="I31" s="277"/>
      <c r="J31" s="277"/>
      <c r="K31" s="277"/>
      <c r="L31" s="277"/>
      <c r="M31" s="277"/>
      <c r="N31" s="277"/>
      <c r="O31" s="277"/>
      <c r="P31" s="277"/>
      <c r="Q31" s="277"/>
      <c r="R31" s="277"/>
      <c r="S31" s="277"/>
      <c r="T31" s="277"/>
    </row>
    <row r="32" customFormat="false" ht="20.25" hidden="false" customHeight="true" outlineLevel="0" collapsed="false">
      <c r="A32" s="316"/>
      <c r="B32" s="136"/>
      <c r="C32" s="136"/>
      <c r="D32" s="136"/>
      <c r="E32" s="136"/>
      <c r="F32" s="136"/>
      <c r="G32" s="278" t="str">
        <f aca="false">현1!G31</f>
        <v>◦ 자동식공기압축기 용량:(         )㎥/min, 동 력:(         )Kw</v>
      </c>
      <c r="H32" s="278"/>
      <c r="I32" s="278"/>
      <c r="J32" s="278"/>
      <c r="K32" s="278"/>
      <c r="L32" s="278"/>
      <c r="M32" s="278"/>
      <c r="N32" s="278"/>
      <c r="O32" s="278"/>
      <c r="P32" s="278"/>
      <c r="Q32" s="278"/>
      <c r="R32" s="278"/>
      <c r="S32" s="278"/>
      <c r="T32" s="278"/>
    </row>
    <row r="33" customFormat="false" ht="20.25" hidden="false" customHeight="true" outlineLevel="0" collapsed="false">
      <c r="A33" s="316"/>
      <c r="B33" s="460" t="s">
        <v>263</v>
      </c>
      <c r="C33" s="460"/>
      <c r="D33" s="460"/>
      <c r="E33" s="460"/>
      <c r="F33" s="460"/>
      <c r="G33" s="277" t="str">
        <f aca="false">현1!G32</f>
        <v>◦ 설비의 종류: [  ]옥내소화전설비 [  ]옥외소화전설비 [  ]스프링클러설비</v>
      </c>
      <c r="H33" s="277"/>
      <c r="I33" s="277"/>
      <c r="J33" s="277"/>
      <c r="K33" s="277"/>
      <c r="L33" s="277"/>
      <c r="M33" s="277"/>
      <c r="N33" s="277"/>
      <c r="O33" s="277"/>
      <c r="P33" s="277"/>
      <c r="Q33" s="277"/>
      <c r="R33" s="277"/>
      <c r="S33" s="277"/>
      <c r="T33" s="277"/>
    </row>
    <row r="34" customFormat="false" ht="20.25" hidden="false" customHeight="true" outlineLevel="0" collapsed="false">
      <c r="A34" s="316"/>
      <c r="B34" s="460"/>
      <c r="C34" s="460"/>
      <c r="D34" s="460"/>
      <c r="E34" s="460"/>
      <c r="F34" s="460"/>
      <c r="G34" s="277" t="str">
        <f aca="false">현1!G33</f>
        <v>               [  ]간이스프링클러설비 [  ]화재조기진압용스프링클러설비 </v>
      </c>
      <c r="H34" s="277"/>
      <c r="I34" s="277"/>
      <c r="J34" s="277"/>
      <c r="K34" s="277"/>
      <c r="L34" s="277"/>
      <c r="M34" s="277"/>
      <c r="N34" s="277"/>
      <c r="O34" s="277"/>
      <c r="P34" s="277"/>
      <c r="Q34" s="277"/>
      <c r="R34" s="277"/>
      <c r="S34" s="277"/>
      <c r="T34" s="277"/>
    </row>
    <row r="35" customFormat="false" ht="20.25" hidden="false" customHeight="true" outlineLevel="0" collapsed="false">
      <c r="A35" s="316"/>
      <c r="B35" s="460"/>
      <c r="C35" s="460"/>
      <c r="D35" s="460"/>
      <c r="E35" s="460"/>
      <c r="F35" s="460"/>
      <c r="G35" s="277" t="str">
        <f aca="false">현1!G34</f>
        <v>               [  ]물분무소화설비 [  ]미분무소화설비 [  ]포소화설비</v>
      </c>
      <c r="H35" s="277"/>
      <c r="I35" s="277"/>
      <c r="J35" s="277"/>
      <c r="K35" s="277"/>
      <c r="L35" s="277"/>
      <c r="M35" s="277"/>
      <c r="N35" s="277"/>
      <c r="O35" s="277"/>
      <c r="P35" s="277"/>
      <c r="Q35" s="277"/>
      <c r="R35" s="277"/>
      <c r="S35" s="277"/>
      <c r="T35" s="277"/>
    </row>
    <row r="36" customFormat="false" ht="20.25" hidden="false" customHeight="true" outlineLevel="0" collapsed="false">
      <c r="A36" s="316"/>
      <c r="B36" s="460"/>
      <c r="C36" s="460"/>
      <c r="D36" s="460"/>
      <c r="E36" s="460"/>
      <c r="F36" s="460"/>
      <c r="G36" s="277" t="str">
        <f aca="false">현1!G35</f>
        <v>◦ 설치장소: 동명(            ) [  ]지상/[  ]지하 (   )층, 실명(            )</v>
      </c>
      <c r="H36" s="277"/>
      <c r="I36" s="277"/>
      <c r="J36" s="277"/>
      <c r="K36" s="277"/>
      <c r="L36" s="277"/>
      <c r="M36" s="277"/>
      <c r="N36" s="277"/>
      <c r="O36" s="277"/>
      <c r="P36" s="277"/>
      <c r="Q36" s="277"/>
      <c r="R36" s="277"/>
      <c r="S36" s="277"/>
      <c r="T36" s="277"/>
    </row>
    <row r="37" customFormat="false" ht="20.25" hidden="false" customHeight="true" outlineLevel="0" collapsed="false">
      <c r="A37" s="316"/>
      <c r="B37" s="460"/>
      <c r="C37" s="460"/>
      <c r="D37" s="460"/>
      <c r="E37" s="460"/>
      <c r="F37" s="460"/>
      <c r="G37" s="277" t="str">
        <f aca="false">현1!G36</f>
        <v>◦ 수조용량: (         )ℓ, 수조가압압력:(         )Mpa</v>
      </c>
      <c r="H37" s="277"/>
      <c r="I37" s="277"/>
      <c r="J37" s="277"/>
      <c r="K37" s="277"/>
      <c r="L37" s="277"/>
      <c r="M37" s="277"/>
      <c r="N37" s="277"/>
      <c r="O37" s="277"/>
      <c r="P37" s="277"/>
      <c r="Q37" s="277"/>
      <c r="R37" s="277"/>
      <c r="S37" s="277"/>
      <c r="T37" s="277"/>
    </row>
    <row r="38" customFormat="false" ht="20.25" hidden="false" customHeight="true" outlineLevel="0" collapsed="false">
      <c r="A38" s="316"/>
      <c r="B38" s="460"/>
      <c r="C38" s="460"/>
      <c r="D38" s="460"/>
      <c r="E38" s="460"/>
      <c r="F38" s="460"/>
      <c r="G38" s="302" t="str">
        <f aca="false">현1!G37</f>
        <v>◦ 가압가스의 종류: [  ]공기 [  ]불연성가스(                  )</v>
      </c>
      <c r="H38" s="302"/>
      <c r="I38" s="302"/>
      <c r="J38" s="302"/>
      <c r="K38" s="302"/>
      <c r="L38" s="302"/>
      <c r="M38" s="302"/>
      <c r="N38" s="302"/>
      <c r="O38" s="302"/>
      <c r="P38" s="302"/>
      <c r="Q38" s="302"/>
      <c r="R38" s="302"/>
      <c r="S38" s="302"/>
      <c r="T38" s="302"/>
    </row>
  </sheetData>
  <mergeCells count="97">
    <mergeCell ref="A1:P1"/>
    <mergeCell ref="S1:T1"/>
    <mergeCell ref="A2:T2"/>
    <mergeCell ref="A3:T3"/>
    <mergeCell ref="A4:A5"/>
    <mergeCell ref="D4:H4"/>
    <mergeCell ref="K4:M4"/>
    <mergeCell ref="T4:T5"/>
    <mergeCell ref="C5:F5"/>
    <mergeCell ref="J5:K5"/>
    <mergeCell ref="N5:P5"/>
    <mergeCell ref="Q5:S5"/>
    <mergeCell ref="B6:F7"/>
    <mergeCell ref="G6:H7"/>
    <mergeCell ref="I6:K7"/>
    <mergeCell ref="L6:M7"/>
    <mergeCell ref="N6:P7"/>
    <mergeCell ref="Q6:S7"/>
    <mergeCell ref="T6:T7"/>
    <mergeCell ref="B8:F8"/>
    <mergeCell ref="G8:H8"/>
    <mergeCell ref="I8:K8"/>
    <mergeCell ref="L8:M8"/>
    <mergeCell ref="N8:P8"/>
    <mergeCell ref="Q8:S8"/>
    <mergeCell ref="B9:F9"/>
    <mergeCell ref="G9:H9"/>
    <mergeCell ref="I9:K9"/>
    <mergeCell ref="L9:M9"/>
    <mergeCell ref="N9:P9"/>
    <mergeCell ref="Q9:S9"/>
    <mergeCell ref="B10:F10"/>
    <mergeCell ref="G10:H10"/>
    <mergeCell ref="I10:K10"/>
    <mergeCell ref="L10:M10"/>
    <mergeCell ref="N10:P10"/>
    <mergeCell ref="Q10:S10"/>
    <mergeCell ref="B11:F11"/>
    <mergeCell ref="G11:H11"/>
    <mergeCell ref="I11:K11"/>
    <mergeCell ref="L11:M11"/>
    <mergeCell ref="N11:P11"/>
    <mergeCell ref="Q11:S11"/>
    <mergeCell ref="B12:F12"/>
    <mergeCell ref="G12:H12"/>
    <mergeCell ref="I12:K12"/>
    <mergeCell ref="L12:M12"/>
    <mergeCell ref="N12:P12"/>
    <mergeCell ref="Q12:S12"/>
    <mergeCell ref="B13:F13"/>
    <mergeCell ref="G13:H13"/>
    <mergeCell ref="I13:K13"/>
    <mergeCell ref="L13:M13"/>
    <mergeCell ref="N13:P13"/>
    <mergeCell ref="Q13:S13"/>
    <mergeCell ref="B14:F14"/>
    <mergeCell ref="G14:H14"/>
    <mergeCell ref="I14:K14"/>
    <mergeCell ref="L14:M14"/>
    <mergeCell ref="N14:P14"/>
    <mergeCell ref="Q14:S14"/>
    <mergeCell ref="B15:F15"/>
    <mergeCell ref="G15:H15"/>
    <mergeCell ref="I15:K15"/>
    <mergeCell ref="L15:M15"/>
    <mergeCell ref="N15:P15"/>
    <mergeCell ref="Q15:S15"/>
    <mergeCell ref="A16:T16"/>
    <mergeCell ref="A17:A22"/>
    <mergeCell ref="B17:F21"/>
    <mergeCell ref="G17:T17"/>
    <mergeCell ref="G18:T18"/>
    <mergeCell ref="G19:T19"/>
    <mergeCell ref="G20:T20"/>
    <mergeCell ref="G21:T21"/>
    <mergeCell ref="B22:F22"/>
    <mergeCell ref="G22:T22"/>
    <mergeCell ref="A23:A38"/>
    <mergeCell ref="B23:F26"/>
    <mergeCell ref="G23:T23"/>
    <mergeCell ref="G24:T24"/>
    <mergeCell ref="G25:T25"/>
    <mergeCell ref="G26:T26"/>
    <mergeCell ref="B27:F32"/>
    <mergeCell ref="G27:T27"/>
    <mergeCell ref="G28:T28"/>
    <mergeCell ref="G29:T29"/>
    <mergeCell ref="G30:T30"/>
    <mergeCell ref="G31:T31"/>
    <mergeCell ref="G32:T32"/>
    <mergeCell ref="B33:F38"/>
    <mergeCell ref="G33:T33"/>
    <mergeCell ref="G34:T34"/>
    <mergeCell ref="G35:T35"/>
    <mergeCell ref="G36:T36"/>
    <mergeCell ref="G37:T37"/>
    <mergeCell ref="G38:T38"/>
  </mergeCell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false" rightToLeft="false" tabSelected="false" showOutlineSymbols="true" defaultGridColor="true" view="normal" topLeftCell="A4" colorId="64" zoomScale="100" zoomScaleNormal="100" zoomScalePageLayoutView="100" workbookViewId="0">
      <selection pane="topLeft" activeCell="M16" activeCellId="0" sqref="M16"/>
    </sheetView>
  </sheetViews>
  <sheetFormatPr defaultColWidth="8.88671875" defaultRowHeight="13.5" customHeight="false" zeroHeight="false" outlineLevelRow="0" outlineLevelCol="0"/>
  <cols>
    <col collapsed="false" customWidth="true" hidden="false" outlineLevel="0" max="1" min="1" style="241" width="3.99"/>
    <col collapsed="false" customWidth="true" hidden="false" outlineLevel="0" max="2" min="2" style="241" width="9.21"/>
    <col collapsed="false" customWidth="true" hidden="false" outlineLevel="0" max="9" min="3" style="241" width="10.99"/>
    <col collapsed="false" customWidth="false" hidden="false" outlineLevel="0" max="257" min="10" style="241" width="8.88"/>
  </cols>
  <sheetData>
    <row r="1" customFormat="false" ht="13.5" hidden="false" customHeight="false" outlineLevel="0" collapsed="false">
      <c r="I1" s="461" t="s">
        <v>491</v>
      </c>
    </row>
    <row r="2" customFormat="false" ht="21.75" hidden="false" customHeight="true" outlineLevel="0" collapsed="false">
      <c r="A2" s="249" t="s">
        <v>258</v>
      </c>
      <c r="B2" s="249"/>
      <c r="C2" s="131" t="str">
        <f aca="false">현2!C2</f>
        <v>[  ]펌프방식</v>
      </c>
      <c r="D2" s="295" t="str">
        <f aca="false">현2!D2</f>
        <v>◦ 설비의 종류: [  ]옥내소화전설비 [  ]옥외소화전설비 [  ]스프링클러설비</v>
      </c>
      <c r="E2" s="295"/>
      <c r="F2" s="295"/>
      <c r="G2" s="295"/>
      <c r="H2" s="295"/>
      <c r="I2" s="295"/>
    </row>
    <row r="3" customFormat="false" ht="21.75" hidden="false" customHeight="true" outlineLevel="0" collapsed="false">
      <c r="A3" s="249"/>
      <c r="B3" s="249"/>
      <c r="C3" s="131"/>
      <c r="D3" s="277" t="str">
        <f aca="false">현2!D3</f>
        <v>               [  ]간이스프링클러설비 [  ]화재조기진압용스프링클러설비 </v>
      </c>
      <c r="E3" s="277"/>
      <c r="F3" s="277"/>
      <c r="G3" s="277"/>
      <c r="H3" s="277"/>
      <c r="I3" s="277"/>
    </row>
    <row r="4" customFormat="false" ht="21.75" hidden="false" customHeight="true" outlineLevel="0" collapsed="false">
      <c r="A4" s="249"/>
      <c r="B4" s="249"/>
      <c r="C4" s="131"/>
      <c r="D4" s="277" t="str">
        <f aca="false">현2!D4</f>
        <v>               [  ]물분무소화설비 [  ]미분무소화설비 [  ]포소화설비</v>
      </c>
      <c r="E4" s="277"/>
      <c r="F4" s="277"/>
      <c r="G4" s="277"/>
      <c r="H4" s="277"/>
      <c r="I4" s="277"/>
    </row>
    <row r="5" customFormat="false" ht="21.75" hidden="false" customHeight="true" outlineLevel="0" collapsed="false">
      <c r="A5" s="249"/>
      <c r="B5" s="249"/>
      <c r="C5" s="131"/>
      <c r="D5" s="277" t="str">
        <f aca="false">현2!D5</f>
        <v>◦ 설치장소: 동명(            ) [  ]지상/[  ]지하 (   )층, 실명(            )</v>
      </c>
      <c r="E5" s="277"/>
      <c r="F5" s="277"/>
      <c r="G5" s="277"/>
      <c r="H5" s="277"/>
      <c r="I5" s="277"/>
    </row>
    <row r="6" customFormat="false" ht="21.75" hidden="false" customHeight="true" outlineLevel="0" collapsed="false">
      <c r="A6" s="249"/>
      <c r="B6" s="249"/>
      <c r="C6" s="131"/>
      <c r="D6" s="277" t="str">
        <f aca="false">현2!D6</f>
        <v>◦ 주펌프  전양정:(         )m, 토출량:(         )ℓ/min</v>
      </c>
      <c r="E6" s="277"/>
      <c r="F6" s="277"/>
      <c r="G6" s="277"/>
      <c r="H6" s="277"/>
      <c r="I6" s="277"/>
    </row>
    <row r="7" customFormat="false" ht="21.75" hidden="false" customHeight="true" outlineLevel="0" collapsed="false">
      <c r="A7" s="249"/>
      <c r="B7" s="249"/>
      <c r="C7" s="131"/>
      <c r="D7" s="277" t="str">
        <f aca="false">현2!D7</f>
        <v>  [  ]전동기 [  ]내연기관(연료:[  ]경유 [  ]기타</v>
      </c>
      <c r="E7" s="277"/>
      <c r="F7" s="277"/>
      <c r="G7" s="277"/>
      <c r="H7" s="277"/>
      <c r="I7" s="277"/>
    </row>
    <row r="8" customFormat="false" ht="21.75" hidden="false" customHeight="true" outlineLevel="0" collapsed="false">
      <c r="A8" s="249"/>
      <c r="B8" s="249"/>
      <c r="C8" s="131"/>
      <c r="D8" s="277" t="str">
        <f aca="false">현2!D8</f>
        <v>◦ 예비펌프  전양정:(         )m, 토출량:(         )ℓ/min</v>
      </c>
      <c r="E8" s="277"/>
      <c r="F8" s="277"/>
      <c r="G8" s="277"/>
      <c r="H8" s="277"/>
      <c r="I8" s="277"/>
    </row>
    <row r="9" customFormat="false" ht="21.75" hidden="false" customHeight="true" outlineLevel="0" collapsed="false">
      <c r="A9" s="249"/>
      <c r="B9" s="249"/>
      <c r="C9" s="131"/>
      <c r="D9" s="277" t="str">
        <f aca="false">현2!D9</f>
        <v>  [  ]전동기 [  ]내연기관(연료:[  ]경유 [  ]기타</v>
      </c>
      <c r="E9" s="277"/>
      <c r="F9" s="277"/>
      <c r="G9" s="277"/>
      <c r="H9" s="277"/>
      <c r="I9" s="277"/>
    </row>
    <row r="10" customFormat="false" ht="21.75" hidden="false" customHeight="true" outlineLevel="0" collapsed="false">
      <c r="A10" s="249"/>
      <c r="B10" s="249"/>
      <c r="C10" s="131"/>
      <c r="D10" s="277" t="str">
        <f aca="false">현2!D10</f>
        <v>◦ 충압펌프  전양정:(         )m, 토출량:(         )ℓ/min</v>
      </c>
      <c r="E10" s="277"/>
      <c r="F10" s="277"/>
      <c r="G10" s="277"/>
      <c r="H10" s="277"/>
      <c r="I10" s="277"/>
    </row>
    <row r="11" customFormat="false" ht="21.75" hidden="false" customHeight="true" outlineLevel="0" collapsed="false">
      <c r="A11" s="249"/>
      <c r="B11" s="249"/>
      <c r="C11" s="131"/>
      <c r="D11" s="277" t="str">
        <f aca="false">현2!D11</f>
        <v>◦ [  ]물올림장치(유효수량: (         )ℓ, 급수배관: (         )㎜</v>
      </c>
      <c r="E11" s="277"/>
      <c r="F11" s="277"/>
      <c r="G11" s="277"/>
      <c r="H11" s="277"/>
      <c r="I11" s="277"/>
    </row>
    <row r="12" customFormat="false" ht="21.75" hidden="false" customHeight="true" outlineLevel="0" collapsed="false">
      <c r="A12" s="249"/>
      <c r="B12" s="249"/>
      <c r="C12" s="131"/>
      <c r="D12" s="277" t="str">
        <f aca="false">현2!D12</f>
        <v>◦ 기동장치: [  ]기동용수압개폐장치, [  ]ON/OFF 방식</v>
      </c>
      <c r="E12" s="277"/>
      <c r="F12" s="277"/>
      <c r="G12" s="277"/>
      <c r="H12" s="277"/>
      <c r="I12" s="277"/>
    </row>
    <row r="13" customFormat="false" ht="21.75" hidden="false" customHeight="true" outlineLevel="0" collapsed="false">
      <c r="A13" s="249"/>
      <c r="B13" s="249"/>
      <c r="C13" s="131"/>
      <c r="D13" s="277" t="str">
        <f aca="false">현2!D13</f>
        <v>  [  ]압력챔버(용량:(         )ℓ, 사용압력:(         )MPa)</v>
      </c>
      <c r="E13" s="277"/>
      <c r="F13" s="277"/>
      <c r="G13" s="277"/>
      <c r="H13" s="277"/>
      <c r="I13" s="277"/>
    </row>
    <row r="14" customFormat="false" ht="21.75" hidden="false" customHeight="true" outlineLevel="0" collapsed="false">
      <c r="A14" s="249"/>
      <c r="B14" s="249"/>
      <c r="C14" s="131"/>
      <c r="D14" s="277" t="str">
        <f aca="false">현2!D14</f>
        <v>  [  ]기동용압력스위치([  ]부르동관식 [  ]전자식 [  ]그 밖의 것)</v>
      </c>
      <c r="E14" s="277"/>
      <c r="F14" s="277"/>
      <c r="G14" s="277"/>
      <c r="H14" s="277"/>
      <c r="I14" s="277"/>
    </row>
    <row r="15" customFormat="false" ht="21.75" hidden="false" customHeight="true" outlineLevel="0" collapsed="false">
      <c r="A15" s="249"/>
      <c r="B15" s="249"/>
      <c r="C15" s="131"/>
      <c r="D15" s="277" t="str">
        <f aca="false">현2!D15</f>
        <v>◦ [  ]감압장치 [  ]지상/[  ]지하 (   )층, 설치장소:(                  )</v>
      </c>
      <c r="E15" s="277"/>
      <c r="F15" s="277"/>
      <c r="G15" s="277"/>
      <c r="H15" s="277"/>
      <c r="I15" s="277"/>
    </row>
    <row r="16" customFormat="false" ht="21.75" hidden="false" customHeight="true" outlineLevel="0" collapsed="false">
      <c r="A16" s="133" t="s">
        <v>286</v>
      </c>
      <c r="B16" s="133"/>
      <c r="C16" s="276" t="str">
        <f aca="false">현2!C16</f>
        <v>◦ 설비의 종류: [  ]옥내소화전설비 [  ]옥외소화전설비 [  ]스프링클러설비</v>
      </c>
      <c r="D16" s="276"/>
      <c r="E16" s="276"/>
      <c r="F16" s="276"/>
      <c r="G16" s="276"/>
      <c r="H16" s="276"/>
      <c r="I16" s="276"/>
    </row>
    <row r="17" customFormat="false" ht="21.75" hidden="false" customHeight="true" outlineLevel="0" collapsed="false">
      <c r="A17" s="133"/>
      <c r="B17" s="133"/>
      <c r="C17" s="297" t="str">
        <f aca="false">현2!C17</f>
        <v>               [  ]간이스프링클러설비 [  ]화재조기진압용스프링클러설비 </v>
      </c>
      <c r="D17" s="297"/>
      <c r="E17" s="297"/>
      <c r="F17" s="297"/>
      <c r="G17" s="297"/>
      <c r="H17" s="297"/>
      <c r="I17" s="297"/>
    </row>
    <row r="18" customFormat="false" ht="21.75" hidden="false" customHeight="true" outlineLevel="0" collapsed="false">
      <c r="A18" s="133"/>
      <c r="B18" s="133"/>
      <c r="C18" s="297" t="str">
        <f aca="false">현2!C18</f>
        <v>               [  ]물분무소화설비 [  ]미분무소화설비 [  ]포소화설비</v>
      </c>
      <c r="D18" s="297"/>
      <c r="E18" s="297"/>
      <c r="F18" s="297"/>
      <c r="G18" s="297"/>
      <c r="H18" s="297"/>
      <c r="I18" s="297"/>
    </row>
    <row r="19" customFormat="false" ht="21.75" hidden="false" customHeight="true" outlineLevel="0" collapsed="false">
      <c r="A19" s="133"/>
      <c r="B19" s="133"/>
      <c r="C19" s="462" t="str">
        <f aca="false">현2!C19</f>
        <v>◦ 설치장소:(                 ), [  ]쌍구형 (   )개/[  ]단구형 (   )개</v>
      </c>
      <c r="D19" s="462"/>
      <c r="E19" s="462"/>
      <c r="F19" s="462"/>
      <c r="G19" s="462"/>
      <c r="H19" s="462"/>
      <c r="I19" s="462"/>
    </row>
    <row r="20" customFormat="false" ht="21.75" hidden="false" customHeight="true" outlineLevel="0" collapsed="false">
      <c r="A20" s="150" t="s">
        <v>288</v>
      </c>
      <c r="B20" s="150"/>
      <c r="C20" s="296" t="str">
        <f aca="false">현2!C20</f>
        <v> [  ]자가발전설비([  ]소방전용 [  ]소방부하겸용 [  ]소방전원보존형 [  ]기타(          ))</v>
      </c>
      <c r="D20" s="296"/>
      <c r="E20" s="296"/>
      <c r="F20" s="296"/>
      <c r="G20" s="296"/>
      <c r="H20" s="296"/>
      <c r="I20" s="296"/>
    </row>
    <row r="21" customFormat="false" ht="21.75" hidden="false" customHeight="true" outlineLevel="0" collapsed="false">
      <c r="A21" s="150"/>
      <c r="B21" s="150"/>
      <c r="C21" s="297" t="str">
        <f aca="false">현2!C21</f>
        <v> [  ]비상전원수전설비 [  ]축전지설비 [  ]전기저장장치</v>
      </c>
      <c r="D21" s="297"/>
      <c r="E21" s="297"/>
      <c r="F21" s="297"/>
      <c r="G21" s="297"/>
      <c r="H21" s="297"/>
      <c r="I21" s="297"/>
    </row>
    <row r="22" customFormat="false" ht="21.75" hidden="false" customHeight="true" outlineLevel="0" collapsed="false">
      <c r="A22" s="150"/>
      <c r="B22" s="150"/>
      <c r="C22" s="298" t="str">
        <f aca="false">현2!C22</f>
        <v>◦ 설치장소: 동명(            ) [  ]지상/[  ]지하 (   )층, 실명(            )</v>
      </c>
      <c r="D22" s="298"/>
      <c r="E22" s="298"/>
      <c r="F22" s="298"/>
      <c r="G22" s="298"/>
      <c r="H22" s="298"/>
      <c r="I22" s="298"/>
    </row>
    <row r="23" customFormat="false" ht="21.75" hidden="false" customHeight="true" outlineLevel="0" collapsed="false">
      <c r="A23" s="463" t="s">
        <v>492</v>
      </c>
      <c r="B23" s="463"/>
      <c r="C23" s="463"/>
      <c r="D23" s="463"/>
      <c r="E23" s="463"/>
      <c r="F23" s="463"/>
      <c r="G23" s="463"/>
      <c r="H23" s="463"/>
      <c r="I23" s="463"/>
    </row>
    <row r="24" customFormat="false" ht="21.75" hidden="false" customHeight="true" outlineLevel="0" collapsed="false">
      <c r="A24" s="300" t="str">
        <f aca="false">현2!A24</f>
        <v>[  ]</v>
      </c>
      <c r="B24" s="464" t="str">
        <f aca="false">현2!B24</f>
        <v>옥내소화전</v>
      </c>
      <c r="C24" s="465" t="str">
        <f aca="false">현2!C24</f>
        <v>◦ 설치장소: 동명(   ) [  ]전체층/[  ]일부층 [  ]지상/[  ]지하(  )층 ~ [  ]지상/[  ]지하(  )층</v>
      </c>
      <c r="D24" s="465"/>
      <c r="E24" s="465"/>
      <c r="F24" s="465"/>
      <c r="G24" s="465"/>
      <c r="H24" s="465"/>
      <c r="I24" s="465"/>
    </row>
    <row r="25" customFormat="false" ht="21.75" hidden="false" customHeight="true" outlineLevel="0" collapsed="false">
      <c r="A25" s="300"/>
      <c r="B25" s="464"/>
      <c r="C25" s="297" t="str">
        <f aca="false">현2!C25</f>
        <v>            동명(   ) [  ]전체층/[  ]일부층 [  ]지상/[  ]지하(  )층 ~ [  ]지상/[  ]지하(  )층</v>
      </c>
      <c r="D25" s="297"/>
      <c r="E25" s="297"/>
      <c r="F25" s="297"/>
      <c r="G25" s="297"/>
      <c r="H25" s="297"/>
      <c r="I25" s="297"/>
    </row>
    <row r="26" customFormat="false" ht="21.75" hidden="false" customHeight="true" outlineLevel="0" collapsed="false">
      <c r="A26" s="300"/>
      <c r="B26" s="464"/>
      <c r="C26" s="297" t="str">
        <f aca="false">현2!C26</f>
        <v>◦ 설치개수가 가장 많은 층의 설치개수: (   )개</v>
      </c>
      <c r="D26" s="297"/>
      <c r="E26" s="297"/>
      <c r="F26" s="297"/>
      <c r="G26" s="297"/>
      <c r="H26" s="297"/>
      <c r="I26" s="297"/>
    </row>
    <row r="27" customFormat="false" ht="21.75" hidden="false" customHeight="true" outlineLevel="0" collapsed="false">
      <c r="A27" s="313" t="str">
        <f aca="false">현2!A27</f>
        <v>[  ]</v>
      </c>
      <c r="B27" s="430" t="str">
        <f aca="false">현2!B27</f>
        <v>옥외소화전</v>
      </c>
      <c r="C27" s="155" t="str">
        <f aca="false">현2!C27</f>
        <v>◦ 설치개수: (   )개</v>
      </c>
      <c r="D27" s="155"/>
      <c r="E27" s="155"/>
      <c r="F27" s="155"/>
      <c r="G27" s="155"/>
      <c r="H27" s="155"/>
      <c r="I27" s="155"/>
    </row>
    <row r="28" customFormat="false" ht="21.75" hidden="false" customHeight="true" outlineLevel="0" collapsed="false">
      <c r="A28" s="291" t="str">
        <f aca="false">현2!A28</f>
        <v>[  ]</v>
      </c>
      <c r="B28" s="430" t="str">
        <f aca="false">현2!B28</f>
        <v>스프링클러설비</v>
      </c>
      <c r="C28" s="297" t="str">
        <f aca="false">현2!C28</f>
        <v>◦ 종류: [  ]습식 [  ]부압식 [  ]준비작동식 [  ]건식 [  ]일제살수식</v>
      </c>
      <c r="D28" s="297"/>
      <c r="E28" s="297"/>
      <c r="F28" s="297"/>
      <c r="G28" s="297"/>
      <c r="H28" s="297"/>
      <c r="I28" s="297"/>
    </row>
    <row r="29" customFormat="false" ht="21.75" hidden="false" customHeight="true" outlineLevel="0" collapsed="false">
      <c r="A29" s="291"/>
      <c r="B29" s="430"/>
      <c r="C29" s="462" t="str">
        <f aca="false">현2!C29</f>
        <v>◦ 설치장소: 동명(   ) [  ]전체층/[  ]일부층 [  ]지상/[  ]지하(  )층 ~ [  ]지상/[  ]지하(  )층</v>
      </c>
      <c r="D29" s="462"/>
      <c r="E29" s="462"/>
      <c r="F29" s="462"/>
      <c r="G29" s="462"/>
      <c r="H29" s="462"/>
      <c r="I29" s="462"/>
    </row>
    <row r="30" customFormat="false" ht="21.75" hidden="false" customHeight="true" outlineLevel="0" collapsed="false">
      <c r="A30" s="291" t="str">
        <f aca="false">현2!A30</f>
        <v>[  ]</v>
      </c>
      <c r="B30" s="430" t="str">
        <f aca="false">현2!B30</f>
        <v>간이
스프링클러설비</v>
      </c>
      <c r="C30" s="297" t="str">
        <f aca="false">현2!C30</f>
        <v>◦ 종류: [  ]펌프 [  ]캐비닛 [  ]상수도</v>
      </c>
      <c r="D30" s="297"/>
      <c r="E30" s="297"/>
      <c r="F30" s="297"/>
      <c r="G30" s="297"/>
      <c r="H30" s="297"/>
      <c r="I30" s="297"/>
    </row>
    <row r="31" customFormat="false" ht="21.75" hidden="false" customHeight="true" outlineLevel="0" collapsed="false">
      <c r="A31" s="291"/>
      <c r="B31" s="430"/>
      <c r="C31" s="462" t="str">
        <f aca="false">현2!C31</f>
        <v>◦ 설치장소: 동명(   ) [  ]전체층/[  ]일부층 [  ]지상/[  ]지하(  )층 ~ [  ]지상/[  ]지하(  )층</v>
      </c>
      <c r="D31" s="462"/>
      <c r="E31" s="462"/>
      <c r="F31" s="462"/>
      <c r="G31" s="462"/>
      <c r="H31" s="462"/>
      <c r="I31" s="462"/>
    </row>
    <row r="32" customFormat="false" ht="21.75" hidden="false" customHeight="true" outlineLevel="0" collapsed="false">
      <c r="A32" s="291" t="str">
        <f aca="false">현2!A32</f>
        <v>[  ]</v>
      </c>
      <c r="B32" s="430" t="str">
        <f aca="false">현2!B32</f>
        <v>화재
조기진압용</v>
      </c>
      <c r="C32" s="297" t="str">
        <f aca="false">현2!C32</f>
        <v>◦ 설치장소: 동명(   ) [  ]전체층/[  ]일부층 [  ]지상/[  ]지하(  )층 ~ [  ]지상/[  ]지하(  )층</v>
      </c>
      <c r="D32" s="297"/>
      <c r="E32" s="297"/>
      <c r="F32" s="297"/>
      <c r="G32" s="297"/>
      <c r="H32" s="297"/>
      <c r="I32" s="297"/>
    </row>
    <row r="33" customFormat="false" ht="21.75" hidden="false" customHeight="true" outlineLevel="0" collapsed="false">
      <c r="A33" s="291"/>
      <c r="B33" s="430"/>
      <c r="C33" s="462" t="str">
        <f aca="false">현2!C33</f>
        <v>            동명(   ) [  ]전체층/[  ]일부층 [  ]지상/[  ]지하(  )층 ~ [  ]지상/[  ]지하(  )층</v>
      </c>
      <c r="D33" s="462"/>
      <c r="E33" s="462"/>
      <c r="F33" s="462"/>
      <c r="G33" s="462"/>
      <c r="H33" s="462"/>
      <c r="I33" s="462"/>
    </row>
    <row r="34" customFormat="false" ht="21.75" hidden="false" customHeight="true" outlineLevel="0" collapsed="false">
      <c r="A34" s="291" t="str">
        <f aca="false">현2!A34</f>
        <v>[  ]</v>
      </c>
      <c r="B34" s="430" t="str">
        <f aca="false">현2!B34</f>
        <v>물분무
소화설비</v>
      </c>
      <c r="C34" s="297" t="str">
        <f aca="false">현2!C34</f>
        <v>◦ 설치장소: 동명(   ) [  ]전체층/[  ]일부층 [  ]지상/[  ]지하(  )층 ~ [  ]지상/[  ]지하(  )층</v>
      </c>
      <c r="D34" s="297"/>
      <c r="E34" s="297"/>
      <c r="F34" s="297"/>
      <c r="G34" s="297"/>
      <c r="H34" s="297"/>
      <c r="I34" s="297"/>
    </row>
    <row r="35" customFormat="false" ht="21.75" hidden="false" customHeight="true" outlineLevel="0" collapsed="false">
      <c r="A35" s="291"/>
      <c r="B35" s="430"/>
      <c r="C35" s="462" t="str">
        <f aca="false">현2!C35</f>
        <v>            동명(   ) [  ]전체층/[  ]일부층 [  ]지상/[  ]지하(  )층 ~ [  ]지상/[  ]지하(  )층</v>
      </c>
      <c r="D35" s="462"/>
      <c r="E35" s="462"/>
      <c r="F35" s="462"/>
      <c r="G35" s="462"/>
      <c r="H35" s="462"/>
      <c r="I35" s="462"/>
    </row>
    <row r="36" customFormat="false" ht="21.75" hidden="false" customHeight="true" outlineLevel="0" collapsed="false">
      <c r="A36" s="294" t="str">
        <f aca="false">현2!A36</f>
        <v>[  ]</v>
      </c>
      <c r="B36" s="466" t="str">
        <f aca="false">현2!B36</f>
        <v>포
소화설비</v>
      </c>
      <c r="C36" s="297" t="str">
        <f aca="false">현2!C36</f>
        <v>[  ]포워터스프링클러설비 [  ]포헤드설비 [  ]고정포방출설비 [  ]기타(               )</v>
      </c>
      <c r="D36" s="297"/>
      <c r="E36" s="297"/>
      <c r="F36" s="297"/>
      <c r="G36" s="297"/>
      <c r="H36" s="297"/>
      <c r="I36" s="297"/>
    </row>
    <row r="37" customFormat="false" ht="21.75" hidden="false" customHeight="true" outlineLevel="0" collapsed="false">
      <c r="A37" s="294"/>
      <c r="B37" s="466"/>
      <c r="C37" s="297" t="str">
        <f aca="false">현2!C37</f>
        <v>◦ 소화약제 [  ]단백포 [  ]합성계면활성제포 [  ]수성막포 [  ]내알코올포</v>
      </c>
      <c r="D37" s="297"/>
      <c r="E37" s="297"/>
      <c r="F37" s="297"/>
      <c r="G37" s="297"/>
      <c r="H37" s="297"/>
      <c r="I37" s="297"/>
    </row>
    <row r="38" customFormat="false" ht="21.75" hidden="false" customHeight="true" outlineLevel="0" collapsed="false">
      <c r="A38" s="294"/>
      <c r="B38" s="466"/>
      <c r="C38" s="298" t="str">
        <f aca="false">현2!C38</f>
        <v>◦ 설치장소: 동명(   ) [  ]전체층/[  ]일부층 [  ]지상/[  ]지하(  )층 ~ [  ]지상/[  ]지하(  )층</v>
      </c>
      <c r="D38" s="298"/>
      <c r="E38" s="298"/>
      <c r="F38" s="298"/>
      <c r="G38" s="298"/>
      <c r="H38" s="298"/>
      <c r="I38" s="298"/>
    </row>
  </sheetData>
  <mergeCells count="53">
    <mergeCell ref="A2:B15"/>
    <mergeCell ref="C2:C15"/>
    <mergeCell ref="D2:I2"/>
    <mergeCell ref="D3:I3"/>
    <mergeCell ref="D4:I4"/>
    <mergeCell ref="D5:I5"/>
    <mergeCell ref="D6:I6"/>
    <mergeCell ref="D7:I7"/>
    <mergeCell ref="D8:I8"/>
    <mergeCell ref="D9:I9"/>
    <mergeCell ref="D10:I10"/>
    <mergeCell ref="D11:I11"/>
    <mergeCell ref="D12:I12"/>
    <mergeCell ref="D13:I13"/>
    <mergeCell ref="D14:I14"/>
    <mergeCell ref="D15:I15"/>
    <mergeCell ref="A16:B19"/>
    <mergeCell ref="C16:I16"/>
    <mergeCell ref="C17:I17"/>
    <mergeCell ref="C18:I18"/>
    <mergeCell ref="C19:I19"/>
    <mergeCell ref="A20:B22"/>
    <mergeCell ref="C20:I20"/>
    <mergeCell ref="C21:I21"/>
    <mergeCell ref="C22:I22"/>
    <mergeCell ref="A23:I23"/>
    <mergeCell ref="A24:A26"/>
    <mergeCell ref="B24:B26"/>
    <mergeCell ref="C24:I24"/>
    <mergeCell ref="C25:I25"/>
    <mergeCell ref="C26:I26"/>
    <mergeCell ref="C27:I27"/>
    <mergeCell ref="A28:A29"/>
    <mergeCell ref="B28:B29"/>
    <mergeCell ref="C28:I28"/>
    <mergeCell ref="C29:I29"/>
    <mergeCell ref="A30:A31"/>
    <mergeCell ref="B30:B31"/>
    <mergeCell ref="C30:I30"/>
    <mergeCell ref="C31:I31"/>
    <mergeCell ref="A32:A33"/>
    <mergeCell ref="B32:B33"/>
    <mergeCell ref="C32:I32"/>
    <mergeCell ref="C33:I33"/>
    <mergeCell ref="A34:A35"/>
    <mergeCell ref="B34:B35"/>
    <mergeCell ref="C34:I34"/>
    <mergeCell ref="C35:I35"/>
    <mergeCell ref="A36:A38"/>
    <mergeCell ref="B36:B38"/>
    <mergeCell ref="C36:I36"/>
    <mergeCell ref="C37:I37"/>
    <mergeCell ref="C38:I38"/>
  </mergeCells>
  <printOptions headings="false" gridLines="false" gridLinesSet="true" horizontalCentered="false" verticalCentered="false"/>
  <pageMargins left="0.3937007874015748" right="0.2362204724409449" top="0.36" bottom="0.2755905511811024" header="0.32" footer="0.2362204724409449"/>
  <pageSetup paperSize="9" scale="9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false" rightToLeft="false" tabSelected="false" showOutlineSymbols="true" defaultGridColor="true" view="normal" topLeftCell="A19" colorId="64" zoomScale="100" zoomScaleNormal="100" zoomScalePageLayoutView="100" workbookViewId="0">
      <selection pane="topLeft" activeCell="A11" activeCellId="0" sqref="A11:I11"/>
    </sheetView>
  </sheetViews>
  <sheetFormatPr defaultColWidth="8.88671875" defaultRowHeight="13.5" customHeight="false" zeroHeight="false" outlineLevelRow="0" outlineLevelCol="0"/>
  <cols>
    <col collapsed="false" customWidth="true" hidden="false" outlineLevel="0" max="1" min="1" style="370" width="3.99"/>
    <col collapsed="false" customWidth="true" hidden="false" outlineLevel="0" max="2" min="2" style="370" width="10.77"/>
    <col collapsed="false" customWidth="true" hidden="false" outlineLevel="0" max="8" min="3" style="370" width="10.99"/>
    <col collapsed="false" customWidth="true" hidden="false" outlineLevel="0" max="9" min="9" style="370" width="9.21"/>
    <col collapsed="false" customWidth="false" hidden="false" outlineLevel="0" max="257" min="10" style="370" width="8.88"/>
  </cols>
  <sheetData>
    <row r="1" customFormat="false" ht="13.5" hidden="false" customHeight="false" outlineLevel="0" collapsed="false">
      <c r="I1" s="467" t="s">
        <v>493</v>
      </c>
    </row>
    <row r="2" customFormat="false" ht="29.25" hidden="false" customHeight="true" outlineLevel="0" collapsed="false">
      <c r="A2" s="468" t="s">
        <v>494</v>
      </c>
      <c r="B2" s="468"/>
      <c r="C2" s="468"/>
      <c r="D2" s="468"/>
      <c r="E2" s="468"/>
      <c r="F2" s="468"/>
      <c r="G2" s="468"/>
      <c r="H2" s="468"/>
      <c r="I2" s="468"/>
    </row>
    <row r="3" customFormat="false" ht="23.25" hidden="false" customHeight="true" outlineLevel="0" collapsed="false">
      <c r="A3" s="469" t="str">
        <f aca="false">현2!A40</f>
        <v>[  ]</v>
      </c>
      <c r="B3" s="470" t="str">
        <f aca="false">현2!B40</f>
        <v>이산화탄소</v>
      </c>
      <c r="C3" s="465" t="str">
        <f aca="false">현2!C40</f>
        <v>[  ]전역방출 [  ]국소방출 [  ]호스릴 / [  ]고압식 [  ]저압식 / [  ]축압식 [  ]가압식</v>
      </c>
      <c r="D3" s="465"/>
      <c r="E3" s="465"/>
      <c r="F3" s="465"/>
      <c r="G3" s="465"/>
      <c r="H3" s="465"/>
      <c r="I3" s="465"/>
    </row>
    <row r="4" customFormat="false" ht="23.25" hidden="false" customHeight="true" outlineLevel="0" collapsed="false">
      <c r="A4" s="471" t="str">
        <f aca="false">현2!A41</f>
        <v>[  ]</v>
      </c>
      <c r="B4" s="472" t="str">
        <f aca="false">현2!B41</f>
        <v>할론</v>
      </c>
      <c r="C4" s="297" t="str">
        <f aca="false">현2!C41</f>
        <v>◦ 설치장소: 동명(   ) [  ]전체층/[  ]일부층 [  ]지상/[  ]지하(  )층 ~ [  ]지상/[  ]지하(  )층</v>
      </c>
      <c r="D4" s="297"/>
      <c r="E4" s="297"/>
      <c r="F4" s="297"/>
      <c r="G4" s="297"/>
      <c r="H4" s="297"/>
      <c r="I4" s="297"/>
    </row>
    <row r="5" customFormat="false" ht="23.25" hidden="false" customHeight="true" outlineLevel="0" collapsed="false">
      <c r="A5" s="471" t="str">
        <f aca="false">현2!A42</f>
        <v>[  ]</v>
      </c>
      <c r="B5" s="473" t="str">
        <f aca="false">현2!B42</f>
        <v>할로겐화합물
및 불활성기체</v>
      </c>
      <c r="C5" s="297" t="str">
        <f aca="false">현2!C42</f>
        <v>◦ 저장용기 설치장소: [  ]지상/[  ]지하 (   )층, [  ]전용실 [  ]기타(               )</v>
      </c>
      <c r="D5" s="297"/>
      <c r="E5" s="297"/>
      <c r="F5" s="297"/>
      <c r="G5" s="297"/>
      <c r="H5" s="297"/>
      <c r="I5" s="297"/>
    </row>
    <row r="6" customFormat="false" ht="23.25" hidden="false" customHeight="true" outlineLevel="0" collapsed="false">
      <c r="A6" s="471"/>
      <c r="B6" s="473"/>
      <c r="C6" s="297" t="str">
        <f aca="false">현2!C43</f>
        <v>  수량: (         )[ ]㎏,[ ]㎥ (         )ℓ (         )개</v>
      </c>
      <c r="D6" s="297"/>
      <c r="E6" s="297"/>
      <c r="F6" s="297"/>
      <c r="G6" s="297"/>
      <c r="H6" s="297"/>
      <c r="I6" s="297"/>
    </row>
    <row r="7" customFormat="false" ht="23.25" hidden="false" customHeight="true" outlineLevel="0" collapsed="false">
      <c r="A7" s="471" t="str">
        <f aca="false">현2!A44</f>
        <v>[  ]</v>
      </c>
      <c r="B7" s="472" t="str">
        <f aca="false">현2!B44</f>
        <v>분말</v>
      </c>
      <c r="C7" s="297" t="str">
        <f aca="false">현2!C44</f>
        <v>◦ 소화약제 [  ]이산화탄소 [  ]할론1301 [  ]할론2402 [  ]할론1211 [  ] 할론104</v>
      </c>
      <c r="D7" s="297"/>
      <c r="E7" s="297"/>
      <c r="F7" s="297"/>
      <c r="G7" s="297"/>
      <c r="H7" s="297"/>
      <c r="I7" s="297"/>
    </row>
    <row r="8" customFormat="false" ht="23.25" hidden="false" customHeight="true" outlineLevel="0" collapsed="false">
      <c r="A8" s="471" t="str">
        <f aca="false">현2!A45</f>
        <v>[  ]</v>
      </c>
      <c r="B8" s="472" t="str">
        <f aca="false">현2!B45</f>
        <v>강화액</v>
      </c>
      <c r="C8" s="297" t="str">
        <f aca="false">현2!C45</f>
        <v>  [  ]FC-3-1-10 [  ]HCFC BLEND A [  ]HCFC-124 [  ]HFC-125 [  ]HFC-227ea</v>
      </c>
      <c r="D8" s="297"/>
      <c r="E8" s="297"/>
      <c r="F8" s="297"/>
      <c r="G8" s="297"/>
      <c r="H8" s="297"/>
      <c r="I8" s="297"/>
    </row>
    <row r="9" customFormat="false" ht="23.25" hidden="false" customHeight="true" outlineLevel="0" collapsed="false">
      <c r="A9" s="471" t="str">
        <f aca="false">현2!A46</f>
        <v>[  ]</v>
      </c>
      <c r="B9" s="472" t="str">
        <f aca="false">현2!B46</f>
        <v>고체에어로졸</v>
      </c>
      <c r="C9" s="297" t="str">
        <f aca="false">현2!C46</f>
        <v>  [  ]HFC-23 [  ]IG-541 [  ]IG-100 [  ] 기타(           )</v>
      </c>
      <c r="D9" s="297"/>
      <c r="E9" s="297"/>
      <c r="F9" s="297"/>
      <c r="G9" s="297"/>
      <c r="H9" s="297"/>
      <c r="I9" s="297"/>
    </row>
    <row r="10" customFormat="false" ht="23.25" hidden="false" customHeight="true" outlineLevel="0" collapsed="false">
      <c r="A10" s="474" t="n">
        <f aca="false">현2!A47</f>
        <v>0</v>
      </c>
      <c r="B10" s="475"/>
      <c r="C10" s="298" t="str">
        <f aca="false">현2!C47</f>
        <v>  [  ]제1종분말 [  ]제2종분말 [  ]제3종분말 [  ]제4종분말</v>
      </c>
      <c r="D10" s="298"/>
      <c r="E10" s="298"/>
      <c r="F10" s="298"/>
      <c r="G10" s="298"/>
      <c r="H10" s="298"/>
      <c r="I10" s="298"/>
    </row>
    <row r="11" customFormat="false" ht="29.25" hidden="false" customHeight="true" outlineLevel="0" collapsed="false">
      <c r="A11" s="476" t="s">
        <v>495</v>
      </c>
      <c r="B11" s="476"/>
      <c r="C11" s="476"/>
      <c r="D11" s="476"/>
      <c r="E11" s="476"/>
      <c r="F11" s="476"/>
      <c r="G11" s="476"/>
      <c r="H11" s="476"/>
      <c r="I11" s="476"/>
    </row>
    <row r="12" customFormat="false" ht="23.25" hidden="false" customHeight="true" outlineLevel="0" collapsed="false">
      <c r="A12" s="477" t="str">
        <f aca="false">현황!C26</f>
        <v>[  ]</v>
      </c>
      <c r="B12" s="464" t="str">
        <f aca="false">현3!B3</f>
        <v>단독
경보형감지기</v>
      </c>
      <c r="C12" s="465" t="str">
        <f aca="false">현3!C3</f>
        <v>◦ 설치장소: 동명(   ) [  ]전체층/[  ]일부층 [  ]지상/[  ]지하(  )층 ~ [  ]지상/[  ]지하(  )층</v>
      </c>
      <c r="D12" s="465"/>
      <c r="E12" s="465"/>
      <c r="F12" s="465"/>
      <c r="G12" s="465"/>
      <c r="H12" s="465"/>
      <c r="I12" s="465"/>
    </row>
    <row r="13" customFormat="false" ht="23.25" hidden="false" customHeight="true" outlineLevel="0" collapsed="false">
      <c r="A13" s="477"/>
      <c r="B13" s="464"/>
      <c r="C13" s="462" t="str">
        <f aca="false">현3!C4</f>
        <v>◦ 주전원 [  ]상용전원 [  ]건전지</v>
      </c>
      <c r="D13" s="462"/>
      <c r="E13" s="462"/>
      <c r="F13" s="462"/>
      <c r="G13" s="462"/>
      <c r="H13" s="462"/>
      <c r="I13" s="462"/>
    </row>
    <row r="14" customFormat="false" ht="23.25" hidden="false" customHeight="true" outlineLevel="0" collapsed="false">
      <c r="A14" s="478" t="str">
        <f aca="false">현황!C27</f>
        <v>[  ]</v>
      </c>
      <c r="B14" s="430" t="str">
        <f aca="false">현3!B5</f>
        <v>비상경보설비</v>
      </c>
      <c r="C14" s="296" t="str">
        <f aca="false">현3!C5</f>
        <v>[  ]비상벨설비 [  ]자동식사이렌설비</v>
      </c>
      <c r="D14" s="296"/>
      <c r="E14" s="296"/>
      <c r="F14" s="296"/>
      <c r="G14" s="296"/>
      <c r="H14" s="296"/>
      <c r="I14" s="296"/>
    </row>
    <row r="15" customFormat="false" ht="23.25" hidden="false" customHeight="true" outlineLevel="0" collapsed="false">
      <c r="A15" s="478"/>
      <c r="B15" s="430"/>
      <c r="C15" s="297" t="str">
        <f aca="false">현3!C6</f>
        <v>◦ 설치장소: 동명(   ) [  ]전체층/[  ]일부층 [  ]지상/[  ]지하(  )층 ~ [  ]지상/[  ]지하(  )층</v>
      </c>
      <c r="D15" s="297"/>
      <c r="E15" s="297"/>
      <c r="F15" s="297"/>
      <c r="G15" s="297"/>
      <c r="H15" s="297"/>
      <c r="I15" s="297"/>
    </row>
    <row r="16" customFormat="false" ht="23.25" hidden="false" customHeight="true" outlineLevel="0" collapsed="false">
      <c r="A16" s="478"/>
      <c r="B16" s="430"/>
      <c r="C16" s="462" t="str">
        <f aca="false">현3!C7</f>
        <v>◦ 조작장치 설치장소: 동명(            ) [  ]지상/[  ]지하 (   )층 실명(              )</v>
      </c>
      <c r="D16" s="462"/>
      <c r="E16" s="462"/>
      <c r="F16" s="462"/>
      <c r="G16" s="462"/>
      <c r="H16" s="462"/>
      <c r="I16" s="462"/>
    </row>
    <row r="17" customFormat="false" ht="23.25" hidden="false" customHeight="true" outlineLevel="0" collapsed="false">
      <c r="A17" s="478" t="str">
        <f aca="false">현황!C28</f>
        <v>[  ]</v>
      </c>
      <c r="B17" s="479" t="str">
        <f aca="false">현3!B8</f>
        <v>자동화재
탐지설비</v>
      </c>
      <c r="C17" s="296" t="str">
        <f aca="false">현3!C8</f>
        <v>◦ 수신기 위치: 동명(   ) [  ]지상/[  ]지하 (   )층 실명(     )</v>
      </c>
      <c r="D17" s="296"/>
      <c r="E17" s="296"/>
      <c r="F17" s="296"/>
      <c r="G17" s="296"/>
      <c r="H17" s="296"/>
      <c r="I17" s="296"/>
    </row>
    <row r="18" customFormat="false" ht="23.25" hidden="false" customHeight="true" outlineLevel="0" collapsed="false">
      <c r="A18" s="478"/>
      <c r="B18" s="479"/>
      <c r="C18" s="297" t="str">
        <f aca="false">현3!C9</f>
        <v>◦ 경보방식 [  ]전층경보 [  ]우선경보, 시각경보기 [  ]유 [  ]무</v>
      </c>
      <c r="D18" s="297"/>
      <c r="E18" s="297"/>
      <c r="F18" s="297"/>
      <c r="G18" s="297"/>
      <c r="H18" s="297"/>
      <c r="I18" s="297"/>
    </row>
    <row r="19" customFormat="false" ht="23.25" hidden="false" customHeight="true" outlineLevel="0" collapsed="false">
      <c r="A19" s="478"/>
      <c r="B19" s="479"/>
      <c r="C19" s="297" t="str">
        <f aca="false">현3!C10</f>
        <v>◦ 설치장소: 동명(   ) [  ]전체층/[  ]일부층 [  ]지상/[  ]지하(  )층 ~ [  ]지상/[  ]지하(  )층</v>
      </c>
      <c r="D19" s="297"/>
      <c r="E19" s="297"/>
      <c r="F19" s="297"/>
      <c r="G19" s="297"/>
      <c r="H19" s="297"/>
      <c r="I19" s="297"/>
    </row>
    <row r="20" customFormat="false" ht="23.25" hidden="false" customHeight="true" outlineLevel="0" collapsed="false">
      <c r="A20" s="478"/>
      <c r="B20" s="479"/>
      <c r="C20" s="297" t="str">
        <f aca="false">현3!C11</f>
        <v>            동명(   ) [  ]전체층/[  ]일부층 [  ]지상/[  ]지하(  )층 ~ [  ]지상/[  ]지하(  )층</v>
      </c>
      <c r="D20" s="297"/>
      <c r="E20" s="297"/>
      <c r="F20" s="297"/>
      <c r="G20" s="297"/>
      <c r="H20" s="297"/>
      <c r="I20" s="297"/>
    </row>
    <row r="21" customFormat="false" ht="23.25" hidden="false" customHeight="true" outlineLevel="0" collapsed="false">
      <c r="A21" s="478"/>
      <c r="B21" s="479"/>
      <c r="C21" s="462" t="str">
        <f aca="false">현3!C12</f>
        <v>◦ 감지기종류 [  ]열 [  ]연기 [  ]그 밖의 것([  ]불꽃 [  ]아날로그식 [  ]복합형)</v>
      </c>
      <c r="D21" s="462"/>
      <c r="E21" s="462"/>
      <c r="F21" s="462"/>
      <c r="G21" s="462"/>
      <c r="H21" s="462"/>
      <c r="I21" s="462"/>
    </row>
    <row r="22" customFormat="false" ht="23.25" hidden="false" customHeight="true" outlineLevel="0" collapsed="false">
      <c r="A22" s="478" t="str">
        <f aca="false">현황!C29</f>
        <v>[  ]</v>
      </c>
      <c r="B22" s="480" t="str">
        <f aca="false">현3!B13</f>
        <v>비상방송설비</v>
      </c>
      <c r="C22" s="296" t="str">
        <f aca="false">현3!C13</f>
        <v>[  ]전용 [  ]겸용 / [  ]전층경보 [  ]우선경보</v>
      </c>
      <c r="D22" s="296"/>
      <c r="E22" s="296"/>
      <c r="F22" s="296"/>
      <c r="G22" s="296"/>
      <c r="H22" s="296"/>
      <c r="I22" s="296"/>
    </row>
    <row r="23" customFormat="false" ht="23.25" hidden="false" customHeight="true" outlineLevel="0" collapsed="false">
      <c r="A23" s="478"/>
      <c r="B23" s="480"/>
      <c r="C23" s="462" t="str">
        <f aca="false">현3!C14</f>
        <v>◦ 증폭기 설치장소: 동명(            ) [  ]지상/[  ]지하 (    )층, 실명(             )</v>
      </c>
      <c r="D23" s="462"/>
      <c r="E23" s="462"/>
      <c r="F23" s="462"/>
      <c r="G23" s="462"/>
      <c r="H23" s="462"/>
      <c r="I23" s="462"/>
    </row>
    <row r="24" customFormat="false" ht="44.25" hidden="false" customHeight="true" outlineLevel="0" collapsed="false">
      <c r="A24" s="478" t="str">
        <f aca="false">현황!C31</f>
        <v>[  ]</v>
      </c>
      <c r="B24" s="481" t="str">
        <f aca="false">현3!B15</f>
        <v>자동화재
속보설비</v>
      </c>
      <c r="C24" s="462" t="str">
        <f aca="false">현3!C15</f>
        <v>◦ 속보기 설치장소: 동명(            ) [  ]지상/[  ]지하 (    )층, 실명(             )</v>
      </c>
      <c r="D24" s="462"/>
      <c r="E24" s="462"/>
      <c r="F24" s="462"/>
      <c r="G24" s="462"/>
      <c r="H24" s="462"/>
      <c r="I24" s="462"/>
    </row>
    <row r="25" customFormat="false" ht="23.25" hidden="false" customHeight="true" outlineLevel="0" collapsed="false">
      <c r="A25" s="478" t="str">
        <f aca="false">현황!C30</f>
        <v>[  ]</v>
      </c>
      <c r="B25" s="430" t="str">
        <f aca="false">현3!B16</f>
        <v>통합감시시설</v>
      </c>
      <c r="C25" s="296" t="str">
        <f aca="false">현3!C16</f>
        <v>◦ 주수신기 설치장소: 동명(            ) [  ]지상/[  ]지하 (    )층, 실명(             )</v>
      </c>
      <c r="D25" s="296"/>
      <c r="E25" s="296"/>
      <c r="F25" s="296"/>
      <c r="G25" s="296"/>
      <c r="H25" s="296"/>
      <c r="I25" s="296"/>
    </row>
    <row r="26" customFormat="false" ht="23.25" hidden="false" customHeight="true" outlineLevel="0" collapsed="false">
      <c r="A26" s="478"/>
      <c r="B26" s="430"/>
      <c r="C26" s="297" t="str">
        <f aca="false">현3!C17</f>
        <v>◦ 부수신기 설치장소: 동명(            ) [  ]지상/[  ]지하 (    )층, 실명(             )</v>
      </c>
      <c r="D26" s="297"/>
      <c r="E26" s="297"/>
      <c r="F26" s="297"/>
      <c r="G26" s="297"/>
      <c r="H26" s="297"/>
      <c r="I26" s="297"/>
    </row>
    <row r="27" customFormat="false" ht="23.25" hidden="false" customHeight="true" outlineLevel="0" collapsed="false">
      <c r="A27" s="478"/>
      <c r="B27" s="430"/>
      <c r="C27" s="462" t="str">
        <f aca="false">현3!C18</f>
        <v>◦ 정보통신망 [  ]광케이블 [  ]기타(            ) / 예비선로 [  ]유 [  ]무</v>
      </c>
      <c r="D27" s="462"/>
      <c r="E27" s="462"/>
      <c r="F27" s="462"/>
      <c r="G27" s="462"/>
      <c r="H27" s="462"/>
      <c r="I27" s="462"/>
    </row>
    <row r="28" customFormat="false" ht="23.25" hidden="false" customHeight="true" outlineLevel="0" collapsed="false">
      <c r="A28" s="478" t="str">
        <f aca="false">현황!C32</f>
        <v>[  ]</v>
      </c>
      <c r="B28" s="430" t="str">
        <f aca="false">현3!B19</f>
        <v>누전경보기</v>
      </c>
      <c r="C28" s="296" t="str">
        <f aca="false">현3!C19</f>
        <v>◦ 주수신기 설치장소: 동명(            ) [  ]지상/[  ]지하 (    )층, 실명(             )</v>
      </c>
      <c r="D28" s="296"/>
      <c r="E28" s="296"/>
      <c r="F28" s="296"/>
      <c r="G28" s="296"/>
      <c r="H28" s="296"/>
      <c r="I28" s="296"/>
    </row>
    <row r="29" customFormat="false" ht="23.25" hidden="false" customHeight="true" outlineLevel="0" collapsed="false">
      <c r="A29" s="478"/>
      <c r="B29" s="430"/>
      <c r="C29" s="462" t="str">
        <f aca="false">현3!C20</f>
        <v>◦ 수신기 형식 [  ]1급 [  ]2급, 차단기구 [ ]무 [  ]유(설치장소:                    )</v>
      </c>
      <c r="D29" s="462"/>
      <c r="E29" s="462"/>
      <c r="F29" s="462"/>
      <c r="G29" s="462"/>
      <c r="H29" s="462"/>
      <c r="I29" s="462"/>
    </row>
    <row r="30" customFormat="false" ht="23.25" hidden="false" customHeight="true" outlineLevel="0" collapsed="false">
      <c r="A30" s="482" t="str">
        <f aca="false">현황!C33</f>
        <v>[  ]</v>
      </c>
      <c r="B30" s="466" t="str">
        <f aca="false">현3!B21</f>
        <v>가스누설
경보기</v>
      </c>
      <c r="C30" s="296" t="str">
        <f aca="false">현3!C21</f>
        <v>◦ [  ]단독형 [  ]분리형, 사용가스종류 [  ]LNG [  ]LPG, 경계구역 수: (     )개</v>
      </c>
      <c r="D30" s="296"/>
      <c r="E30" s="296"/>
      <c r="F30" s="296"/>
      <c r="G30" s="296"/>
      <c r="H30" s="296"/>
      <c r="I30" s="296"/>
    </row>
    <row r="31" customFormat="false" ht="23.25" hidden="false" customHeight="true" outlineLevel="0" collapsed="false">
      <c r="A31" s="482"/>
      <c r="B31" s="466"/>
      <c r="C31" s="297" t="str">
        <f aca="false">현3!C22</f>
        <v>◦ 수신기 설치장소: 동명(            ) [  ]지상/[  ]지하 (    )층, 실명(             )</v>
      </c>
      <c r="D31" s="297"/>
      <c r="E31" s="297"/>
      <c r="F31" s="297"/>
      <c r="G31" s="297"/>
      <c r="H31" s="297"/>
      <c r="I31" s="297"/>
    </row>
    <row r="32" customFormat="false" ht="23.25" hidden="false" customHeight="true" outlineLevel="0" collapsed="false">
      <c r="A32" s="482"/>
      <c r="B32" s="466"/>
      <c r="C32" s="298" t="str">
        <f aca="false">현3!C23</f>
        <v>◦ 차단기구 [  ]무 [  ]유(설치장소:                    )</v>
      </c>
      <c r="D32" s="298"/>
      <c r="E32" s="298"/>
      <c r="F32" s="298"/>
      <c r="G32" s="298"/>
      <c r="H32" s="298"/>
      <c r="I32" s="298"/>
    </row>
  </sheetData>
  <mergeCells count="47">
    <mergeCell ref="A2:I2"/>
    <mergeCell ref="C3:I3"/>
    <mergeCell ref="C4:I4"/>
    <mergeCell ref="A5:A6"/>
    <mergeCell ref="B5:B6"/>
    <mergeCell ref="C5:I5"/>
    <mergeCell ref="C6:I6"/>
    <mergeCell ref="C7:I7"/>
    <mergeCell ref="C8:I8"/>
    <mergeCell ref="C9:I9"/>
    <mergeCell ref="C10:I10"/>
    <mergeCell ref="A11:I11"/>
    <mergeCell ref="A12:A13"/>
    <mergeCell ref="B12:B13"/>
    <mergeCell ref="C12:I12"/>
    <mergeCell ref="C13:I13"/>
    <mergeCell ref="A14:A16"/>
    <mergeCell ref="B14:B16"/>
    <mergeCell ref="C14:I14"/>
    <mergeCell ref="C15:I15"/>
    <mergeCell ref="C16:I16"/>
    <mergeCell ref="A17:A21"/>
    <mergeCell ref="B17:B21"/>
    <mergeCell ref="C17:I17"/>
    <mergeCell ref="C18:I18"/>
    <mergeCell ref="C19:I19"/>
    <mergeCell ref="C20:I20"/>
    <mergeCell ref="C21:I21"/>
    <mergeCell ref="A22:A23"/>
    <mergeCell ref="B22:B23"/>
    <mergeCell ref="C22:I22"/>
    <mergeCell ref="C23:I23"/>
    <mergeCell ref="C24:I24"/>
    <mergeCell ref="A25:A27"/>
    <mergeCell ref="B25:B27"/>
    <mergeCell ref="C25:I25"/>
    <mergeCell ref="C26:I26"/>
    <mergeCell ref="C27:I27"/>
    <mergeCell ref="A28:A29"/>
    <mergeCell ref="B28:B29"/>
    <mergeCell ref="C28:I28"/>
    <mergeCell ref="C29:I29"/>
    <mergeCell ref="A30:A32"/>
    <mergeCell ref="B30:B32"/>
    <mergeCell ref="C30:I30"/>
    <mergeCell ref="C31:I31"/>
    <mergeCell ref="C32:I32"/>
  </mergeCells>
  <printOptions headings="false" gridLines="false" gridLinesSet="true" horizontalCentered="false" verticalCentered="false"/>
  <pageMargins left="0.31496062992125984" right="0.2362204724409449" top="0.31" bottom="0.2755905511811024" header="0.49" footer="0.2755905511811024"/>
  <pageSetup paperSize="9" scale="9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9"/>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2" activeCellId="0" sqref="A2:F2"/>
    </sheetView>
  </sheetViews>
  <sheetFormatPr defaultColWidth="8.88671875" defaultRowHeight="13.5" customHeight="false" zeroHeight="false" outlineLevelRow="0" outlineLevelCol="0"/>
  <cols>
    <col collapsed="false" customWidth="true" hidden="false" outlineLevel="0" max="1" min="1" style="99" width="3.88"/>
    <col collapsed="false" customWidth="true" hidden="false" outlineLevel="0" max="2" min="2" style="99" width="2.55"/>
    <col collapsed="false" customWidth="true" hidden="false" outlineLevel="0" max="3" min="3" style="99" width="3.88"/>
    <col collapsed="false" customWidth="true" hidden="false" outlineLevel="0" max="4" min="4" style="99" width="2.88"/>
    <col collapsed="false" customWidth="true" hidden="false" outlineLevel="0" max="5" min="5" style="99" width="9.88"/>
    <col collapsed="false" customWidth="true" hidden="false" outlineLevel="0" max="6" min="6" style="99" width="65.33"/>
    <col collapsed="false" customWidth="false" hidden="false" outlineLevel="0" max="257" min="7" style="99" width="8.88"/>
  </cols>
  <sheetData>
    <row r="1" customFormat="false" ht="13.5" hidden="false" customHeight="false" outlineLevel="0" collapsed="false">
      <c r="F1" s="483" t="s">
        <v>496</v>
      </c>
    </row>
    <row r="2" customFormat="false" ht="19.5" hidden="false" customHeight="true" outlineLevel="0" collapsed="false">
      <c r="A2" s="244" t="s">
        <v>497</v>
      </c>
      <c r="B2" s="244"/>
      <c r="C2" s="244"/>
      <c r="D2" s="244"/>
      <c r="E2" s="244"/>
      <c r="F2" s="244"/>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c r="HT2" s="241"/>
      <c r="HU2" s="241"/>
      <c r="HV2" s="241"/>
      <c r="HW2" s="241"/>
      <c r="HX2" s="241"/>
      <c r="HY2" s="241"/>
      <c r="HZ2" s="241"/>
      <c r="IA2" s="241"/>
      <c r="IB2" s="241"/>
      <c r="IC2" s="241"/>
      <c r="ID2" s="241"/>
      <c r="IE2" s="241"/>
      <c r="IF2" s="241"/>
      <c r="IG2" s="241"/>
      <c r="IH2" s="241"/>
      <c r="II2" s="241"/>
      <c r="IJ2" s="241"/>
      <c r="IK2" s="241"/>
      <c r="IL2" s="241"/>
      <c r="IM2" s="241"/>
      <c r="IN2" s="241"/>
      <c r="IO2" s="241"/>
      <c r="IP2" s="241"/>
      <c r="IQ2" s="241"/>
      <c r="IR2" s="241"/>
      <c r="IS2" s="241"/>
      <c r="IT2" s="241"/>
      <c r="IU2" s="241"/>
      <c r="IV2" s="241"/>
      <c r="IW2" s="241"/>
    </row>
    <row r="3" customFormat="false" ht="22.5" hidden="false" customHeight="true" outlineLevel="0" collapsed="false">
      <c r="A3" s="300" t="str">
        <f aca="false">현황!Y6</f>
        <v>[  ]</v>
      </c>
      <c r="B3" s="464" t="str">
        <f aca="false">현3!B25</f>
        <v>피난기구</v>
      </c>
      <c r="C3" s="464"/>
      <c r="D3" s="464"/>
      <c r="E3" s="465" t="str">
        <f aca="false">현3!C25</f>
        <v>◦ 종류: [  ]피난사다리 [  ]완강기 [  ]다수인피난장비 [  ]승강식피난기 [  ]미끄럼대</v>
      </c>
      <c r="F3" s="465"/>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c r="BU3" s="241"/>
      <c r="BV3" s="241"/>
      <c r="BW3" s="241"/>
      <c r="BX3" s="241"/>
      <c r="BY3" s="241"/>
      <c r="BZ3" s="241"/>
      <c r="CA3" s="241"/>
      <c r="CB3" s="241"/>
      <c r="CC3" s="241"/>
      <c r="CD3" s="241"/>
      <c r="CE3" s="241"/>
      <c r="CF3" s="241"/>
      <c r="CG3" s="241"/>
      <c r="CH3" s="241"/>
      <c r="CI3" s="241"/>
      <c r="CJ3" s="241"/>
      <c r="CK3" s="241"/>
      <c r="CL3" s="241"/>
      <c r="CM3" s="241"/>
      <c r="CN3" s="241"/>
      <c r="CO3" s="241"/>
      <c r="CP3" s="241"/>
      <c r="CQ3" s="241"/>
      <c r="CR3" s="241"/>
      <c r="CS3" s="241"/>
      <c r="CT3" s="241"/>
      <c r="CU3" s="241"/>
      <c r="CV3" s="241"/>
      <c r="CW3" s="241"/>
      <c r="CX3" s="241"/>
      <c r="CY3" s="241"/>
      <c r="CZ3" s="241"/>
      <c r="DA3" s="241"/>
      <c r="DB3" s="241"/>
      <c r="DC3" s="241"/>
      <c r="DD3" s="241"/>
      <c r="DE3" s="241"/>
      <c r="DF3" s="241"/>
      <c r="DG3" s="241"/>
      <c r="DH3" s="241"/>
      <c r="DI3" s="241"/>
      <c r="DJ3" s="241"/>
      <c r="DK3" s="241"/>
      <c r="DL3" s="241"/>
      <c r="DM3" s="241"/>
      <c r="DN3" s="241"/>
      <c r="DO3" s="241"/>
      <c r="DP3" s="241"/>
      <c r="DQ3" s="241"/>
      <c r="DR3" s="241"/>
      <c r="DS3" s="241"/>
      <c r="DT3" s="241"/>
      <c r="DU3" s="241"/>
      <c r="DV3" s="241"/>
      <c r="DW3" s="241"/>
      <c r="DX3" s="241"/>
      <c r="DY3" s="241"/>
      <c r="DZ3" s="241"/>
      <c r="EA3" s="241"/>
      <c r="EB3" s="241"/>
      <c r="EC3" s="241"/>
      <c r="ED3" s="241"/>
      <c r="EE3" s="241"/>
      <c r="EF3" s="241"/>
      <c r="EG3" s="241"/>
      <c r="EH3" s="241"/>
      <c r="EI3" s="241"/>
      <c r="EJ3" s="241"/>
      <c r="EK3" s="241"/>
      <c r="EL3" s="241"/>
      <c r="EM3" s="241"/>
      <c r="EN3" s="241"/>
      <c r="EO3" s="241"/>
      <c r="EP3" s="241"/>
      <c r="EQ3" s="241"/>
      <c r="ER3" s="241"/>
      <c r="ES3" s="241"/>
      <c r="ET3" s="241"/>
      <c r="EU3" s="241"/>
      <c r="EV3" s="241"/>
      <c r="EW3" s="241"/>
      <c r="EX3" s="241"/>
      <c r="EY3" s="241"/>
      <c r="EZ3" s="241"/>
      <c r="FA3" s="241"/>
      <c r="FB3" s="241"/>
      <c r="FC3" s="241"/>
      <c r="FD3" s="241"/>
      <c r="FE3" s="241"/>
      <c r="FF3" s="241"/>
      <c r="FG3" s="241"/>
      <c r="FH3" s="241"/>
      <c r="FI3" s="241"/>
      <c r="FJ3" s="241"/>
      <c r="FK3" s="241"/>
      <c r="FL3" s="241"/>
      <c r="FM3" s="241"/>
      <c r="FN3" s="241"/>
      <c r="FO3" s="241"/>
      <c r="FP3" s="241"/>
      <c r="FQ3" s="241"/>
      <c r="FR3" s="241"/>
      <c r="FS3" s="241"/>
      <c r="FT3" s="241"/>
      <c r="FU3" s="241"/>
      <c r="FV3" s="241"/>
      <c r="FW3" s="241"/>
      <c r="FX3" s="241"/>
      <c r="FY3" s="241"/>
      <c r="FZ3" s="241"/>
      <c r="GA3" s="241"/>
      <c r="GB3" s="241"/>
      <c r="GC3" s="241"/>
      <c r="GD3" s="241"/>
      <c r="GE3" s="241"/>
      <c r="GF3" s="241"/>
      <c r="GG3" s="241"/>
      <c r="GH3" s="241"/>
      <c r="GI3" s="241"/>
      <c r="GJ3" s="241"/>
      <c r="GK3" s="241"/>
      <c r="GL3" s="241"/>
      <c r="GM3" s="241"/>
      <c r="GN3" s="241"/>
      <c r="GO3" s="241"/>
      <c r="GP3" s="241"/>
      <c r="GQ3" s="241"/>
      <c r="GR3" s="241"/>
      <c r="GS3" s="241"/>
      <c r="GT3" s="241"/>
      <c r="GU3" s="241"/>
      <c r="GV3" s="241"/>
      <c r="GW3" s="241"/>
      <c r="GX3" s="241"/>
      <c r="GY3" s="241"/>
      <c r="GZ3" s="241"/>
      <c r="HA3" s="241"/>
      <c r="HB3" s="241"/>
      <c r="HC3" s="241"/>
      <c r="HD3" s="241"/>
      <c r="HE3" s="241"/>
      <c r="HF3" s="241"/>
      <c r="HG3" s="241"/>
      <c r="HH3" s="241"/>
      <c r="HI3" s="241"/>
      <c r="HJ3" s="241"/>
      <c r="HK3" s="241"/>
      <c r="HL3" s="241"/>
      <c r="HM3" s="241"/>
      <c r="HN3" s="241"/>
      <c r="HO3" s="241"/>
      <c r="HP3" s="241"/>
      <c r="HQ3" s="241"/>
      <c r="HR3" s="241"/>
      <c r="HS3" s="241"/>
      <c r="HT3" s="241"/>
      <c r="HU3" s="241"/>
      <c r="HV3" s="241"/>
      <c r="HW3" s="241"/>
      <c r="HX3" s="241"/>
      <c r="HY3" s="241"/>
      <c r="HZ3" s="241"/>
      <c r="IA3" s="241"/>
      <c r="IB3" s="241"/>
      <c r="IC3" s="241"/>
      <c r="ID3" s="241"/>
      <c r="IE3" s="241"/>
      <c r="IF3" s="241"/>
      <c r="IG3" s="241"/>
      <c r="IH3" s="241"/>
      <c r="II3" s="241"/>
      <c r="IJ3" s="241"/>
      <c r="IK3" s="241"/>
      <c r="IL3" s="241"/>
      <c r="IM3" s="241"/>
      <c r="IN3" s="241"/>
      <c r="IO3" s="241"/>
      <c r="IP3" s="241"/>
      <c r="IQ3" s="241"/>
      <c r="IR3" s="241"/>
      <c r="IS3" s="241"/>
      <c r="IT3" s="241"/>
      <c r="IU3" s="241"/>
      <c r="IV3" s="241"/>
      <c r="IW3" s="241"/>
    </row>
    <row r="4" customFormat="false" ht="22.5" hidden="false" customHeight="true" outlineLevel="0" collapsed="false">
      <c r="A4" s="300"/>
      <c r="B4" s="464"/>
      <c r="C4" s="464"/>
      <c r="D4" s="464"/>
      <c r="E4" s="297" t="str">
        <f aca="false">현3!C26</f>
        <v>        [  ]피난교 [  ]피난용트랩 [  ]구조대 [  ]간이완강기 [  ]공기안전매트</v>
      </c>
      <c r="F4" s="297"/>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row>
    <row r="5" customFormat="false" ht="22.5" hidden="false" customHeight="true" outlineLevel="0" collapsed="false">
      <c r="A5" s="300"/>
      <c r="B5" s="464"/>
      <c r="C5" s="464"/>
      <c r="D5" s="464"/>
      <c r="E5" s="297" t="str">
        <f aca="false">현3!C27</f>
        <v>◦ 설치장소: 동명(   ) [  ]전체층/[  ]일부층 [  ]지상/[  ]지하(  )층 ~ [  ]지상/[  ]지하(  )층</v>
      </c>
      <c r="F5" s="297"/>
      <c r="G5" s="241"/>
      <c r="H5" s="241"/>
      <c r="I5" s="241"/>
      <c r="J5" s="241"/>
      <c r="K5" s="241"/>
      <c r="L5" s="241"/>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c r="BH5" s="241"/>
      <c r="BI5" s="241"/>
      <c r="BJ5" s="241"/>
      <c r="BK5" s="241"/>
      <c r="BL5" s="241"/>
      <c r="BM5" s="241"/>
      <c r="BN5" s="241"/>
      <c r="BO5" s="241"/>
      <c r="BP5" s="241"/>
      <c r="BQ5" s="241"/>
      <c r="BR5" s="241"/>
      <c r="BS5" s="241"/>
      <c r="BT5" s="241"/>
      <c r="BU5" s="241"/>
      <c r="BV5" s="241"/>
      <c r="BW5" s="241"/>
      <c r="BX5" s="241"/>
      <c r="BY5" s="241"/>
      <c r="BZ5" s="241"/>
      <c r="CA5" s="241"/>
      <c r="CB5" s="241"/>
      <c r="CC5" s="241"/>
      <c r="CD5" s="241"/>
      <c r="CE5" s="241"/>
      <c r="CF5" s="241"/>
      <c r="CG5" s="241"/>
      <c r="CH5" s="241"/>
      <c r="CI5" s="241"/>
      <c r="CJ5" s="241"/>
      <c r="CK5" s="241"/>
      <c r="CL5" s="241"/>
      <c r="CM5" s="241"/>
      <c r="CN5" s="241"/>
      <c r="CO5" s="241"/>
      <c r="CP5" s="241"/>
      <c r="CQ5" s="241"/>
      <c r="CR5" s="241"/>
      <c r="CS5" s="241"/>
      <c r="CT5" s="241"/>
      <c r="CU5" s="241"/>
      <c r="CV5" s="241"/>
      <c r="CW5" s="241"/>
      <c r="CX5" s="241"/>
      <c r="CY5" s="241"/>
      <c r="CZ5" s="241"/>
      <c r="DA5" s="241"/>
      <c r="DB5" s="241"/>
      <c r="DC5" s="241"/>
      <c r="DD5" s="241"/>
      <c r="DE5" s="241"/>
      <c r="DF5" s="241"/>
      <c r="DG5" s="241"/>
      <c r="DH5" s="241"/>
      <c r="DI5" s="241"/>
      <c r="DJ5" s="241"/>
      <c r="DK5" s="241"/>
      <c r="DL5" s="241"/>
      <c r="DM5" s="241"/>
      <c r="DN5" s="241"/>
      <c r="DO5" s="241"/>
      <c r="DP5" s="241"/>
      <c r="DQ5" s="241"/>
      <c r="DR5" s="241"/>
      <c r="DS5" s="241"/>
      <c r="DT5" s="241"/>
      <c r="DU5" s="241"/>
      <c r="DV5" s="241"/>
      <c r="DW5" s="241"/>
      <c r="DX5" s="241"/>
      <c r="DY5" s="241"/>
      <c r="DZ5" s="241"/>
      <c r="EA5" s="241"/>
      <c r="EB5" s="241"/>
      <c r="EC5" s="241"/>
      <c r="ED5" s="241"/>
      <c r="EE5" s="241"/>
      <c r="EF5" s="241"/>
      <c r="EG5" s="241"/>
      <c r="EH5" s="241"/>
      <c r="EI5" s="241"/>
      <c r="EJ5" s="241"/>
      <c r="EK5" s="241"/>
      <c r="EL5" s="241"/>
      <c r="EM5" s="241"/>
      <c r="EN5" s="241"/>
      <c r="EO5" s="241"/>
      <c r="EP5" s="241"/>
      <c r="EQ5" s="241"/>
      <c r="ER5" s="241"/>
      <c r="ES5" s="241"/>
      <c r="ET5" s="241"/>
      <c r="EU5" s="241"/>
      <c r="EV5" s="241"/>
      <c r="EW5" s="241"/>
      <c r="EX5" s="241"/>
      <c r="EY5" s="241"/>
      <c r="EZ5" s="241"/>
      <c r="FA5" s="241"/>
      <c r="FB5" s="241"/>
      <c r="FC5" s="241"/>
      <c r="FD5" s="241"/>
      <c r="FE5" s="241"/>
      <c r="FF5" s="241"/>
      <c r="FG5" s="241"/>
      <c r="FH5" s="241"/>
      <c r="FI5" s="241"/>
      <c r="FJ5" s="241"/>
      <c r="FK5" s="241"/>
      <c r="FL5" s="241"/>
      <c r="FM5" s="241"/>
      <c r="FN5" s="241"/>
      <c r="FO5" s="241"/>
      <c r="FP5" s="241"/>
      <c r="FQ5" s="241"/>
      <c r="FR5" s="241"/>
      <c r="FS5" s="241"/>
      <c r="FT5" s="241"/>
      <c r="FU5" s="241"/>
      <c r="FV5" s="241"/>
      <c r="FW5" s="241"/>
      <c r="FX5" s="241"/>
      <c r="FY5" s="241"/>
      <c r="FZ5" s="241"/>
      <c r="GA5" s="241"/>
      <c r="GB5" s="241"/>
      <c r="GC5" s="241"/>
      <c r="GD5" s="241"/>
      <c r="GE5" s="241"/>
      <c r="GF5" s="241"/>
      <c r="GG5" s="241"/>
      <c r="GH5" s="241"/>
      <c r="GI5" s="241"/>
      <c r="GJ5" s="241"/>
      <c r="GK5" s="241"/>
      <c r="GL5" s="241"/>
      <c r="GM5" s="241"/>
      <c r="GN5" s="241"/>
      <c r="GO5" s="241"/>
      <c r="GP5" s="241"/>
      <c r="GQ5" s="241"/>
      <c r="GR5" s="241"/>
      <c r="GS5" s="241"/>
      <c r="GT5" s="241"/>
      <c r="GU5" s="241"/>
      <c r="GV5" s="241"/>
      <c r="GW5" s="241"/>
      <c r="GX5" s="241"/>
      <c r="GY5" s="241"/>
      <c r="GZ5" s="241"/>
      <c r="HA5" s="241"/>
      <c r="HB5" s="241"/>
      <c r="HC5" s="241"/>
      <c r="HD5" s="241"/>
      <c r="HE5" s="241"/>
      <c r="HF5" s="241"/>
      <c r="HG5" s="241"/>
      <c r="HH5" s="241"/>
      <c r="HI5" s="241"/>
      <c r="HJ5" s="241"/>
      <c r="HK5" s="241"/>
      <c r="HL5" s="241"/>
      <c r="HM5" s="241"/>
      <c r="HN5" s="241"/>
      <c r="HO5" s="241"/>
      <c r="HP5" s="241"/>
      <c r="HQ5" s="241"/>
      <c r="HR5" s="241"/>
      <c r="HS5" s="241"/>
      <c r="HT5" s="241"/>
      <c r="HU5" s="241"/>
      <c r="HV5" s="241"/>
      <c r="HW5" s="241"/>
      <c r="HX5" s="241"/>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c r="IW5" s="241"/>
    </row>
    <row r="6" customFormat="false" ht="22.5" hidden="false" customHeight="true" outlineLevel="0" collapsed="false">
      <c r="A6" s="300"/>
      <c r="B6" s="464"/>
      <c r="C6" s="464"/>
      <c r="D6" s="464"/>
      <c r="E6" s="462" t="str">
        <f aca="false">현3!C28</f>
        <v>            동명(   ) [  ]전체층/[  ]일부층 [  ]지상/[  ]지하(  )층 ~ [  ]지상/[  ]지하(  )층</v>
      </c>
      <c r="F6" s="462"/>
      <c r="G6" s="241"/>
      <c r="H6" s="241"/>
      <c r="I6" s="241"/>
      <c r="J6" s="241"/>
      <c r="K6" s="241"/>
      <c r="L6" s="241"/>
      <c r="M6" s="241"/>
      <c r="N6" s="241"/>
      <c r="O6" s="241"/>
      <c r="P6" s="241"/>
      <c r="Q6" s="241"/>
      <c r="R6" s="241"/>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1"/>
      <c r="BL6" s="241"/>
      <c r="BM6" s="241"/>
      <c r="BN6" s="241"/>
      <c r="BO6" s="241"/>
      <c r="BP6" s="241"/>
      <c r="BQ6" s="241"/>
      <c r="BR6" s="241"/>
      <c r="BS6" s="241"/>
      <c r="BT6" s="241"/>
      <c r="BU6" s="241"/>
      <c r="BV6" s="241"/>
      <c r="BW6" s="241"/>
      <c r="BX6" s="241"/>
      <c r="BY6" s="241"/>
      <c r="BZ6" s="241"/>
      <c r="CA6" s="241"/>
      <c r="CB6" s="241"/>
      <c r="CC6" s="241"/>
      <c r="CD6" s="241"/>
      <c r="CE6" s="241"/>
      <c r="CF6" s="241"/>
      <c r="CG6" s="241"/>
      <c r="CH6" s="241"/>
      <c r="CI6" s="241"/>
      <c r="CJ6" s="241"/>
      <c r="CK6" s="241"/>
      <c r="CL6" s="241"/>
      <c r="CM6" s="241"/>
      <c r="CN6" s="241"/>
      <c r="CO6" s="241"/>
      <c r="CP6" s="241"/>
      <c r="CQ6" s="241"/>
      <c r="CR6" s="241"/>
      <c r="CS6" s="241"/>
      <c r="CT6" s="241"/>
      <c r="CU6" s="241"/>
      <c r="CV6" s="241"/>
      <c r="CW6" s="241"/>
      <c r="CX6" s="241"/>
      <c r="CY6" s="241"/>
      <c r="CZ6" s="241"/>
      <c r="DA6" s="241"/>
      <c r="DB6" s="241"/>
      <c r="DC6" s="241"/>
      <c r="DD6" s="241"/>
      <c r="DE6" s="241"/>
      <c r="DF6" s="241"/>
      <c r="DG6" s="241"/>
      <c r="DH6" s="241"/>
      <c r="DI6" s="241"/>
      <c r="DJ6" s="241"/>
      <c r="DK6" s="241"/>
      <c r="DL6" s="241"/>
      <c r="DM6" s="241"/>
      <c r="DN6" s="241"/>
      <c r="DO6" s="241"/>
      <c r="DP6" s="241"/>
      <c r="DQ6" s="241"/>
      <c r="DR6" s="241"/>
      <c r="DS6" s="241"/>
      <c r="DT6" s="241"/>
      <c r="DU6" s="241"/>
      <c r="DV6" s="241"/>
      <c r="DW6" s="241"/>
      <c r="DX6" s="241"/>
      <c r="DY6" s="241"/>
      <c r="DZ6" s="241"/>
      <c r="EA6" s="241"/>
      <c r="EB6" s="241"/>
      <c r="EC6" s="241"/>
      <c r="ED6" s="241"/>
      <c r="EE6" s="241"/>
      <c r="EF6" s="241"/>
      <c r="EG6" s="241"/>
      <c r="EH6" s="241"/>
      <c r="EI6" s="241"/>
      <c r="EJ6" s="241"/>
      <c r="EK6" s="241"/>
      <c r="EL6" s="241"/>
      <c r="EM6" s="241"/>
      <c r="EN6" s="241"/>
      <c r="EO6" s="241"/>
      <c r="EP6" s="241"/>
      <c r="EQ6" s="241"/>
      <c r="ER6" s="241"/>
      <c r="ES6" s="241"/>
      <c r="ET6" s="241"/>
      <c r="EU6" s="241"/>
      <c r="EV6" s="241"/>
      <c r="EW6" s="241"/>
      <c r="EX6" s="241"/>
      <c r="EY6" s="241"/>
      <c r="EZ6" s="241"/>
      <c r="FA6" s="241"/>
      <c r="FB6" s="241"/>
      <c r="FC6" s="241"/>
      <c r="FD6" s="241"/>
      <c r="FE6" s="241"/>
      <c r="FF6" s="241"/>
      <c r="FG6" s="241"/>
      <c r="FH6" s="241"/>
      <c r="FI6" s="241"/>
      <c r="FJ6" s="241"/>
      <c r="FK6" s="241"/>
      <c r="FL6" s="241"/>
      <c r="FM6" s="241"/>
      <c r="FN6" s="241"/>
      <c r="FO6" s="241"/>
      <c r="FP6" s="241"/>
      <c r="FQ6" s="241"/>
      <c r="FR6" s="241"/>
      <c r="FS6" s="241"/>
      <c r="FT6" s="241"/>
      <c r="FU6" s="241"/>
      <c r="FV6" s="241"/>
      <c r="FW6" s="241"/>
      <c r="FX6" s="241"/>
      <c r="FY6" s="241"/>
      <c r="FZ6" s="241"/>
      <c r="GA6" s="241"/>
      <c r="GB6" s="241"/>
      <c r="GC6" s="241"/>
      <c r="GD6" s="241"/>
      <c r="GE6" s="241"/>
      <c r="GF6" s="241"/>
      <c r="GG6" s="241"/>
      <c r="GH6" s="241"/>
      <c r="GI6" s="241"/>
      <c r="GJ6" s="241"/>
      <c r="GK6" s="241"/>
      <c r="GL6" s="241"/>
      <c r="GM6" s="241"/>
      <c r="GN6" s="241"/>
      <c r="GO6" s="241"/>
      <c r="GP6" s="241"/>
      <c r="GQ6" s="241"/>
      <c r="GR6" s="241"/>
      <c r="GS6" s="241"/>
      <c r="GT6" s="241"/>
      <c r="GU6" s="241"/>
      <c r="GV6" s="241"/>
      <c r="GW6" s="241"/>
      <c r="GX6" s="241"/>
      <c r="GY6" s="241"/>
      <c r="GZ6" s="241"/>
      <c r="HA6" s="241"/>
      <c r="HB6" s="241"/>
      <c r="HC6" s="241"/>
      <c r="HD6" s="241"/>
      <c r="HE6" s="241"/>
      <c r="HF6" s="241"/>
      <c r="HG6" s="241"/>
      <c r="HH6" s="241"/>
      <c r="HI6" s="241"/>
      <c r="HJ6" s="241"/>
      <c r="HK6" s="241"/>
      <c r="HL6" s="241"/>
      <c r="HM6" s="241"/>
      <c r="HN6" s="241"/>
      <c r="HO6" s="241"/>
      <c r="HP6" s="241"/>
      <c r="HQ6" s="241"/>
      <c r="HR6" s="241"/>
      <c r="HS6" s="241"/>
      <c r="HT6" s="241"/>
      <c r="HU6" s="241"/>
      <c r="HV6" s="241"/>
      <c r="HW6" s="241"/>
      <c r="HX6" s="241"/>
      <c r="HY6" s="241"/>
      <c r="HZ6" s="241"/>
      <c r="IA6" s="241"/>
      <c r="IB6" s="241"/>
      <c r="IC6" s="241"/>
      <c r="ID6" s="241"/>
      <c r="IE6" s="241"/>
      <c r="IF6" s="241"/>
      <c r="IG6" s="241"/>
      <c r="IH6" s="241"/>
      <c r="II6" s="241"/>
      <c r="IJ6" s="241"/>
      <c r="IK6" s="241"/>
      <c r="IL6" s="241"/>
      <c r="IM6" s="241"/>
      <c r="IN6" s="241"/>
      <c r="IO6" s="241"/>
      <c r="IP6" s="241"/>
      <c r="IQ6" s="241"/>
      <c r="IR6" s="241"/>
      <c r="IS6" s="241"/>
      <c r="IT6" s="241"/>
      <c r="IU6" s="241"/>
      <c r="IV6" s="241"/>
      <c r="IW6" s="241"/>
    </row>
    <row r="7" customFormat="false" ht="22.5" hidden="false" customHeight="true" outlineLevel="0" collapsed="false">
      <c r="A7" s="291" t="str">
        <f aca="false">현황!Y12</f>
        <v>[  ]</v>
      </c>
      <c r="B7" s="430" t="str">
        <f aca="false">현3!B29</f>
        <v>인명
구조기구</v>
      </c>
      <c r="C7" s="430"/>
      <c r="D7" s="430"/>
      <c r="E7" s="297" t="str">
        <f aca="false">현3!C29</f>
        <v>◦ 종류: [  ]방열복/ 방화복 [  ]공기호흡기 [  ]인공소생기</v>
      </c>
      <c r="F7" s="297"/>
      <c r="G7" s="241"/>
      <c r="H7" s="241"/>
      <c r="I7" s="241"/>
      <c r="J7" s="241"/>
      <c r="K7" s="241"/>
      <c r="L7" s="241"/>
      <c r="M7" s="241"/>
      <c r="N7" s="241"/>
      <c r="O7" s="241"/>
      <c r="P7" s="241"/>
      <c r="Q7" s="241"/>
      <c r="R7" s="241"/>
      <c r="S7" s="241"/>
      <c r="T7" s="241"/>
      <c r="U7" s="241"/>
      <c r="V7" s="241"/>
      <c r="W7" s="241"/>
      <c r="X7" s="241"/>
      <c r="Y7" s="241"/>
      <c r="Z7" s="241"/>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1"/>
      <c r="BB7" s="241"/>
      <c r="BC7" s="241"/>
      <c r="BD7" s="241"/>
      <c r="BE7" s="241"/>
      <c r="BF7" s="241"/>
      <c r="BG7" s="241"/>
      <c r="BH7" s="241"/>
      <c r="BI7" s="241"/>
      <c r="BJ7" s="241"/>
      <c r="BK7" s="241"/>
      <c r="BL7" s="241"/>
      <c r="BM7" s="241"/>
      <c r="BN7" s="241"/>
      <c r="BO7" s="241"/>
      <c r="BP7" s="241"/>
      <c r="BQ7" s="241"/>
      <c r="BR7" s="241"/>
      <c r="BS7" s="241"/>
      <c r="BT7" s="241"/>
      <c r="BU7" s="241"/>
      <c r="BV7" s="241"/>
      <c r="BW7" s="241"/>
      <c r="BX7" s="241"/>
      <c r="BY7" s="241"/>
      <c r="BZ7" s="241"/>
      <c r="CA7" s="241"/>
      <c r="CB7" s="241"/>
      <c r="CC7" s="241"/>
      <c r="CD7" s="241"/>
      <c r="CE7" s="241"/>
      <c r="CF7" s="241"/>
      <c r="CG7" s="241"/>
      <c r="CH7" s="241"/>
      <c r="CI7" s="241"/>
      <c r="CJ7" s="241"/>
      <c r="CK7" s="241"/>
      <c r="CL7" s="241"/>
      <c r="CM7" s="241"/>
      <c r="CN7" s="241"/>
      <c r="CO7" s="241"/>
      <c r="CP7" s="241"/>
      <c r="CQ7" s="241"/>
      <c r="CR7" s="241"/>
      <c r="CS7" s="241"/>
      <c r="CT7" s="241"/>
      <c r="CU7" s="241"/>
      <c r="CV7" s="241"/>
      <c r="CW7" s="241"/>
      <c r="CX7" s="241"/>
      <c r="CY7" s="241"/>
      <c r="CZ7" s="241"/>
      <c r="DA7" s="241"/>
      <c r="DB7" s="241"/>
      <c r="DC7" s="241"/>
      <c r="DD7" s="241"/>
      <c r="DE7" s="241"/>
      <c r="DF7" s="241"/>
      <c r="DG7" s="241"/>
      <c r="DH7" s="241"/>
      <c r="DI7" s="241"/>
      <c r="DJ7" s="241"/>
      <c r="DK7" s="241"/>
      <c r="DL7" s="241"/>
      <c r="DM7" s="241"/>
      <c r="DN7" s="241"/>
      <c r="DO7" s="241"/>
      <c r="DP7" s="241"/>
      <c r="DQ7" s="241"/>
      <c r="DR7" s="241"/>
      <c r="DS7" s="241"/>
      <c r="DT7" s="241"/>
      <c r="DU7" s="241"/>
      <c r="DV7" s="241"/>
      <c r="DW7" s="241"/>
      <c r="DX7" s="241"/>
      <c r="DY7" s="241"/>
      <c r="DZ7" s="241"/>
      <c r="EA7" s="241"/>
      <c r="EB7" s="241"/>
      <c r="EC7" s="241"/>
      <c r="ED7" s="241"/>
      <c r="EE7" s="241"/>
      <c r="EF7" s="241"/>
      <c r="EG7" s="241"/>
      <c r="EH7" s="241"/>
      <c r="EI7" s="241"/>
      <c r="EJ7" s="241"/>
      <c r="EK7" s="241"/>
      <c r="EL7" s="241"/>
      <c r="EM7" s="241"/>
      <c r="EN7" s="241"/>
      <c r="EO7" s="241"/>
      <c r="EP7" s="241"/>
      <c r="EQ7" s="241"/>
      <c r="ER7" s="241"/>
      <c r="ES7" s="241"/>
      <c r="ET7" s="241"/>
      <c r="EU7" s="241"/>
      <c r="EV7" s="241"/>
      <c r="EW7" s="241"/>
      <c r="EX7" s="241"/>
      <c r="EY7" s="241"/>
      <c r="EZ7" s="241"/>
      <c r="FA7" s="241"/>
      <c r="FB7" s="241"/>
      <c r="FC7" s="241"/>
      <c r="FD7" s="241"/>
      <c r="FE7" s="241"/>
      <c r="FF7" s="241"/>
      <c r="FG7" s="241"/>
      <c r="FH7" s="241"/>
      <c r="FI7" s="241"/>
      <c r="FJ7" s="241"/>
      <c r="FK7" s="241"/>
      <c r="FL7" s="241"/>
      <c r="FM7" s="241"/>
      <c r="FN7" s="241"/>
      <c r="FO7" s="241"/>
      <c r="FP7" s="241"/>
      <c r="FQ7" s="241"/>
      <c r="FR7" s="241"/>
      <c r="FS7" s="241"/>
      <c r="FT7" s="241"/>
      <c r="FU7" s="241"/>
      <c r="FV7" s="241"/>
      <c r="FW7" s="241"/>
      <c r="FX7" s="241"/>
      <c r="FY7" s="241"/>
      <c r="FZ7" s="241"/>
      <c r="GA7" s="241"/>
      <c r="GB7" s="241"/>
      <c r="GC7" s="241"/>
      <c r="GD7" s="241"/>
      <c r="GE7" s="241"/>
      <c r="GF7" s="241"/>
      <c r="GG7" s="241"/>
      <c r="GH7" s="241"/>
      <c r="GI7" s="241"/>
      <c r="GJ7" s="241"/>
      <c r="GK7" s="241"/>
      <c r="GL7" s="241"/>
      <c r="GM7" s="241"/>
      <c r="GN7" s="241"/>
      <c r="GO7" s="241"/>
      <c r="GP7" s="241"/>
      <c r="GQ7" s="241"/>
      <c r="GR7" s="241"/>
      <c r="GS7" s="241"/>
      <c r="GT7" s="241"/>
      <c r="GU7" s="241"/>
      <c r="GV7" s="241"/>
      <c r="GW7" s="241"/>
      <c r="GX7" s="241"/>
      <c r="GY7" s="241"/>
      <c r="GZ7" s="241"/>
      <c r="HA7" s="241"/>
      <c r="HB7" s="241"/>
      <c r="HC7" s="241"/>
      <c r="HD7" s="241"/>
      <c r="HE7" s="241"/>
      <c r="HF7" s="241"/>
      <c r="HG7" s="241"/>
      <c r="HH7" s="241"/>
      <c r="HI7" s="241"/>
      <c r="HJ7" s="241"/>
      <c r="HK7" s="241"/>
      <c r="HL7" s="241"/>
      <c r="HM7" s="241"/>
      <c r="HN7" s="241"/>
      <c r="HO7" s="241"/>
      <c r="HP7" s="241"/>
      <c r="HQ7" s="241"/>
      <c r="HR7" s="241"/>
      <c r="HS7" s="241"/>
      <c r="HT7" s="241"/>
      <c r="HU7" s="241"/>
      <c r="HV7" s="241"/>
      <c r="HW7" s="241"/>
      <c r="HX7" s="241"/>
      <c r="HY7" s="241"/>
      <c r="HZ7" s="241"/>
      <c r="IA7" s="241"/>
      <c r="IB7" s="241"/>
      <c r="IC7" s="241"/>
      <c r="ID7" s="241"/>
      <c r="IE7" s="241"/>
      <c r="IF7" s="241"/>
      <c r="IG7" s="241"/>
      <c r="IH7" s="241"/>
      <c r="II7" s="241"/>
      <c r="IJ7" s="241"/>
      <c r="IK7" s="241"/>
      <c r="IL7" s="241"/>
      <c r="IM7" s="241"/>
      <c r="IN7" s="241"/>
      <c r="IO7" s="241"/>
      <c r="IP7" s="241"/>
      <c r="IQ7" s="241"/>
      <c r="IR7" s="241"/>
      <c r="IS7" s="241"/>
      <c r="IT7" s="241"/>
      <c r="IU7" s="241"/>
      <c r="IV7" s="241"/>
      <c r="IW7" s="241"/>
    </row>
    <row r="8" customFormat="false" ht="22.5" hidden="false" customHeight="true" outlineLevel="0" collapsed="false">
      <c r="A8" s="291"/>
      <c r="B8" s="430"/>
      <c r="C8" s="430"/>
      <c r="D8" s="430"/>
      <c r="E8" s="297" t="str">
        <f aca="false">현3!C30</f>
        <v>◦ 설치장소: 동명(   ) [  ]전체층/[  ]일부층 [  ]지상/[  ]지하(  )층 ~ [  ]지상/[  ]지하(  )층</v>
      </c>
      <c r="F8" s="297"/>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c r="BI8" s="241"/>
      <c r="BJ8" s="241"/>
      <c r="BK8" s="241"/>
      <c r="BL8" s="241"/>
      <c r="BM8" s="241"/>
      <c r="BN8" s="241"/>
      <c r="BO8" s="241"/>
      <c r="BP8" s="241"/>
      <c r="BQ8" s="241"/>
      <c r="BR8" s="241"/>
      <c r="BS8" s="241"/>
      <c r="BT8" s="241"/>
      <c r="BU8" s="241"/>
      <c r="BV8" s="241"/>
      <c r="BW8" s="241"/>
      <c r="BX8" s="241"/>
      <c r="BY8" s="241"/>
      <c r="BZ8" s="241"/>
      <c r="CA8" s="241"/>
      <c r="CB8" s="241"/>
      <c r="CC8" s="241"/>
      <c r="CD8" s="241"/>
      <c r="CE8" s="241"/>
      <c r="CF8" s="241"/>
      <c r="CG8" s="241"/>
      <c r="CH8" s="241"/>
      <c r="CI8" s="241"/>
      <c r="CJ8" s="241"/>
      <c r="CK8" s="241"/>
      <c r="CL8" s="241"/>
      <c r="CM8" s="241"/>
      <c r="CN8" s="241"/>
      <c r="CO8" s="241"/>
      <c r="CP8" s="241"/>
      <c r="CQ8" s="241"/>
      <c r="CR8" s="241"/>
      <c r="CS8" s="241"/>
      <c r="CT8" s="241"/>
      <c r="CU8" s="241"/>
      <c r="CV8" s="241"/>
      <c r="CW8" s="241"/>
      <c r="CX8" s="241"/>
      <c r="CY8" s="241"/>
      <c r="CZ8" s="241"/>
      <c r="DA8" s="241"/>
      <c r="DB8" s="241"/>
      <c r="DC8" s="241"/>
      <c r="DD8" s="241"/>
      <c r="DE8" s="241"/>
      <c r="DF8" s="241"/>
      <c r="DG8" s="241"/>
      <c r="DH8" s="241"/>
      <c r="DI8" s="241"/>
      <c r="DJ8" s="241"/>
      <c r="DK8" s="241"/>
      <c r="DL8" s="241"/>
      <c r="DM8" s="241"/>
      <c r="DN8" s="241"/>
      <c r="DO8" s="241"/>
      <c r="DP8" s="241"/>
      <c r="DQ8" s="241"/>
      <c r="DR8" s="241"/>
      <c r="DS8" s="241"/>
      <c r="DT8" s="241"/>
      <c r="DU8" s="241"/>
      <c r="DV8" s="241"/>
      <c r="DW8" s="241"/>
      <c r="DX8" s="241"/>
      <c r="DY8" s="241"/>
      <c r="DZ8" s="241"/>
      <c r="EA8" s="241"/>
      <c r="EB8" s="241"/>
      <c r="EC8" s="241"/>
      <c r="ED8" s="241"/>
      <c r="EE8" s="241"/>
      <c r="EF8" s="241"/>
      <c r="EG8" s="241"/>
      <c r="EH8" s="241"/>
      <c r="EI8" s="241"/>
      <c r="EJ8" s="241"/>
      <c r="EK8" s="241"/>
      <c r="EL8" s="241"/>
      <c r="EM8" s="241"/>
      <c r="EN8" s="241"/>
      <c r="EO8" s="241"/>
      <c r="EP8" s="241"/>
      <c r="EQ8" s="241"/>
      <c r="ER8" s="241"/>
      <c r="ES8" s="241"/>
      <c r="ET8" s="241"/>
      <c r="EU8" s="241"/>
      <c r="EV8" s="241"/>
      <c r="EW8" s="241"/>
      <c r="EX8" s="241"/>
      <c r="EY8" s="241"/>
      <c r="EZ8" s="241"/>
      <c r="FA8" s="241"/>
      <c r="FB8" s="241"/>
      <c r="FC8" s="241"/>
      <c r="FD8" s="241"/>
      <c r="FE8" s="241"/>
      <c r="FF8" s="241"/>
      <c r="FG8" s="241"/>
      <c r="FH8" s="241"/>
      <c r="FI8" s="241"/>
      <c r="FJ8" s="241"/>
      <c r="FK8" s="241"/>
      <c r="FL8" s="241"/>
      <c r="FM8" s="241"/>
      <c r="FN8" s="241"/>
      <c r="FO8" s="241"/>
      <c r="FP8" s="241"/>
      <c r="FQ8" s="241"/>
      <c r="FR8" s="241"/>
      <c r="FS8" s="241"/>
      <c r="FT8" s="241"/>
      <c r="FU8" s="241"/>
      <c r="FV8" s="241"/>
      <c r="FW8" s="241"/>
      <c r="FX8" s="241"/>
      <c r="FY8" s="241"/>
      <c r="FZ8" s="241"/>
      <c r="GA8" s="241"/>
      <c r="GB8" s="241"/>
      <c r="GC8" s="241"/>
      <c r="GD8" s="241"/>
      <c r="GE8" s="241"/>
      <c r="GF8" s="241"/>
      <c r="GG8" s="241"/>
      <c r="GH8" s="241"/>
      <c r="GI8" s="241"/>
      <c r="GJ8" s="241"/>
      <c r="GK8" s="241"/>
      <c r="GL8" s="241"/>
      <c r="GM8" s="241"/>
      <c r="GN8" s="241"/>
      <c r="GO8" s="241"/>
      <c r="GP8" s="241"/>
      <c r="GQ8" s="241"/>
      <c r="GR8" s="241"/>
      <c r="GS8" s="241"/>
      <c r="GT8" s="241"/>
      <c r="GU8" s="241"/>
      <c r="GV8" s="241"/>
      <c r="GW8" s="241"/>
      <c r="GX8" s="241"/>
      <c r="GY8" s="241"/>
      <c r="GZ8" s="241"/>
      <c r="HA8" s="241"/>
      <c r="HB8" s="241"/>
      <c r="HC8" s="241"/>
      <c r="HD8" s="241"/>
      <c r="HE8" s="241"/>
      <c r="HF8" s="241"/>
      <c r="HG8" s="241"/>
      <c r="HH8" s="241"/>
      <c r="HI8" s="241"/>
      <c r="HJ8" s="241"/>
      <c r="HK8" s="241"/>
      <c r="HL8" s="241"/>
      <c r="HM8" s="241"/>
      <c r="HN8" s="241"/>
      <c r="HO8" s="241"/>
      <c r="HP8" s="241"/>
      <c r="HQ8" s="241"/>
      <c r="HR8" s="241"/>
      <c r="HS8" s="241"/>
      <c r="HT8" s="241"/>
      <c r="HU8" s="241"/>
      <c r="HV8" s="241"/>
      <c r="HW8" s="241"/>
      <c r="HX8" s="241"/>
      <c r="HY8" s="241"/>
      <c r="HZ8" s="241"/>
      <c r="IA8" s="241"/>
      <c r="IB8" s="241"/>
      <c r="IC8" s="241"/>
      <c r="ID8" s="241"/>
      <c r="IE8" s="241"/>
      <c r="IF8" s="241"/>
      <c r="IG8" s="241"/>
      <c r="IH8" s="241"/>
      <c r="II8" s="241"/>
      <c r="IJ8" s="241"/>
      <c r="IK8" s="241"/>
      <c r="IL8" s="241"/>
      <c r="IM8" s="241"/>
      <c r="IN8" s="241"/>
      <c r="IO8" s="241"/>
      <c r="IP8" s="241"/>
      <c r="IQ8" s="241"/>
      <c r="IR8" s="241"/>
      <c r="IS8" s="241"/>
      <c r="IT8" s="241"/>
      <c r="IU8" s="241"/>
      <c r="IV8" s="241"/>
      <c r="IW8" s="241"/>
    </row>
    <row r="9" customFormat="false" ht="22.5" hidden="false" customHeight="true" outlineLevel="0" collapsed="false">
      <c r="A9" s="291"/>
      <c r="B9" s="430"/>
      <c r="C9" s="430"/>
      <c r="D9" s="430"/>
      <c r="E9" s="297" t="str">
        <f aca="false">현3!C31</f>
        <v>            동명(   ) [  ]전체층/[  ]일부층 [  ]지상/[  ]지하(  )층 ~ [  ]지상/[  ]지하(  )층</v>
      </c>
      <c r="F9" s="297"/>
      <c r="G9" s="241"/>
      <c r="H9" s="241"/>
      <c r="I9" s="241"/>
      <c r="J9" s="241"/>
      <c r="K9" s="241"/>
      <c r="L9" s="241"/>
      <c r="M9" s="241"/>
      <c r="N9" s="241"/>
      <c r="O9" s="241"/>
      <c r="P9" s="241"/>
      <c r="Q9" s="241"/>
      <c r="R9" s="241"/>
      <c r="S9" s="241"/>
      <c r="T9" s="241"/>
      <c r="U9" s="241"/>
      <c r="V9" s="241"/>
      <c r="W9" s="241"/>
      <c r="X9" s="241"/>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1"/>
      <c r="BB9" s="241"/>
      <c r="BC9" s="241"/>
      <c r="BD9" s="241"/>
      <c r="BE9" s="241"/>
      <c r="BF9" s="241"/>
      <c r="BG9" s="241"/>
      <c r="BH9" s="241"/>
      <c r="BI9" s="241"/>
      <c r="BJ9" s="241"/>
      <c r="BK9" s="241"/>
      <c r="BL9" s="241"/>
      <c r="BM9" s="241"/>
      <c r="BN9" s="241"/>
      <c r="BO9" s="241"/>
      <c r="BP9" s="241"/>
      <c r="BQ9" s="241"/>
      <c r="BR9" s="241"/>
      <c r="BS9" s="241"/>
      <c r="BT9" s="241"/>
      <c r="BU9" s="241"/>
      <c r="BV9" s="241"/>
      <c r="BW9" s="241"/>
      <c r="BX9" s="241"/>
      <c r="BY9" s="241"/>
      <c r="BZ9" s="241"/>
      <c r="CA9" s="241"/>
      <c r="CB9" s="241"/>
      <c r="CC9" s="241"/>
      <c r="CD9" s="241"/>
      <c r="CE9" s="241"/>
      <c r="CF9" s="241"/>
      <c r="CG9" s="241"/>
      <c r="CH9" s="241"/>
      <c r="CI9" s="241"/>
      <c r="CJ9" s="241"/>
      <c r="CK9" s="241"/>
      <c r="CL9" s="241"/>
      <c r="CM9" s="241"/>
      <c r="CN9" s="241"/>
      <c r="CO9" s="241"/>
      <c r="CP9" s="241"/>
      <c r="CQ9" s="241"/>
      <c r="CR9" s="241"/>
      <c r="CS9" s="241"/>
      <c r="CT9" s="241"/>
      <c r="CU9" s="241"/>
      <c r="CV9" s="241"/>
      <c r="CW9" s="241"/>
      <c r="CX9" s="241"/>
      <c r="CY9" s="241"/>
      <c r="CZ9" s="241"/>
      <c r="DA9" s="241"/>
      <c r="DB9" s="241"/>
      <c r="DC9" s="241"/>
      <c r="DD9" s="241"/>
      <c r="DE9" s="241"/>
      <c r="DF9" s="241"/>
      <c r="DG9" s="241"/>
      <c r="DH9" s="241"/>
      <c r="DI9" s="241"/>
      <c r="DJ9" s="241"/>
      <c r="DK9" s="241"/>
      <c r="DL9" s="241"/>
      <c r="DM9" s="241"/>
      <c r="DN9" s="241"/>
      <c r="DO9" s="241"/>
      <c r="DP9" s="241"/>
      <c r="DQ9" s="241"/>
      <c r="DR9" s="241"/>
      <c r="DS9" s="241"/>
      <c r="DT9" s="241"/>
      <c r="DU9" s="241"/>
      <c r="DV9" s="241"/>
      <c r="DW9" s="241"/>
      <c r="DX9" s="241"/>
      <c r="DY9" s="241"/>
      <c r="DZ9" s="241"/>
      <c r="EA9" s="241"/>
      <c r="EB9" s="241"/>
      <c r="EC9" s="241"/>
      <c r="ED9" s="241"/>
      <c r="EE9" s="241"/>
      <c r="EF9" s="241"/>
      <c r="EG9" s="241"/>
      <c r="EH9" s="241"/>
      <c r="EI9" s="241"/>
      <c r="EJ9" s="241"/>
      <c r="EK9" s="241"/>
      <c r="EL9" s="241"/>
      <c r="EM9" s="241"/>
      <c r="EN9" s="241"/>
      <c r="EO9" s="241"/>
      <c r="EP9" s="241"/>
      <c r="EQ9" s="241"/>
      <c r="ER9" s="241"/>
      <c r="ES9" s="241"/>
      <c r="ET9" s="241"/>
      <c r="EU9" s="241"/>
      <c r="EV9" s="241"/>
      <c r="EW9" s="241"/>
      <c r="EX9" s="241"/>
      <c r="EY9" s="241"/>
      <c r="EZ9" s="241"/>
      <c r="FA9" s="241"/>
      <c r="FB9" s="241"/>
      <c r="FC9" s="241"/>
      <c r="FD9" s="241"/>
      <c r="FE9" s="241"/>
      <c r="FF9" s="241"/>
      <c r="FG9" s="241"/>
      <c r="FH9" s="241"/>
      <c r="FI9" s="241"/>
      <c r="FJ9" s="241"/>
      <c r="FK9" s="241"/>
      <c r="FL9" s="241"/>
      <c r="FM9" s="241"/>
      <c r="FN9" s="241"/>
      <c r="FO9" s="241"/>
      <c r="FP9" s="241"/>
      <c r="FQ9" s="241"/>
      <c r="FR9" s="241"/>
      <c r="FS9" s="241"/>
      <c r="FT9" s="241"/>
      <c r="FU9" s="241"/>
      <c r="FV9" s="241"/>
      <c r="FW9" s="241"/>
      <c r="FX9" s="241"/>
      <c r="FY9" s="241"/>
      <c r="FZ9" s="241"/>
      <c r="GA9" s="241"/>
      <c r="GB9" s="241"/>
      <c r="GC9" s="241"/>
      <c r="GD9" s="241"/>
      <c r="GE9" s="241"/>
      <c r="GF9" s="241"/>
      <c r="GG9" s="241"/>
      <c r="GH9" s="241"/>
      <c r="GI9" s="241"/>
      <c r="GJ9" s="241"/>
      <c r="GK9" s="241"/>
      <c r="GL9" s="241"/>
      <c r="GM9" s="241"/>
      <c r="GN9" s="241"/>
      <c r="GO9" s="241"/>
      <c r="GP9" s="241"/>
      <c r="GQ9" s="241"/>
      <c r="GR9" s="241"/>
      <c r="GS9" s="241"/>
      <c r="GT9" s="241"/>
      <c r="GU9" s="241"/>
      <c r="GV9" s="241"/>
      <c r="GW9" s="241"/>
      <c r="GX9" s="241"/>
      <c r="GY9" s="241"/>
      <c r="GZ9" s="241"/>
      <c r="HA9" s="241"/>
      <c r="HB9" s="241"/>
      <c r="HC9" s="241"/>
      <c r="HD9" s="241"/>
      <c r="HE9" s="241"/>
      <c r="HF9" s="241"/>
      <c r="HG9" s="241"/>
      <c r="HH9" s="241"/>
      <c r="HI9" s="241"/>
      <c r="HJ9" s="241"/>
      <c r="HK9" s="241"/>
      <c r="HL9" s="241"/>
      <c r="HM9" s="241"/>
      <c r="HN9" s="241"/>
      <c r="HO9" s="241"/>
      <c r="HP9" s="241"/>
      <c r="HQ9" s="241"/>
      <c r="HR9" s="241"/>
      <c r="HS9" s="241"/>
      <c r="HT9" s="241"/>
      <c r="HU9" s="241"/>
      <c r="HV9" s="241"/>
      <c r="HW9" s="241"/>
      <c r="HX9" s="241"/>
      <c r="HY9" s="241"/>
      <c r="HZ9" s="241"/>
      <c r="IA9" s="241"/>
      <c r="IB9" s="241"/>
      <c r="IC9" s="241"/>
      <c r="ID9" s="241"/>
      <c r="IE9" s="241"/>
      <c r="IF9" s="241"/>
      <c r="IG9" s="241"/>
      <c r="IH9" s="241"/>
      <c r="II9" s="241"/>
      <c r="IJ9" s="241"/>
      <c r="IK9" s="241"/>
      <c r="IL9" s="241"/>
      <c r="IM9" s="241"/>
      <c r="IN9" s="241"/>
      <c r="IO9" s="241"/>
      <c r="IP9" s="241"/>
      <c r="IQ9" s="241"/>
      <c r="IR9" s="241"/>
      <c r="IS9" s="241"/>
      <c r="IT9" s="241"/>
      <c r="IU9" s="241"/>
      <c r="IV9" s="241"/>
      <c r="IW9" s="241"/>
    </row>
    <row r="10" customFormat="false" ht="22.5" hidden="false" customHeight="true" outlineLevel="0" collapsed="false">
      <c r="A10" s="291"/>
      <c r="B10" s="430"/>
      <c r="C10" s="430"/>
      <c r="D10" s="430"/>
      <c r="E10" s="297" t="str">
        <f aca="false">현3!C32</f>
        <v>◦ 대상물의 용도: [  ] 5층이상 병원  [  ] 7층이상 관광호텔 [  ] 이산화탄소소화설비 설치</v>
      </c>
      <c r="F10" s="297"/>
      <c r="G10" s="241"/>
      <c r="H10" s="241"/>
      <c r="I10" s="241"/>
      <c r="J10" s="241"/>
      <c r="K10" s="241"/>
      <c r="L10" s="241"/>
      <c r="M10" s="241"/>
      <c r="N10" s="241"/>
      <c r="O10" s="241"/>
      <c r="P10" s="241"/>
      <c r="Q10" s="24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c r="BE10" s="241"/>
      <c r="BF10" s="241"/>
      <c r="BG10" s="241"/>
      <c r="BH10" s="241"/>
      <c r="BI10" s="241"/>
      <c r="BJ10" s="241"/>
      <c r="BK10" s="241"/>
      <c r="BL10" s="241"/>
      <c r="BM10" s="241"/>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c r="EQ10" s="241"/>
      <c r="ER10" s="241"/>
      <c r="ES10" s="241"/>
      <c r="ET10" s="241"/>
      <c r="EU10" s="241"/>
      <c r="EV10" s="241"/>
      <c r="EW10" s="241"/>
      <c r="EX10" s="241"/>
      <c r="EY10" s="241"/>
      <c r="EZ10" s="241"/>
      <c r="FA10" s="241"/>
      <c r="FB10" s="241"/>
      <c r="FC10" s="241"/>
      <c r="FD10" s="241"/>
      <c r="FE10" s="241"/>
      <c r="FF10" s="241"/>
      <c r="FG10" s="241"/>
      <c r="FH10" s="241"/>
      <c r="FI10" s="241"/>
      <c r="FJ10" s="241"/>
      <c r="FK10" s="241"/>
      <c r="FL10" s="241"/>
      <c r="FM10" s="241"/>
      <c r="FN10" s="241"/>
      <c r="FO10" s="241"/>
      <c r="FP10" s="241"/>
      <c r="FQ10" s="241"/>
      <c r="FR10" s="241"/>
      <c r="FS10" s="241"/>
      <c r="FT10" s="241"/>
      <c r="FU10" s="241"/>
      <c r="FV10" s="241"/>
      <c r="FW10" s="241"/>
      <c r="FX10" s="241"/>
      <c r="FY10" s="241"/>
      <c r="FZ10" s="241"/>
      <c r="GA10" s="241"/>
      <c r="GB10" s="241"/>
      <c r="GC10" s="241"/>
      <c r="GD10" s="241"/>
      <c r="GE10" s="241"/>
      <c r="GF10" s="241"/>
      <c r="GG10" s="241"/>
      <c r="GH10" s="241"/>
      <c r="GI10" s="241"/>
      <c r="GJ10" s="241"/>
      <c r="GK10" s="241"/>
      <c r="GL10" s="241"/>
      <c r="GM10" s="241"/>
      <c r="GN10" s="241"/>
      <c r="GO10" s="241"/>
      <c r="GP10" s="241"/>
      <c r="GQ10" s="241"/>
      <c r="GR10" s="241"/>
      <c r="GS10" s="241"/>
      <c r="GT10" s="241"/>
      <c r="GU10" s="241"/>
      <c r="GV10" s="241"/>
      <c r="GW10" s="241"/>
      <c r="GX10" s="241"/>
      <c r="GY10" s="241"/>
      <c r="GZ10" s="241"/>
      <c r="HA10" s="241"/>
      <c r="HB10" s="241"/>
      <c r="HC10" s="241"/>
      <c r="HD10" s="241"/>
      <c r="HE10" s="241"/>
      <c r="HF10" s="241"/>
      <c r="HG10" s="241"/>
      <c r="HH10" s="241"/>
      <c r="HI10" s="241"/>
      <c r="HJ10" s="241"/>
      <c r="HK10" s="241"/>
      <c r="HL10" s="241"/>
      <c r="HM10" s="241"/>
      <c r="HN10" s="241"/>
      <c r="HO10" s="241"/>
      <c r="HP10" s="241"/>
      <c r="HQ10" s="241"/>
      <c r="HR10" s="241"/>
      <c r="HS10" s="241"/>
      <c r="HT10" s="241"/>
      <c r="HU10" s="241"/>
      <c r="HV10" s="241"/>
      <c r="HW10" s="241"/>
      <c r="HX10" s="241"/>
      <c r="HY10" s="241"/>
      <c r="HZ10" s="241"/>
      <c r="IA10" s="241"/>
      <c r="IB10" s="241"/>
      <c r="IC10" s="241"/>
      <c r="ID10" s="241"/>
      <c r="IE10" s="241"/>
      <c r="IF10" s="241"/>
      <c r="IG10" s="241"/>
      <c r="IH10" s="241"/>
      <c r="II10" s="241"/>
      <c r="IJ10" s="241"/>
      <c r="IK10" s="241"/>
      <c r="IL10" s="241"/>
      <c r="IM10" s="241"/>
      <c r="IN10" s="241"/>
      <c r="IO10" s="241"/>
      <c r="IP10" s="241"/>
      <c r="IQ10" s="241"/>
      <c r="IR10" s="241"/>
      <c r="IS10" s="241"/>
      <c r="IT10" s="241"/>
      <c r="IU10" s="241"/>
      <c r="IV10" s="241"/>
      <c r="IW10" s="241"/>
    </row>
    <row r="11" customFormat="false" ht="22.5" hidden="false" customHeight="true" outlineLevel="0" collapsed="false">
      <c r="A11" s="291"/>
      <c r="B11" s="430"/>
      <c r="C11" s="430"/>
      <c r="D11" s="430"/>
      <c r="E11" s="462" t="str">
        <f aca="false">현3!C33</f>
        <v>                 [  ] 지하역사·백화점·대형점포·쇼핑센타·지하상가·영화상영관</v>
      </c>
      <c r="F11" s="462"/>
      <c r="G11" s="241"/>
      <c r="H11" s="241"/>
      <c r="I11" s="241"/>
      <c r="J11" s="241"/>
      <c r="K11" s="241"/>
      <c r="L11" s="241"/>
      <c r="M11" s="241"/>
      <c r="N11" s="241"/>
      <c r="O11" s="241"/>
      <c r="P11" s="241"/>
      <c r="Q11" s="241"/>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c r="BH11" s="241"/>
      <c r="BI11" s="241"/>
      <c r="BJ11" s="241"/>
      <c r="BK11" s="241"/>
      <c r="BL11" s="241"/>
      <c r="BM11" s="241"/>
      <c r="BN11" s="241"/>
      <c r="BO11" s="241"/>
      <c r="BP11" s="241"/>
      <c r="BQ11" s="241"/>
      <c r="BR11" s="241"/>
      <c r="BS11" s="241"/>
      <c r="BT11" s="241"/>
      <c r="BU11" s="241"/>
      <c r="BV11" s="241"/>
      <c r="BW11" s="241"/>
      <c r="BX11" s="241"/>
      <c r="BY11" s="241"/>
      <c r="BZ11" s="241"/>
      <c r="CA11" s="241"/>
      <c r="CB11" s="241"/>
      <c r="CC11" s="241"/>
      <c r="CD11" s="241"/>
      <c r="CE11" s="241"/>
      <c r="CF11" s="241"/>
      <c r="CG11" s="241"/>
      <c r="CH11" s="241"/>
      <c r="CI11" s="241"/>
      <c r="CJ11" s="241"/>
      <c r="CK11" s="241"/>
      <c r="CL11" s="241"/>
      <c r="CM11" s="241"/>
      <c r="CN11" s="241"/>
      <c r="CO11" s="241"/>
      <c r="CP11" s="241"/>
      <c r="CQ11" s="241"/>
      <c r="CR11" s="241"/>
      <c r="CS11" s="241"/>
      <c r="CT11" s="241"/>
      <c r="CU11" s="241"/>
      <c r="CV11" s="241"/>
      <c r="CW11" s="241"/>
      <c r="CX11" s="241"/>
      <c r="CY11" s="241"/>
      <c r="CZ11" s="241"/>
      <c r="DA11" s="241"/>
      <c r="DB11" s="241"/>
      <c r="DC11" s="241"/>
      <c r="DD11" s="241"/>
      <c r="DE11" s="241"/>
      <c r="DF11" s="241"/>
      <c r="DG11" s="241"/>
      <c r="DH11" s="241"/>
      <c r="DI11" s="241"/>
      <c r="DJ11" s="241"/>
      <c r="DK11" s="241"/>
      <c r="DL11" s="241"/>
      <c r="DM11" s="241"/>
      <c r="DN11" s="241"/>
      <c r="DO11" s="241"/>
      <c r="DP11" s="241"/>
      <c r="DQ11" s="241"/>
      <c r="DR11" s="241"/>
      <c r="DS11" s="241"/>
      <c r="DT11" s="241"/>
      <c r="DU11" s="241"/>
      <c r="DV11" s="241"/>
      <c r="DW11" s="241"/>
      <c r="DX11" s="241"/>
      <c r="DY11" s="241"/>
      <c r="DZ11" s="241"/>
      <c r="EA11" s="241"/>
      <c r="EB11" s="241"/>
      <c r="EC11" s="241"/>
      <c r="ED11" s="241"/>
      <c r="EE11" s="241"/>
      <c r="EF11" s="241"/>
      <c r="EG11" s="241"/>
      <c r="EH11" s="241"/>
      <c r="EI11" s="241"/>
      <c r="EJ11" s="241"/>
      <c r="EK11" s="241"/>
      <c r="EL11" s="241"/>
      <c r="EM11" s="241"/>
      <c r="EN11" s="241"/>
      <c r="EO11" s="241"/>
      <c r="EP11" s="241"/>
      <c r="EQ11" s="241"/>
      <c r="ER11" s="241"/>
      <c r="ES11" s="241"/>
      <c r="ET11" s="241"/>
      <c r="EU11" s="241"/>
      <c r="EV11" s="241"/>
      <c r="EW11" s="241"/>
      <c r="EX11" s="241"/>
      <c r="EY11" s="241"/>
      <c r="EZ11" s="241"/>
      <c r="FA11" s="241"/>
      <c r="FB11" s="241"/>
      <c r="FC11" s="241"/>
      <c r="FD11" s="241"/>
      <c r="FE11" s="241"/>
      <c r="FF11" s="241"/>
      <c r="FG11" s="241"/>
      <c r="FH11" s="241"/>
      <c r="FI11" s="241"/>
      <c r="FJ11" s="241"/>
      <c r="FK11" s="241"/>
      <c r="FL11" s="241"/>
      <c r="FM11" s="241"/>
      <c r="FN11" s="241"/>
      <c r="FO11" s="241"/>
      <c r="FP11" s="241"/>
      <c r="FQ11" s="241"/>
      <c r="FR11" s="241"/>
      <c r="FS11" s="241"/>
      <c r="FT11" s="241"/>
      <c r="FU11" s="241"/>
      <c r="FV11" s="241"/>
      <c r="FW11" s="241"/>
      <c r="FX11" s="241"/>
      <c r="FY11" s="241"/>
      <c r="FZ11" s="241"/>
      <c r="GA11" s="241"/>
      <c r="GB11" s="241"/>
      <c r="GC11" s="241"/>
      <c r="GD11" s="241"/>
      <c r="GE11" s="241"/>
      <c r="GF11" s="241"/>
      <c r="GG11" s="241"/>
      <c r="GH11" s="241"/>
      <c r="GI11" s="241"/>
      <c r="GJ11" s="241"/>
      <c r="GK11" s="241"/>
      <c r="GL11" s="241"/>
      <c r="GM11" s="241"/>
      <c r="GN11" s="241"/>
      <c r="GO11" s="241"/>
      <c r="GP11" s="241"/>
      <c r="GQ11" s="241"/>
      <c r="GR11" s="241"/>
      <c r="GS11" s="241"/>
      <c r="GT11" s="241"/>
      <c r="GU11" s="241"/>
      <c r="GV11" s="241"/>
      <c r="GW11" s="241"/>
      <c r="GX11" s="241"/>
      <c r="GY11" s="241"/>
      <c r="GZ11" s="241"/>
      <c r="HA11" s="241"/>
      <c r="HB11" s="241"/>
      <c r="HC11" s="241"/>
      <c r="HD11" s="241"/>
      <c r="HE11" s="241"/>
      <c r="HF11" s="241"/>
      <c r="HG11" s="241"/>
      <c r="HH11" s="241"/>
      <c r="HI11" s="241"/>
      <c r="HJ11" s="241"/>
      <c r="HK11" s="241"/>
      <c r="HL11" s="241"/>
      <c r="HM11" s="241"/>
      <c r="HN11" s="241"/>
      <c r="HO11" s="241"/>
      <c r="HP11" s="241"/>
      <c r="HQ11" s="241"/>
      <c r="HR11" s="241"/>
      <c r="HS11" s="241"/>
      <c r="HT11" s="241"/>
      <c r="HU11" s="241"/>
      <c r="HV11" s="241"/>
      <c r="HW11" s="241"/>
      <c r="HX11" s="241"/>
      <c r="HY11" s="241"/>
      <c r="HZ11" s="241"/>
      <c r="IA11" s="241"/>
      <c r="IB11" s="241"/>
      <c r="IC11" s="241"/>
      <c r="ID11" s="241"/>
      <c r="IE11" s="241"/>
      <c r="IF11" s="241"/>
      <c r="IG11" s="241"/>
      <c r="IH11" s="241"/>
      <c r="II11" s="241"/>
      <c r="IJ11" s="241"/>
      <c r="IK11" s="241"/>
      <c r="IL11" s="241"/>
      <c r="IM11" s="241"/>
      <c r="IN11" s="241"/>
      <c r="IO11" s="241"/>
      <c r="IP11" s="241"/>
      <c r="IQ11" s="241"/>
      <c r="IR11" s="241"/>
      <c r="IS11" s="241"/>
      <c r="IT11" s="241"/>
      <c r="IU11" s="241"/>
      <c r="IV11" s="241"/>
      <c r="IW11" s="241"/>
    </row>
    <row r="12" customFormat="false" ht="22.5" hidden="false" customHeight="true" outlineLevel="0" collapsed="false">
      <c r="A12" s="291" t="str">
        <f aca="false">현황!Y13</f>
        <v>[  ]</v>
      </c>
      <c r="B12" s="430" t="str">
        <f aca="false">현3!B34</f>
        <v>유도등</v>
      </c>
      <c r="C12" s="430"/>
      <c r="D12" s="430"/>
      <c r="E12" s="297" t="str">
        <f aca="false">현3!C34</f>
        <v>◦ 종류: [  ]피난구 [  ]통로 [  ]객석유도등 [  ]유도표지 [  ]피난유도선</v>
      </c>
      <c r="F12" s="297"/>
      <c r="G12" s="241"/>
      <c r="H12" s="241"/>
      <c r="I12" s="241"/>
      <c r="J12" s="241"/>
      <c r="K12" s="241"/>
      <c r="L12" s="241"/>
      <c r="M12" s="241"/>
      <c r="N12" s="241"/>
      <c r="O12" s="241"/>
      <c r="P12" s="241"/>
      <c r="Q12" s="241"/>
      <c r="R12" s="241"/>
      <c r="S12" s="241"/>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1"/>
      <c r="BK12" s="241"/>
      <c r="BL12" s="241"/>
      <c r="BM12" s="241"/>
      <c r="BN12" s="241"/>
      <c r="BO12" s="241"/>
      <c r="BP12" s="241"/>
      <c r="BQ12" s="241"/>
      <c r="BR12" s="241"/>
      <c r="BS12" s="241"/>
      <c r="BT12" s="241"/>
      <c r="BU12" s="241"/>
      <c r="BV12" s="241"/>
      <c r="BW12" s="241"/>
      <c r="BX12" s="241"/>
      <c r="BY12" s="241"/>
      <c r="BZ12" s="241"/>
      <c r="CA12" s="241"/>
      <c r="CB12" s="241"/>
      <c r="CC12" s="241"/>
      <c r="CD12" s="241"/>
      <c r="CE12" s="241"/>
      <c r="CF12" s="241"/>
      <c r="CG12" s="241"/>
      <c r="CH12" s="241"/>
      <c r="CI12" s="241"/>
      <c r="CJ12" s="241"/>
      <c r="CK12" s="241"/>
      <c r="CL12" s="241"/>
      <c r="CM12" s="241"/>
      <c r="CN12" s="241"/>
      <c r="CO12" s="241"/>
      <c r="CP12" s="241"/>
      <c r="CQ12" s="241"/>
      <c r="CR12" s="241"/>
      <c r="CS12" s="241"/>
      <c r="CT12" s="241"/>
      <c r="CU12" s="241"/>
      <c r="CV12" s="241"/>
      <c r="CW12" s="241"/>
      <c r="CX12" s="241"/>
      <c r="CY12" s="241"/>
      <c r="CZ12" s="241"/>
      <c r="DA12" s="241"/>
      <c r="DB12" s="241"/>
      <c r="DC12" s="241"/>
      <c r="DD12" s="241"/>
      <c r="DE12" s="241"/>
      <c r="DF12" s="241"/>
      <c r="DG12" s="241"/>
      <c r="DH12" s="241"/>
      <c r="DI12" s="241"/>
      <c r="DJ12" s="241"/>
      <c r="DK12" s="241"/>
      <c r="DL12" s="241"/>
      <c r="DM12" s="241"/>
      <c r="DN12" s="241"/>
      <c r="DO12" s="241"/>
      <c r="DP12" s="241"/>
      <c r="DQ12" s="241"/>
      <c r="DR12" s="241"/>
      <c r="DS12" s="241"/>
      <c r="DT12" s="241"/>
      <c r="DU12" s="241"/>
      <c r="DV12" s="241"/>
      <c r="DW12" s="241"/>
      <c r="DX12" s="241"/>
      <c r="DY12" s="241"/>
      <c r="DZ12" s="241"/>
      <c r="EA12" s="241"/>
      <c r="EB12" s="241"/>
      <c r="EC12" s="241"/>
      <c r="ED12" s="241"/>
      <c r="EE12" s="241"/>
      <c r="EF12" s="241"/>
      <c r="EG12" s="241"/>
      <c r="EH12" s="241"/>
      <c r="EI12" s="241"/>
      <c r="EJ12" s="241"/>
      <c r="EK12" s="241"/>
      <c r="EL12" s="241"/>
      <c r="EM12" s="241"/>
      <c r="EN12" s="241"/>
      <c r="EO12" s="241"/>
      <c r="EP12" s="241"/>
      <c r="EQ12" s="241"/>
      <c r="ER12" s="241"/>
      <c r="ES12" s="241"/>
      <c r="ET12" s="241"/>
      <c r="EU12" s="241"/>
      <c r="EV12" s="241"/>
      <c r="EW12" s="241"/>
      <c r="EX12" s="241"/>
      <c r="EY12" s="241"/>
      <c r="EZ12" s="241"/>
      <c r="FA12" s="241"/>
      <c r="FB12" s="241"/>
      <c r="FC12" s="241"/>
      <c r="FD12" s="241"/>
      <c r="FE12" s="241"/>
      <c r="FF12" s="241"/>
      <c r="FG12" s="241"/>
      <c r="FH12" s="241"/>
      <c r="FI12" s="241"/>
      <c r="FJ12" s="241"/>
      <c r="FK12" s="241"/>
      <c r="FL12" s="241"/>
      <c r="FM12" s="241"/>
      <c r="FN12" s="241"/>
      <c r="FO12" s="241"/>
      <c r="FP12" s="241"/>
      <c r="FQ12" s="241"/>
      <c r="FR12" s="241"/>
      <c r="FS12" s="241"/>
      <c r="FT12" s="241"/>
      <c r="FU12" s="241"/>
      <c r="FV12" s="241"/>
      <c r="FW12" s="241"/>
      <c r="FX12" s="241"/>
      <c r="FY12" s="241"/>
      <c r="FZ12" s="241"/>
      <c r="GA12" s="241"/>
      <c r="GB12" s="241"/>
      <c r="GC12" s="241"/>
      <c r="GD12" s="241"/>
      <c r="GE12" s="241"/>
      <c r="GF12" s="241"/>
      <c r="GG12" s="241"/>
      <c r="GH12" s="241"/>
      <c r="GI12" s="241"/>
      <c r="GJ12" s="241"/>
      <c r="GK12" s="241"/>
      <c r="GL12" s="241"/>
      <c r="GM12" s="241"/>
      <c r="GN12" s="241"/>
      <c r="GO12" s="241"/>
      <c r="GP12" s="241"/>
      <c r="GQ12" s="241"/>
      <c r="GR12" s="241"/>
      <c r="GS12" s="241"/>
      <c r="GT12" s="241"/>
      <c r="GU12" s="241"/>
      <c r="GV12" s="241"/>
      <c r="GW12" s="241"/>
      <c r="GX12" s="241"/>
      <c r="GY12" s="241"/>
      <c r="GZ12" s="241"/>
      <c r="HA12" s="241"/>
      <c r="HB12" s="241"/>
      <c r="HC12" s="241"/>
      <c r="HD12" s="241"/>
      <c r="HE12" s="241"/>
      <c r="HF12" s="241"/>
      <c r="HG12" s="241"/>
      <c r="HH12" s="241"/>
      <c r="HI12" s="241"/>
      <c r="HJ12" s="241"/>
      <c r="HK12" s="241"/>
      <c r="HL12" s="241"/>
      <c r="HM12" s="241"/>
      <c r="HN12" s="241"/>
      <c r="HO12" s="241"/>
      <c r="HP12" s="241"/>
      <c r="HQ12" s="241"/>
      <c r="HR12" s="241"/>
      <c r="HS12" s="241"/>
      <c r="HT12" s="241"/>
      <c r="HU12" s="241"/>
      <c r="HV12" s="241"/>
      <c r="HW12" s="241"/>
      <c r="HX12" s="241"/>
      <c r="HY12" s="241"/>
      <c r="HZ12" s="241"/>
      <c r="IA12" s="241"/>
      <c r="IB12" s="241"/>
      <c r="IC12" s="241"/>
      <c r="ID12" s="241"/>
      <c r="IE12" s="241"/>
      <c r="IF12" s="241"/>
      <c r="IG12" s="241"/>
      <c r="IH12" s="241"/>
      <c r="II12" s="241"/>
      <c r="IJ12" s="241"/>
      <c r="IK12" s="241"/>
      <c r="IL12" s="241"/>
      <c r="IM12" s="241"/>
      <c r="IN12" s="241"/>
      <c r="IO12" s="241"/>
      <c r="IP12" s="241"/>
      <c r="IQ12" s="241"/>
      <c r="IR12" s="241"/>
      <c r="IS12" s="241"/>
      <c r="IT12" s="241"/>
      <c r="IU12" s="241"/>
      <c r="IV12" s="241"/>
      <c r="IW12" s="241"/>
    </row>
    <row r="13" customFormat="false" ht="22.5" hidden="false" customHeight="true" outlineLevel="0" collapsed="false">
      <c r="A13" s="291"/>
      <c r="B13" s="430"/>
      <c r="C13" s="430"/>
      <c r="D13" s="430"/>
      <c r="E13" s="462" t="str">
        <f aca="false">현3!C35</f>
        <v>◦ 설치장소: 동명(   ) [  ]전체층/[  ]일부층 [  ]지상/[  ]지하(  )층 ~ [  ]지상/[  ]지하(  )층</v>
      </c>
      <c r="F13" s="462"/>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1"/>
      <c r="BD13" s="241"/>
      <c r="BE13" s="241"/>
      <c r="BF13" s="241"/>
      <c r="BG13" s="241"/>
      <c r="BH13" s="241"/>
      <c r="BI13" s="241"/>
      <c r="BJ13" s="241"/>
      <c r="BK13" s="241"/>
      <c r="BL13" s="241"/>
      <c r="BM13" s="241"/>
      <c r="BN13" s="241"/>
      <c r="BO13" s="241"/>
      <c r="BP13" s="241"/>
      <c r="BQ13" s="241"/>
      <c r="BR13" s="241"/>
      <c r="BS13" s="241"/>
      <c r="BT13" s="241"/>
      <c r="BU13" s="241"/>
      <c r="BV13" s="241"/>
      <c r="BW13" s="241"/>
      <c r="BX13" s="241"/>
      <c r="BY13" s="241"/>
      <c r="BZ13" s="241"/>
      <c r="CA13" s="241"/>
      <c r="CB13" s="241"/>
      <c r="CC13" s="241"/>
      <c r="CD13" s="241"/>
      <c r="CE13" s="241"/>
      <c r="CF13" s="241"/>
      <c r="CG13" s="241"/>
      <c r="CH13" s="241"/>
      <c r="CI13" s="241"/>
      <c r="CJ13" s="241"/>
      <c r="CK13" s="241"/>
      <c r="CL13" s="241"/>
      <c r="CM13" s="241"/>
      <c r="CN13" s="241"/>
      <c r="CO13" s="241"/>
      <c r="CP13" s="241"/>
      <c r="CQ13" s="241"/>
      <c r="CR13" s="241"/>
      <c r="CS13" s="241"/>
      <c r="CT13" s="241"/>
      <c r="CU13" s="241"/>
      <c r="CV13" s="241"/>
      <c r="CW13" s="241"/>
      <c r="CX13" s="241"/>
      <c r="CY13" s="241"/>
      <c r="CZ13" s="241"/>
      <c r="DA13" s="241"/>
      <c r="DB13" s="241"/>
      <c r="DC13" s="241"/>
      <c r="DD13" s="241"/>
      <c r="DE13" s="241"/>
      <c r="DF13" s="241"/>
      <c r="DG13" s="241"/>
      <c r="DH13" s="241"/>
      <c r="DI13" s="241"/>
      <c r="DJ13" s="241"/>
      <c r="DK13" s="241"/>
      <c r="DL13" s="241"/>
      <c r="DM13" s="241"/>
      <c r="DN13" s="241"/>
      <c r="DO13" s="241"/>
      <c r="DP13" s="241"/>
      <c r="DQ13" s="241"/>
      <c r="DR13" s="241"/>
      <c r="DS13" s="241"/>
      <c r="DT13" s="241"/>
      <c r="DU13" s="241"/>
      <c r="DV13" s="241"/>
      <c r="DW13" s="241"/>
      <c r="DX13" s="241"/>
      <c r="DY13" s="241"/>
      <c r="DZ13" s="241"/>
      <c r="EA13" s="241"/>
      <c r="EB13" s="241"/>
      <c r="EC13" s="241"/>
      <c r="ED13" s="241"/>
      <c r="EE13" s="241"/>
      <c r="EF13" s="241"/>
      <c r="EG13" s="241"/>
      <c r="EH13" s="241"/>
      <c r="EI13" s="241"/>
      <c r="EJ13" s="241"/>
      <c r="EK13" s="241"/>
      <c r="EL13" s="241"/>
      <c r="EM13" s="241"/>
      <c r="EN13" s="241"/>
      <c r="EO13" s="241"/>
      <c r="EP13" s="241"/>
      <c r="EQ13" s="241"/>
      <c r="ER13" s="241"/>
      <c r="ES13" s="241"/>
      <c r="ET13" s="241"/>
      <c r="EU13" s="241"/>
      <c r="EV13" s="241"/>
      <c r="EW13" s="241"/>
      <c r="EX13" s="241"/>
      <c r="EY13" s="241"/>
      <c r="EZ13" s="241"/>
      <c r="FA13" s="241"/>
      <c r="FB13" s="241"/>
      <c r="FC13" s="241"/>
      <c r="FD13" s="241"/>
      <c r="FE13" s="241"/>
      <c r="FF13" s="241"/>
      <c r="FG13" s="241"/>
      <c r="FH13" s="241"/>
      <c r="FI13" s="241"/>
      <c r="FJ13" s="241"/>
      <c r="FK13" s="241"/>
      <c r="FL13" s="241"/>
      <c r="FM13" s="241"/>
      <c r="FN13" s="241"/>
      <c r="FO13" s="241"/>
      <c r="FP13" s="241"/>
      <c r="FQ13" s="241"/>
      <c r="FR13" s="241"/>
      <c r="FS13" s="241"/>
      <c r="FT13" s="241"/>
      <c r="FU13" s="241"/>
      <c r="FV13" s="241"/>
      <c r="FW13" s="241"/>
      <c r="FX13" s="241"/>
      <c r="FY13" s="241"/>
      <c r="FZ13" s="241"/>
      <c r="GA13" s="241"/>
      <c r="GB13" s="241"/>
      <c r="GC13" s="241"/>
      <c r="GD13" s="241"/>
      <c r="GE13" s="241"/>
      <c r="GF13" s="241"/>
      <c r="GG13" s="241"/>
      <c r="GH13" s="241"/>
      <c r="GI13" s="241"/>
      <c r="GJ13" s="241"/>
      <c r="GK13" s="241"/>
      <c r="GL13" s="241"/>
      <c r="GM13" s="241"/>
      <c r="GN13" s="241"/>
      <c r="GO13" s="241"/>
      <c r="GP13" s="241"/>
      <c r="GQ13" s="241"/>
      <c r="GR13" s="241"/>
      <c r="GS13" s="241"/>
      <c r="GT13" s="241"/>
      <c r="GU13" s="241"/>
      <c r="GV13" s="241"/>
      <c r="GW13" s="241"/>
      <c r="GX13" s="241"/>
      <c r="GY13" s="241"/>
      <c r="GZ13" s="241"/>
      <c r="HA13" s="241"/>
      <c r="HB13" s="241"/>
      <c r="HC13" s="241"/>
      <c r="HD13" s="241"/>
      <c r="HE13" s="241"/>
      <c r="HF13" s="241"/>
      <c r="HG13" s="241"/>
      <c r="HH13" s="241"/>
      <c r="HI13" s="241"/>
      <c r="HJ13" s="241"/>
      <c r="HK13" s="241"/>
      <c r="HL13" s="241"/>
      <c r="HM13" s="241"/>
      <c r="HN13" s="241"/>
      <c r="HO13" s="241"/>
      <c r="HP13" s="241"/>
      <c r="HQ13" s="241"/>
      <c r="HR13" s="241"/>
      <c r="HS13" s="241"/>
      <c r="HT13" s="241"/>
      <c r="HU13" s="241"/>
      <c r="HV13" s="241"/>
      <c r="HW13" s="241"/>
      <c r="HX13" s="241"/>
      <c r="HY13" s="241"/>
      <c r="HZ13" s="241"/>
      <c r="IA13" s="241"/>
      <c r="IB13" s="241"/>
      <c r="IC13" s="241"/>
      <c r="ID13" s="241"/>
      <c r="IE13" s="241"/>
      <c r="IF13" s="241"/>
      <c r="IG13" s="241"/>
      <c r="IH13" s="241"/>
      <c r="II13" s="241"/>
      <c r="IJ13" s="241"/>
      <c r="IK13" s="241"/>
      <c r="IL13" s="241"/>
      <c r="IM13" s="241"/>
      <c r="IN13" s="241"/>
      <c r="IO13" s="241"/>
      <c r="IP13" s="241"/>
      <c r="IQ13" s="241"/>
      <c r="IR13" s="241"/>
      <c r="IS13" s="241"/>
      <c r="IT13" s="241"/>
      <c r="IU13" s="241"/>
      <c r="IV13" s="241"/>
      <c r="IW13" s="241"/>
    </row>
    <row r="14" customFormat="false" ht="22.5" hidden="false" customHeight="true" outlineLevel="0" collapsed="false">
      <c r="A14" s="291" t="str">
        <f aca="false">현황!Y16</f>
        <v>[  ]</v>
      </c>
      <c r="B14" s="430" t="str">
        <f aca="false">현3!B36</f>
        <v>비상조명등</v>
      </c>
      <c r="C14" s="430"/>
      <c r="D14" s="430"/>
      <c r="E14" s="297" t="str">
        <f aca="false">현3!C36</f>
        <v>◦ 설치장소: 동명(   ) [  ]전체층/[  ]일부층 [  ]지상/[  ]지하(  )층 ~ [  ]지상/[  ]지하(  )층</v>
      </c>
      <c r="F14" s="297"/>
      <c r="G14" s="241"/>
      <c r="H14" s="241"/>
      <c r="I14" s="241"/>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1"/>
      <c r="BL14" s="241"/>
      <c r="BM14" s="241"/>
      <c r="BN14" s="241"/>
      <c r="BO14" s="241"/>
      <c r="BP14" s="241"/>
      <c r="BQ14" s="241"/>
      <c r="BR14" s="241"/>
      <c r="BS14" s="241"/>
      <c r="BT14" s="241"/>
      <c r="BU14" s="241"/>
      <c r="BV14" s="241"/>
      <c r="BW14" s="241"/>
      <c r="BX14" s="241"/>
      <c r="BY14" s="241"/>
      <c r="BZ14" s="241"/>
      <c r="CA14" s="241"/>
      <c r="CB14" s="241"/>
      <c r="CC14" s="241"/>
      <c r="CD14" s="241"/>
      <c r="CE14" s="241"/>
      <c r="CF14" s="241"/>
      <c r="CG14" s="241"/>
      <c r="CH14" s="241"/>
      <c r="CI14" s="241"/>
      <c r="CJ14" s="241"/>
      <c r="CK14" s="241"/>
      <c r="CL14" s="241"/>
      <c r="CM14" s="241"/>
      <c r="CN14" s="241"/>
      <c r="CO14" s="241"/>
      <c r="CP14" s="241"/>
      <c r="CQ14" s="241"/>
      <c r="CR14" s="241"/>
      <c r="CS14" s="241"/>
      <c r="CT14" s="241"/>
      <c r="CU14" s="241"/>
      <c r="CV14" s="241"/>
      <c r="CW14" s="241"/>
      <c r="CX14" s="241"/>
      <c r="CY14" s="241"/>
      <c r="CZ14" s="241"/>
      <c r="DA14" s="241"/>
      <c r="DB14" s="241"/>
      <c r="DC14" s="241"/>
      <c r="DD14" s="241"/>
      <c r="DE14" s="241"/>
      <c r="DF14" s="241"/>
      <c r="DG14" s="241"/>
      <c r="DH14" s="241"/>
      <c r="DI14" s="241"/>
      <c r="DJ14" s="241"/>
      <c r="DK14" s="241"/>
      <c r="DL14" s="241"/>
      <c r="DM14" s="241"/>
      <c r="DN14" s="241"/>
      <c r="DO14" s="241"/>
      <c r="DP14" s="241"/>
      <c r="DQ14" s="241"/>
      <c r="DR14" s="241"/>
      <c r="DS14" s="241"/>
      <c r="DT14" s="241"/>
      <c r="DU14" s="241"/>
      <c r="DV14" s="241"/>
      <c r="DW14" s="241"/>
      <c r="DX14" s="241"/>
      <c r="DY14" s="241"/>
      <c r="DZ14" s="241"/>
      <c r="EA14" s="241"/>
      <c r="EB14" s="241"/>
      <c r="EC14" s="241"/>
      <c r="ED14" s="241"/>
      <c r="EE14" s="241"/>
      <c r="EF14" s="241"/>
      <c r="EG14" s="241"/>
      <c r="EH14" s="241"/>
      <c r="EI14" s="241"/>
      <c r="EJ14" s="241"/>
      <c r="EK14" s="241"/>
      <c r="EL14" s="241"/>
      <c r="EM14" s="241"/>
      <c r="EN14" s="241"/>
      <c r="EO14" s="241"/>
      <c r="EP14" s="241"/>
      <c r="EQ14" s="241"/>
      <c r="ER14" s="241"/>
      <c r="ES14" s="241"/>
      <c r="ET14" s="241"/>
      <c r="EU14" s="241"/>
      <c r="EV14" s="241"/>
      <c r="EW14" s="241"/>
      <c r="EX14" s="241"/>
      <c r="EY14" s="241"/>
      <c r="EZ14" s="241"/>
      <c r="FA14" s="241"/>
      <c r="FB14" s="241"/>
      <c r="FC14" s="241"/>
      <c r="FD14" s="241"/>
      <c r="FE14" s="241"/>
      <c r="FF14" s="241"/>
      <c r="FG14" s="241"/>
      <c r="FH14" s="241"/>
      <c r="FI14" s="241"/>
      <c r="FJ14" s="241"/>
      <c r="FK14" s="241"/>
      <c r="FL14" s="241"/>
      <c r="FM14" s="241"/>
      <c r="FN14" s="241"/>
      <c r="FO14" s="241"/>
      <c r="FP14" s="241"/>
      <c r="FQ14" s="241"/>
      <c r="FR14" s="241"/>
      <c r="FS14" s="241"/>
      <c r="FT14" s="241"/>
      <c r="FU14" s="241"/>
      <c r="FV14" s="241"/>
      <c r="FW14" s="241"/>
      <c r="FX14" s="241"/>
      <c r="FY14" s="241"/>
      <c r="FZ14" s="241"/>
      <c r="GA14" s="241"/>
      <c r="GB14" s="241"/>
      <c r="GC14" s="241"/>
      <c r="GD14" s="241"/>
      <c r="GE14" s="241"/>
      <c r="GF14" s="241"/>
      <c r="GG14" s="241"/>
      <c r="GH14" s="241"/>
      <c r="GI14" s="241"/>
      <c r="GJ14" s="241"/>
      <c r="GK14" s="241"/>
      <c r="GL14" s="241"/>
      <c r="GM14" s="241"/>
      <c r="GN14" s="241"/>
      <c r="GO14" s="241"/>
      <c r="GP14" s="241"/>
      <c r="GQ14" s="241"/>
      <c r="GR14" s="241"/>
      <c r="GS14" s="241"/>
      <c r="GT14" s="241"/>
      <c r="GU14" s="241"/>
      <c r="GV14" s="241"/>
      <c r="GW14" s="241"/>
      <c r="GX14" s="241"/>
      <c r="GY14" s="241"/>
      <c r="GZ14" s="241"/>
      <c r="HA14" s="241"/>
      <c r="HB14" s="241"/>
      <c r="HC14" s="241"/>
      <c r="HD14" s="241"/>
      <c r="HE14" s="241"/>
      <c r="HF14" s="241"/>
      <c r="HG14" s="241"/>
      <c r="HH14" s="241"/>
      <c r="HI14" s="241"/>
      <c r="HJ14" s="241"/>
      <c r="HK14" s="241"/>
      <c r="HL14" s="241"/>
      <c r="HM14" s="241"/>
      <c r="HN14" s="241"/>
      <c r="HO14" s="241"/>
      <c r="HP14" s="241"/>
      <c r="HQ14" s="241"/>
      <c r="HR14" s="241"/>
      <c r="HS14" s="241"/>
      <c r="HT14" s="241"/>
      <c r="HU14" s="241"/>
      <c r="HV14" s="241"/>
      <c r="HW14" s="241"/>
      <c r="HX14" s="241"/>
      <c r="HY14" s="241"/>
      <c r="HZ14" s="241"/>
      <c r="IA14" s="241"/>
      <c r="IB14" s="241"/>
      <c r="IC14" s="241"/>
      <c r="ID14" s="241"/>
      <c r="IE14" s="241"/>
      <c r="IF14" s="241"/>
      <c r="IG14" s="241"/>
      <c r="IH14" s="241"/>
      <c r="II14" s="241"/>
      <c r="IJ14" s="241"/>
      <c r="IK14" s="241"/>
      <c r="IL14" s="241"/>
      <c r="IM14" s="241"/>
      <c r="IN14" s="241"/>
      <c r="IO14" s="241"/>
      <c r="IP14" s="241"/>
      <c r="IQ14" s="241"/>
      <c r="IR14" s="241"/>
      <c r="IS14" s="241"/>
      <c r="IT14" s="241"/>
      <c r="IU14" s="241"/>
      <c r="IV14" s="241"/>
      <c r="IW14" s="241"/>
    </row>
    <row r="15" customFormat="false" ht="22.5" hidden="false" customHeight="true" outlineLevel="0" collapsed="false">
      <c r="A15" s="291"/>
      <c r="B15" s="430"/>
      <c r="C15" s="430"/>
      <c r="D15" s="430"/>
      <c r="E15" s="462" t="str">
        <f aca="false">현3!C37</f>
        <v>◦ 비상전원 [  ]자가발전설비 [  ]축전지설비 [  ]내장형</v>
      </c>
      <c r="F15" s="462"/>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1"/>
      <c r="CD15" s="241"/>
      <c r="CE15" s="241"/>
      <c r="CF15" s="241"/>
      <c r="CG15" s="241"/>
      <c r="CH15" s="241"/>
      <c r="CI15" s="241"/>
      <c r="CJ15" s="241"/>
      <c r="CK15" s="241"/>
      <c r="CL15" s="241"/>
      <c r="CM15" s="241"/>
      <c r="CN15" s="241"/>
      <c r="CO15" s="241"/>
      <c r="CP15" s="241"/>
      <c r="CQ15" s="241"/>
      <c r="CR15" s="241"/>
      <c r="CS15" s="241"/>
      <c r="CT15" s="241"/>
      <c r="CU15" s="241"/>
      <c r="CV15" s="241"/>
      <c r="CW15" s="241"/>
      <c r="CX15" s="241"/>
      <c r="CY15" s="241"/>
      <c r="CZ15" s="241"/>
      <c r="DA15" s="241"/>
      <c r="DB15" s="241"/>
      <c r="DC15" s="241"/>
      <c r="DD15" s="241"/>
      <c r="DE15" s="241"/>
      <c r="DF15" s="241"/>
      <c r="DG15" s="241"/>
      <c r="DH15" s="241"/>
      <c r="DI15" s="241"/>
      <c r="DJ15" s="241"/>
      <c r="DK15" s="241"/>
      <c r="DL15" s="241"/>
      <c r="DM15" s="241"/>
      <c r="DN15" s="241"/>
      <c r="DO15" s="241"/>
      <c r="DP15" s="241"/>
      <c r="DQ15" s="241"/>
      <c r="DR15" s="241"/>
      <c r="DS15" s="241"/>
      <c r="DT15" s="241"/>
      <c r="DU15" s="241"/>
      <c r="DV15" s="241"/>
      <c r="DW15" s="241"/>
      <c r="DX15" s="241"/>
      <c r="DY15" s="241"/>
      <c r="DZ15" s="241"/>
      <c r="EA15" s="241"/>
      <c r="EB15" s="241"/>
      <c r="EC15" s="241"/>
      <c r="ED15" s="241"/>
      <c r="EE15" s="241"/>
      <c r="EF15" s="241"/>
      <c r="EG15" s="241"/>
      <c r="EH15" s="241"/>
      <c r="EI15" s="241"/>
      <c r="EJ15" s="241"/>
      <c r="EK15" s="241"/>
      <c r="EL15" s="241"/>
      <c r="EM15" s="241"/>
      <c r="EN15" s="241"/>
      <c r="EO15" s="241"/>
      <c r="EP15" s="241"/>
      <c r="EQ15" s="241"/>
      <c r="ER15" s="241"/>
      <c r="ES15" s="241"/>
      <c r="ET15" s="241"/>
      <c r="EU15" s="241"/>
      <c r="EV15" s="241"/>
      <c r="EW15" s="241"/>
      <c r="EX15" s="241"/>
      <c r="EY15" s="241"/>
      <c r="EZ15" s="241"/>
      <c r="FA15" s="241"/>
      <c r="FB15" s="241"/>
      <c r="FC15" s="241"/>
      <c r="FD15" s="241"/>
      <c r="FE15" s="241"/>
      <c r="FF15" s="241"/>
      <c r="FG15" s="241"/>
      <c r="FH15" s="241"/>
      <c r="FI15" s="241"/>
      <c r="FJ15" s="241"/>
      <c r="FK15" s="241"/>
      <c r="FL15" s="241"/>
      <c r="FM15" s="241"/>
      <c r="FN15" s="241"/>
      <c r="FO15" s="241"/>
      <c r="FP15" s="241"/>
      <c r="FQ15" s="241"/>
      <c r="FR15" s="241"/>
      <c r="FS15" s="241"/>
      <c r="FT15" s="241"/>
      <c r="FU15" s="241"/>
      <c r="FV15" s="241"/>
      <c r="FW15" s="241"/>
      <c r="FX15" s="241"/>
      <c r="FY15" s="241"/>
      <c r="FZ15" s="241"/>
      <c r="GA15" s="241"/>
      <c r="GB15" s="241"/>
      <c r="GC15" s="241"/>
      <c r="GD15" s="241"/>
      <c r="GE15" s="241"/>
      <c r="GF15" s="241"/>
      <c r="GG15" s="241"/>
      <c r="GH15" s="241"/>
      <c r="GI15" s="241"/>
      <c r="GJ15" s="241"/>
      <c r="GK15" s="241"/>
      <c r="GL15" s="241"/>
      <c r="GM15" s="241"/>
      <c r="GN15" s="241"/>
      <c r="GO15" s="241"/>
      <c r="GP15" s="241"/>
      <c r="GQ15" s="241"/>
      <c r="GR15" s="241"/>
      <c r="GS15" s="241"/>
      <c r="GT15" s="241"/>
      <c r="GU15" s="241"/>
      <c r="GV15" s="241"/>
      <c r="GW15" s="241"/>
      <c r="GX15" s="241"/>
      <c r="GY15" s="241"/>
      <c r="GZ15" s="241"/>
      <c r="HA15" s="241"/>
      <c r="HB15" s="241"/>
      <c r="HC15" s="241"/>
      <c r="HD15" s="241"/>
      <c r="HE15" s="241"/>
      <c r="HF15" s="241"/>
      <c r="HG15" s="241"/>
      <c r="HH15" s="241"/>
      <c r="HI15" s="241"/>
      <c r="HJ15" s="241"/>
      <c r="HK15" s="241"/>
      <c r="HL15" s="241"/>
      <c r="HM15" s="241"/>
      <c r="HN15" s="241"/>
      <c r="HO15" s="241"/>
      <c r="HP15" s="241"/>
      <c r="HQ15" s="241"/>
      <c r="HR15" s="241"/>
      <c r="HS15" s="241"/>
      <c r="HT15" s="241"/>
      <c r="HU15" s="241"/>
      <c r="HV15" s="241"/>
      <c r="HW15" s="241"/>
      <c r="HX15" s="241"/>
      <c r="HY15" s="241"/>
      <c r="HZ15" s="241"/>
      <c r="IA15" s="241"/>
      <c r="IB15" s="241"/>
      <c r="IC15" s="241"/>
      <c r="ID15" s="241"/>
      <c r="IE15" s="241"/>
      <c r="IF15" s="241"/>
      <c r="IG15" s="241"/>
      <c r="IH15" s="241"/>
      <c r="II15" s="241"/>
      <c r="IJ15" s="241"/>
      <c r="IK15" s="241"/>
      <c r="IL15" s="241"/>
      <c r="IM15" s="241"/>
      <c r="IN15" s="241"/>
      <c r="IO15" s="241"/>
      <c r="IP15" s="241"/>
      <c r="IQ15" s="241"/>
      <c r="IR15" s="241"/>
      <c r="IS15" s="241"/>
      <c r="IT15" s="241"/>
      <c r="IU15" s="241"/>
      <c r="IV15" s="241"/>
      <c r="IW15" s="241"/>
    </row>
    <row r="16" customFormat="false" ht="22.5" hidden="false" customHeight="true" outlineLevel="0" collapsed="false">
      <c r="A16" s="294" t="str">
        <f aca="false">현황!Y17</f>
        <v>[  ]</v>
      </c>
      <c r="B16" s="484" t="str">
        <f aca="false">현3!B38</f>
        <v>휴대용
 비상조명등</v>
      </c>
      <c r="C16" s="484"/>
      <c r="D16" s="484"/>
      <c r="E16" s="297" t="str">
        <f aca="false">현3!C38</f>
        <v>◦ 설치장소: 동명(   ) [  ]전체층/[  ]일부층 [  ]지상/[  ]지하(  )층 ~ [  ]지상/[  ]지하(  )층</v>
      </c>
      <c r="F16" s="297"/>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1"/>
      <c r="CD16" s="241"/>
      <c r="CE16" s="241"/>
      <c r="CF16" s="241"/>
      <c r="CG16" s="241"/>
      <c r="CH16" s="241"/>
      <c r="CI16" s="241"/>
      <c r="CJ16" s="241"/>
      <c r="CK16" s="241"/>
      <c r="CL16" s="241"/>
      <c r="CM16" s="241"/>
      <c r="CN16" s="241"/>
      <c r="CO16" s="241"/>
      <c r="CP16" s="241"/>
      <c r="CQ16" s="241"/>
      <c r="CR16" s="241"/>
      <c r="CS16" s="241"/>
      <c r="CT16" s="241"/>
      <c r="CU16" s="241"/>
      <c r="CV16" s="241"/>
      <c r="CW16" s="241"/>
      <c r="CX16" s="241"/>
      <c r="CY16" s="241"/>
      <c r="CZ16" s="241"/>
      <c r="DA16" s="241"/>
      <c r="DB16" s="241"/>
      <c r="DC16" s="241"/>
      <c r="DD16" s="241"/>
      <c r="DE16" s="241"/>
      <c r="DF16" s="241"/>
      <c r="DG16" s="241"/>
      <c r="DH16" s="241"/>
      <c r="DI16" s="241"/>
      <c r="DJ16" s="241"/>
      <c r="DK16" s="241"/>
      <c r="DL16" s="241"/>
      <c r="DM16" s="241"/>
      <c r="DN16" s="241"/>
      <c r="DO16" s="241"/>
      <c r="DP16" s="241"/>
      <c r="DQ16" s="241"/>
      <c r="DR16" s="241"/>
      <c r="DS16" s="241"/>
      <c r="DT16" s="241"/>
      <c r="DU16" s="241"/>
      <c r="DV16" s="241"/>
      <c r="DW16" s="241"/>
      <c r="DX16" s="241"/>
      <c r="DY16" s="241"/>
      <c r="DZ16" s="241"/>
      <c r="EA16" s="241"/>
      <c r="EB16" s="241"/>
      <c r="EC16" s="241"/>
      <c r="ED16" s="241"/>
      <c r="EE16" s="241"/>
      <c r="EF16" s="241"/>
      <c r="EG16" s="241"/>
      <c r="EH16" s="241"/>
      <c r="EI16" s="241"/>
      <c r="EJ16" s="241"/>
      <c r="EK16" s="241"/>
      <c r="EL16" s="241"/>
      <c r="EM16" s="241"/>
      <c r="EN16" s="241"/>
      <c r="EO16" s="241"/>
      <c r="EP16" s="241"/>
      <c r="EQ16" s="241"/>
      <c r="ER16" s="241"/>
      <c r="ES16" s="241"/>
      <c r="ET16" s="241"/>
      <c r="EU16" s="241"/>
      <c r="EV16" s="241"/>
      <c r="EW16" s="241"/>
      <c r="EX16" s="241"/>
      <c r="EY16" s="241"/>
      <c r="EZ16" s="241"/>
      <c r="FA16" s="241"/>
      <c r="FB16" s="241"/>
      <c r="FC16" s="241"/>
      <c r="FD16" s="241"/>
      <c r="FE16" s="241"/>
      <c r="FF16" s="241"/>
      <c r="FG16" s="241"/>
      <c r="FH16" s="241"/>
      <c r="FI16" s="241"/>
      <c r="FJ16" s="241"/>
      <c r="FK16" s="241"/>
      <c r="FL16" s="241"/>
      <c r="FM16" s="241"/>
      <c r="FN16" s="241"/>
      <c r="FO16" s="241"/>
      <c r="FP16" s="241"/>
      <c r="FQ16" s="241"/>
      <c r="FR16" s="241"/>
      <c r="FS16" s="241"/>
      <c r="FT16" s="241"/>
      <c r="FU16" s="241"/>
      <c r="FV16" s="241"/>
      <c r="FW16" s="241"/>
      <c r="FX16" s="241"/>
      <c r="FY16" s="241"/>
      <c r="FZ16" s="241"/>
      <c r="GA16" s="241"/>
      <c r="GB16" s="241"/>
      <c r="GC16" s="241"/>
      <c r="GD16" s="241"/>
      <c r="GE16" s="241"/>
      <c r="GF16" s="241"/>
      <c r="GG16" s="241"/>
      <c r="GH16" s="241"/>
      <c r="GI16" s="241"/>
      <c r="GJ16" s="241"/>
      <c r="GK16" s="241"/>
      <c r="GL16" s="241"/>
      <c r="GM16" s="241"/>
      <c r="GN16" s="241"/>
      <c r="GO16" s="241"/>
      <c r="GP16" s="241"/>
      <c r="GQ16" s="241"/>
      <c r="GR16" s="241"/>
      <c r="GS16" s="241"/>
      <c r="GT16" s="241"/>
      <c r="GU16" s="241"/>
      <c r="GV16" s="241"/>
      <c r="GW16" s="241"/>
      <c r="GX16" s="241"/>
      <c r="GY16" s="241"/>
      <c r="GZ16" s="241"/>
      <c r="HA16" s="241"/>
      <c r="HB16" s="241"/>
      <c r="HC16" s="241"/>
      <c r="HD16" s="241"/>
      <c r="HE16" s="241"/>
      <c r="HF16" s="241"/>
      <c r="HG16" s="241"/>
      <c r="HH16" s="241"/>
      <c r="HI16" s="241"/>
      <c r="HJ16" s="241"/>
      <c r="HK16" s="241"/>
      <c r="HL16" s="241"/>
      <c r="HM16" s="241"/>
      <c r="HN16" s="241"/>
      <c r="HO16" s="241"/>
      <c r="HP16" s="241"/>
      <c r="HQ16" s="241"/>
      <c r="HR16" s="241"/>
      <c r="HS16" s="241"/>
      <c r="HT16" s="241"/>
      <c r="HU16" s="241"/>
      <c r="HV16" s="241"/>
      <c r="HW16" s="241"/>
      <c r="HX16" s="241"/>
      <c r="HY16" s="241"/>
      <c r="HZ16" s="241"/>
      <c r="IA16" s="241"/>
      <c r="IB16" s="241"/>
      <c r="IC16" s="241"/>
      <c r="ID16" s="241"/>
      <c r="IE16" s="241"/>
      <c r="IF16" s="241"/>
      <c r="IG16" s="241"/>
      <c r="IH16" s="241"/>
      <c r="II16" s="241"/>
      <c r="IJ16" s="241"/>
      <c r="IK16" s="241"/>
      <c r="IL16" s="241"/>
      <c r="IM16" s="241"/>
      <c r="IN16" s="241"/>
      <c r="IO16" s="241"/>
      <c r="IP16" s="241"/>
      <c r="IQ16" s="241"/>
      <c r="IR16" s="241"/>
      <c r="IS16" s="241"/>
      <c r="IT16" s="241"/>
      <c r="IU16" s="241"/>
      <c r="IV16" s="241"/>
      <c r="IW16" s="241"/>
    </row>
    <row r="17" customFormat="false" ht="22.5" hidden="false" customHeight="true" outlineLevel="0" collapsed="false">
      <c r="A17" s="294"/>
      <c r="B17" s="484"/>
      <c r="C17" s="484"/>
      <c r="D17" s="484"/>
      <c r="E17" s="298" t="str">
        <f aca="false">현3!C39</f>
        <v>◦ 전원 [ ]건전지식 [ ]충전식 배터리식</v>
      </c>
      <c r="F17" s="298"/>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c r="BH17" s="241"/>
      <c r="BI17" s="241"/>
      <c r="BJ17" s="241"/>
      <c r="BK17" s="241"/>
      <c r="BL17" s="241"/>
      <c r="BM17" s="241"/>
      <c r="BN17" s="241"/>
      <c r="BO17" s="241"/>
      <c r="BP17" s="241"/>
      <c r="BQ17" s="241"/>
      <c r="BR17" s="241"/>
      <c r="BS17" s="241"/>
      <c r="BT17" s="241"/>
      <c r="BU17" s="241"/>
      <c r="BV17" s="241"/>
      <c r="BW17" s="241"/>
      <c r="BX17" s="241"/>
      <c r="BY17" s="241"/>
      <c r="BZ17" s="241"/>
      <c r="CA17" s="241"/>
      <c r="CB17" s="241"/>
      <c r="CC17" s="241"/>
      <c r="CD17" s="241"/>
      <c r="CE17" s="241"/>
      <c r="CF17" s="241"/>
      <c r="CG17" s="241"/>
      <c r="CH17" s="241"/>
      <c r="CI17" s="241"/>
      <c r="CJ17" s="241"/>
      <c r="CK17" s="241"/>
      <c r="CL17" s="241"/>
      <c r="CM17" s="241"/>
      <c r="CN17" s="241"/>
      <c r="CO17" s="241"/>
      <c r="CP17" s="241"/>
      <c r="CQ17" s="241"/>
      <c r="CR17" s="241"/>
      <c r="CS17" s="241"/>
      <c r="CT17" s="241"/>
      <c r="CU17" s="241"/>
      <c r="CV17" s="241"/>
      <c r="CW17" s="241"/>
      <c r="CX17" s="241"/>
      <c r="CY17" s="241"/>
      <c r="CZ17" s="241"/>
      <c r="DA17" s="241"/>
      <c r="DB17" s="241"/>
      <c r="DC17" s="241"/>
      <c r="DD17" s="241"/>
      <c r="DE17" s="241"/>
      <c r="DF17" s="241"/>
      <c r="DG17" s="241"/>
      <c r="DH17" s="241"/>
      <c r="DI17" s="241"/>
      <c r="DJ17" s="241"/>
      <c r="DK17" s="241"/>
      <c r="DL17" s="241"/>
      <c r="DM17" s="241"/>
      <c r="DN17" s="241"/>
      <c r="DO17" s="241"/>
      <c r="DP17" s="241"/>
      <c r="DQ17" s="241"/>
      <c r="DR17" s="241"/>
      <c r="DS17" s="241"/>
      <c r="DT17" s="241"/>
      <c r="DU17" s="241"/>
      <c r="DV17" s="241"/>
      <c r="DW17" s="241"/>
      <c r="DX17" s="241"/>
      <c r="DY17" s="241"/>
      <c r="DZ17" s="241"/>
      <c r="EA17" s="241"/>
      <c r="EB17" s="241"/>
      <c r="EC17" s="241"/>
      <c r="ED17" s="241"/>
      <c r="EE17" s="241"/>
      <c r="EF17" s="241"/>
      <c r="EG17" s="241"/>
      <c r="EH17" s="241"/>
      <c r="EI17" s="241"/>
      <c r="EJ17" s="241"/>
      <c r="EK17" s="241"/>
      <c r="EL17" s="241"/>
      <c r="EM17" s="241"/>
      <c r="EN17" s="241"/>
      <c r="EO17" s="241"/>
      <c r="EP17" s="241"/>
      <c r="EQ17" s="241"/>
      <c r="ER17" s="241"/>
      <c r="ES17" s="241"/>
      <c r="ET17" s="241"/>
      <c r="EU17" s="241"/>
      <c r="EV17" s="241"/>
      <c r="EW17" s="241"/>
      <c r="EX17" s="241"/>
      <c r="EY17" s="241"/>
      <c r="EZ17" s="241"/>
      <c r="FA17" s="241"/>
      <c r="FB17" s="241"/>
      <c r="FC17" s="241"/>
      <c r="FD17" s="241"/>
      <c r="FE17" s="241"/>
      <c r="FF17" s="241"/>
      <c r="FG17" s="241"/>
      <c r="FH17" s="241"/>
      <c r="FI17" s="241"/>
      <c r="FJ17" s="241"/>
      <c r="FK17" s="241"/>
      <c r="FL17" s="241"/>
      <c r="FM17" s="241"/>
      <c r="FN17" s="241"/>
      <c r="FO17" s="241"/>
      <c r="FP17" s="241"/>
      <c r="FQ17" s="241"/>
      <c r="FR17" s="241"/>
      <c r="FS17" s="241"/>
      <c r="FT17" s="241"/>
      <c r="FU17" s="241"/>
      <c r="FV17" s="241"/>
      <c r="FW17" s="241"/>
      <c r="FX17" s="241"/>
      <c r="FY17" s="241"/>
      <c r="FZ17" s="241"/>
      <c r="GA17" s="241"/>
      <c r="GB17" s="241"/>
      <c r="GC17" s="241"/>
      <c r="GD17" s="241"/>
      <c r="GE17" s="241"/>
      <c r="GF17" s="241"/>
      <c r="GG17" s="241"/>
      <c r="GH17" s="241"/>
      <c r="GI17" s="241"/>
      <c r="GJ17" s="241"/>
      <c r="GK17" s="241"/>
      <c r="GL17" s="241"/>
      <c r="GM17" s="241"/>
      <c r="GN17" s="241"/>
      <c r="GO17" s="241"/>
      <c r="GP17" s="241"/>
      <c r="GQ17" s="241"/>
      <c r="GR17" s="241"/>
      <c r="GS17" s="241"/>
      <c r="GT17" s="241"/>
      <c r="GU17" s="241"/>
      <c r="GV17" s="241"/>
      <c r="GW17" s="241"/>
      <c r="GX17" s="241"/>
      <c r="GY17" s="241"/>
      <c r="GZ17" s="241"/>
      <c r="HA17" s="241"/>
      <c r="HB17" s="241"/>
      <c r="HC17" s="241"/>
      <c r="HD17" s="241"/>
      <c r="HE17" s="241"/>
      <c r="HF17" s="241"/>
      <c r="HG17" s="241"/>
      <c r="HH17" s="241"/>
      <c r="HI17" s="241"/>
      <c r="HJ17" s="241"/>
      <c r="HK17" s="241"/>
      <c r="HL17" s="241"/>
      <c r="HM17" s="241"/>
      <c r="HN17" s="241"/>
      <c r="HO17" s="241"/>
      <c r="HP17" s="241"/>
      <c r="HQ17" s="241"/>
      <c r="HR17" s="241"/>
      <c r="HS17" s="241"/>
      <c r="HT17" s="241"/>
      <c r="HU17" s="241"/>
      <c r="HV17" s="241"/>
      <c r="HW17" s="241"/>
      <c r="HX17" s="241"/>
      <c r="HY17" s="241"/>
      <c r="HZ17" s="241"/>
      <c r="IA17" s="241"/>
      <c r="IB17" s="241"/>
      <c r="IC17" s="241"/>
      <c r="ID17" s="241"/>
      <c r="IE17" s="241"/>
      <c r="IF17" s="241"/>
      <c r="IG17" s="241"/>
      <c r="IH17" s="241"/>
      <c r="II17" s="241"/>
      <c r="IJ17" s="241"/>
      <c r="IK17" s="241"/>
      <c r="IL17" s="241"/>
      <c r="IM17" s="241"/>
      <c r="IN17" s="241"/>
      <c r="IO17" s="241"/>
      <c r="IP17" s="241"/>
      <c r="IQ17" s="241"/>
      <c r="IR17" s="241"/>
      <c r="IS17" s="241"/>
      <c r="IT17" s="241"/>
      <c r="IU17" s="241"/>
      <c r="IV17" s="241"/>
      <c r="IW17" s="241"/>
    </row>
    <row r="18" customFormat="false" ht="23.25" hidden="false" customHeight="true" outlineLevel="0" collapsed="false">
      <c r="A18" s="244" t="s">
        <v>498</v>
      </c>
      <c r="B18" s="244"/>
      <c r="C18" s="244"/>
      <c r="D18" s="244"/>
      <c r="E18" s="244"/>
      <c r="F18" s="244"/>
      <c r="G18" s="241"/>
      <c r="H18" s="241"/>
      <c r="I18" s="241"/>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1"/>
      <c r="BB18" s="241"/>
      <c r="BC18" s="241"/>
      <c r="BD18" s="241"/>
      <c r="BE18" s="241"/>
      <c r="BF18" s="241"/>
      <c r="BG18" s="241"/>
      <c r="BH18" s="241"/>
      <c r="BI18" s="241"/>
      <c r="BJ18" s="241"/>
      <c r="BK18" s="241"/>
      <c r="BL18" s="241"/>
      <c r="BM18" s="241"/>
      <c r="BN18" s="241"/>
      <c r="BO18" s="241"/>
      <c r="BP18" s="241"/>
      <c r="BQ18" s="241"/>
      <c r="BR18" s="241"/>
      <c r="BS18" s="241"/>
      <c r="BT18" s="241"/>
      <c r="BU18" s="241"/>
      <c r="BV18" s="241"/>
      <c r="BW18" s="241"/>
      <c r="BX18" s="241"/>
      <c r="BY18" s="241"/>
      <c r="BZ18" s="241"/>
      <c r="CA18" s="241"/>
      <c r="CB18" s="241"/>
      <c r="CC18" s="241"/>
      <c r="CD18" s="241"/>
      <c r="CE18" s="241"/>
      <c r="CF18" s="241"/>
      <c r="CG18" s="241"/>
      <c r="CH18" s="241"/>
      <c r="CI18" s="241"/>
      <c r="CJ18" s="241"/>
      <c r="CK18" s="241"/>
      <c r="CL18" s="241"/>
      <c r="CM18" s="241"/>
      <c r="CN18" s="241"/>
      <c r="CO18" s="241"/>
      <c r="CP18" s="241"/>
      <c r="CQ18" s="241"/>
      <c r="CR18" s="241"/>
      <c r="CS18" s="241"/>
      <c r="CT18" s="241"/>
      <c r="CU18" s="241"/>
      <c r="CV18" s="241"/>
      <c r="CW18" s="241"/>
      <c r="CX18" s="241"/>
      <c r="CY18" s="241"/>
      <c r="CZ18" s="241"/>
      <c r="DA18" s="241"/>
      <c r="DB18" s="241"/>
      <c r="DC18" s="241"/>
      <c r="DD18" s="241"/>
      <c r="DE18" s="241"/>
      <c r="DF18" s="241"/>
      <c r="DG18" s="241"/>
      <c r="DH18" s="241"/>
      <c r="DI18" s="241"/>
      <c r="DJ18" s="241"/>
      <c r="DK18" s="241"/>
      <c r="DL18" s="241"/>
      <c r="DM18" s="241"/>
      <c r="DN18" s="241"/>
      <c r="DO18" s="241"/>
      <c r="DP18" s="241"/>
      <c r="DQ18" s="241"/>
      <c r="DR18" s="241"/>
      <c r="DS18" s="241"/>
      <c r="DT18" s="241"/>
      <c r="DU18" s="241"/>
      <c r="DV18" s="241"/>
      <c r="DW18" s="241"/>
      <c r="DX18" s="241"/>
      <c r="DY18" s="241"/>
      <c r="DZ18" s="241"/>
      <c r="EA18" s="241"/>
      <c r="EB18" s="241"/>
      <c r="EC18" s="241"/>
      <c r="ED18" s="241"/>
      <c r="EE18" s="241"/>
      <c r="EF18" s="241"/>
      <c r="EG18" s="241"/>
      <c r="EH18" s="241"/>
      <c r="EI18" s="241"/>
      <c r="EJ18" s="241"/>
      <c r="EK18" s="241"/>
      <c r="EL18" s="241"/>
      <c r="EM18" s="241"/>
      <c r="EN18" s="241"/>
      <c r="EO18" s="241"/>
      <c r="EP18" s="241"/>
      <c r="EQ18" s="241"/>
      <c r="ER18" s="241"/>
      <c r="ES18" s="241"/>
      <c r="ET18" s="241"/>
      <c r="EU18" s="241"/>
      <c r="EV18" s="241"/>
      <c r="EW18" s="241"/>
      <c r="EX18" s="241"/>
      <c r="EY18" s="241"/>
      <c r="EZ18" s="241"/>
      <c r="FA18" s="241"/>
      <c r="FB18" s="241"/>
      <c r="FC18" s="241"/>
      <c r="FD18" s="241"/>
      <c r="FE18" s="241"/>
      <c r="FF18" s="241"/>
      <c r="FG18" s="241"/>
      <c r="FH18" s="241"/>
      <c r="FI18" s="241"/>
      <c r="FJ18" s="241"/>
      <c r="FK18" s="241"/>
      <c r="FL18" s="241"/>
      <c r="FM18" s="241"/>
      <c r="FN18" s="241"/>
      <c r="FO18" s="241"/>
      <c r="FP18" s="241"/>
      <c r="FQ18" s="241"/>
      <c r="FR18" s="241"/>
      <c r="FS18" s="241"/>
      <c r="FT18" s="241"/>
      <c r="FU18" s="241"/>
      <c r="FV18" s="241"/>
      <c r="FW18" s="241"/>
      <c r="FX18" s="241"/>
      <c r="FY18" s="241"/>
      <c r="FZ18" s="241"/>
      <c r="GA18" s="241"/>
      <c r="GB18" s="241"/>
      <c r="GC18" s="241"/>
      <c r="GD18" s="241"/>
      <c r="GE18" s="241"/>
      <c r="GF18" s="241"/>
      <c r="GG18" s="241"/>
      <c r="GH18" s="241"/>
      <c r="GI18" s="241"/>
      <c r="GJ18" s="241"/>
      <c r="GK18" s="241"/>
      <c r="GL18" s="241"/>
      <c r="GM18" s="241"/>
      <c r="GN18" s="241"/>
      <c r="GO18" s="241"/>
      <c r="GP18" s="241"/>
      <c r="GQ18" s="241"/>
      <c r="GR18" s="241"/>
      <c r="GS18" s="241"/>
      <c r="GT18" s="241"/>
      <c r="GU18" s="241"/>
      <c r="GV18" s="241"/>
      <c r="GW18" s="241"/>
      <c r="GX18" s="241"/>
      <c r="GY18" s="241"/>
      <c r="GZ18" s="241"/>
      <c r="HA18" s="241"/>
      <c r="HB18" s="241"/>
      <c r="HC18" s="241"/>
      <c r="HD18" s="241"/>
      <c r="HE18" s="241"/>
      <c r="HF18" s="241"/>
      <c r="HG18" s="241"/>
      <c r="HH18" s="241"/>
      <c r="HI18" s="241"/>
      <c r="HJ18" s="241"/>
      <c r="HK18" s="241"/>
      <c r="HL18" s="241"/>
      <c r="HM18" s="241"/>
      <c r="HN18" s="241"/>
      <c r="HO18" s="241"/>
      <c r="HP18" s="241"/>
      <c r="HQ18" s="241"/>
      <c r="HR18" s="241"/>
      <c r="HS18" s="241"/>
      <c r="HT18" s="241"/>
      <c r="HU18" s="241"/>
      <c r="HV18" s="241"/>
      <c r="HW18" s="241"/>
      <c r="HX18" s="241"/>
      <c r="HY18" s="241"/>
      <c r="HZ18" s="241"/>
      <c r="IA18" s="241"/>
      <c r="IB18" s="241"/>
      <c r="IC18" s="241"/>
      <c r="ID18" s="241"/>
      <c r="IE18" s="241"/>
      <c r="IF18" s="241"/>
      <c r="IG18" s="241"/>
      <c r="IH18" s="241"/>
      <c r="II18" s="241"/>
      <c r="IJ18" s="241"/>
      <c r="IK18" s="241"/>
      <c r="IL18" s="241"/>
      <c r="IM18" s="241"/>
      <c r="IN18" s="241"/>
      <c r="IO18" s="241"/>
      <c r="IP18" s="241"/>
      <c r="IQ18" s="241"/>
      <c r="IR18" s="241"/>
      <c r="IS18" s="241"/>
      <c r="IT18" s="241"/>
      <c r="IU18" s="241"/>
      <c r="IV18" s="241"/>
      <c r="IW18" s="241"/>
    </row>
    <row r="19" customFormat="false" ht="32.25" hidden="false" customHeight="true" outlineLevel="0" collapsed="false">
      <c r="A19" s="300" t="str">
        <f aca="false">현황!Y18</f>
        <v>[  ]</v>
      </c>
      <c r="B19" s="464" t="str">
        <f aca="false">현3!B41</f>
        <v>상수도
 소화용수</v>
      </c>
      <c r="C19" s="464"/>
      <c r="D19" s="464"/>
      <c r="E19" s="485" t="str">
        <f aca="false">현3!C41</f>
        <v>◦ 설치장소:(                  ), 소화전 호칭지름: (         )㎜</v>
      </c>
      <c r="F19" s="486"/>
      <c r="G19" s="241"/>
      <c r="H19" s="241"/>
      <c r="I19" s="241"/>
      <c r="J19" s="241"/>
      <c r="K19" s="241"/>
      <c r="L19" s="241"/>
      <c r="M19" s="241"/>
      <c r="N19" s="241"/>
      <c r="O19" s="241"/>
      <c r="P19" s="241"/>
      <c r="Q19" s="241"/>
      <c r="R19" s="241"/>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c r="BA19" s="241"/>
      <c r="BB19" s="241"/>
      <c r="BC19" s="241"/>
      <c r="BD19" s="241"/>
      <c r="BE19" s="241"/>
      <c r="BF19" s="241"/>
      <c r="BG19" s="241"/>
      <c r="BH19" s="241"/>
      <c r="BI19" s="241"/>
      <c r="BJ19" s="241"/>
      <c r="BK19" s="241"/>
      <c r="BL19" s="241"/>
      <c r="BM19" s="241"/>
      <c r="BN19" s="241"/>
      <c r="BO19" s="241"/>
      <c r="BP19" s="241"/>
      <c r="BQ19" s="241"/>
      <c r="BR19" s="241"/>
      <c r="BS19" s="241"/>
      <c r="BT19" s="241"/>
      <c r="BU19" s="241"/>
      <c r="BV19" s="241"/>
      <c r="BW19" s="241"/>
      <c r="BX19" s="241"/>
      <c r="BY19" s="241"/>
      <c r="BZ19" s="241"/>
      <c r="CA19" s="241"/>
      <c r="CB19" s="241"/>
      <c r="CC19" s="241"/>
      <c r="CD19" s="241"/>
      <c r="CE19" s="241"/>
      <c r="CF19" s="241"/>
      <c r="CG19" s="241"/>
      <c r="CH19" s="241"/>
      <c r="CI19" s="241"/>
      <c r="CJ19" s="241"/>
      <c r="CK19" s="241"/>
      <c r="CL19" s="241"/>
      <c r="CM19" s="241"/>
      <c r="CN19" s="241"/>
      <c r="CO19" s="241"/>
      <c r="CP19" s="241"/>
      <c r="CQ19" s="241"/>
      <c r="CR19" s="241"/>
      <c r="CS19" s="241"/>
      <c r="CT19" s="241"/>
      <c r="CU19" s="241"/>
      <c r="CV19" s="241"/>
      <c r="CW19" s="241"/>
      <c r="CX19" s="241"/>
      <c r="CY19" s="241"/>
      <c r="CZ19" s="241"/>
      <c r="DA19" s="241"/>
      <c r="DB19" s="241"/>
      <c r="DC19" s="241"/>
      <c r="DD19" s="241"/>
      <c r="DE19" s="241"/>
      <c r="DF19" s="241"/>
      <c r="DG19" s="241"/>
      <c r="DH19" s="241"/>
      <c r="DI19" s="241"/>
      <c r="DJ19" s="241"/>
      <c r="DK19" s="241"/>
      <c r="DL19" s="241"/>
      <c r="DM19" s="241"/>
      <c r="DN19" s="241"/>
      <c r="DO19" s="241"/>
      <c r="DP19" s="241"/>
      <c r="DQ19" s="241"/>
      <c r="DR19" s="241"/>
      <c r="DS19" s="241"/>
      <c r="DT19" s="241"/>
      <c r="DU19" s="241"/>
      <c r="DV19" s="241"/>
      <c r="DW19" s="241"/>
      <c r="DX19" s="241"/>
      <c r="DY19" s="241"/>
      <c r="DZ19" s="241"/>
      <c r="EA19" s="241"/>
      <c r="EB19" s="241"/>
      <c r="EC19" s="241"/>
      <c r="ED19" s="241"/>
      <c r="EE19" s="241"/>
      <c r="EF19" s="241"/>
      <c r="EG19" s="241"/>
      <c r="EH19" s="241"/>
      <c r="EI19" s="241"/>
      <c r="EJ19" s="241"/>
      <c r="EK19" s="241"/>
      <c r="EL19" s="241"/>
      <c r="EM19" s="241"/>
      <c r="EN19" s="241"/>
      <c r="EO19" s="241"/>
      <c r="EP19" s="241"/>
      <c r="EQ19" s="241"/>
      <c r="ER19" s="241"/>
      <c r="ES19" s="241"/>
      <c r="ET19" s="241"/>
      <c r="EU19" s="241"/>
      <c r="EV19" s="241"/>
      <c r="EW19" s="241"/>
      <c r="EX19" s="241"/>
      <c r="EY19" s="241"/>
      <c r="EZ19" s="241"/>
      <c r="FA19" s="241"/>
      <c r="FB19" s="241"/>
      <c r="FC19" s="241"/>
      <c r="FD19" s="241"/>
      <c r="FE19" s="241"/>
      <c r="FF19" s="241"/>
      <c r="FG19" s="241"/>
      <c r="FH19" s="241"/>
      <c r="FI19" s="241"/>
      <c r="FJ19" s="241"/>
      <c r="FK19" s="241"/>
      <c r="FL19" s="241"/>
      <c r="FM19" s="241"/>
      <c r="FN19" s="241"/>
      <c r="FO19" s="241"/>
      <c r="FP19" s="241"/>
      <c r="FQ19" s="241"/>
      <c r="FR19" s="241"/>
      <c r="FS19" s="241"/>
      <c r="FT19" s="241"/>
      <c r="FU19" s="241"/>
      <c r="FV19" s="241"/>
      <c r="FW19" s="241"/>
      <c r="FX19" s="241"/>
      <c r="FY19" s="241"/>
      <c r="FZ19" s="241"/>
      <c r="GA19" s="241"/>
      <c r="GB19" s="241"/>
      <c r="GC19" s="241"/>
      <c r="GD19" s="241"/>
      <c r="GE19" s="241"/>
      <c r="GF19" s="241"/>
      <c r="GG19" s="241"/>
      <c r="GH19" s="241"/>
      <c r="GI19" s="241"/>
      <c r="GJ19" s="241"/>
      <c r="GK19" s="241"/>
      <c r="GL19" s="241"/>
      <c r="GM19" s="241"/>
      <c r="GN19" s="241"/>
      <c r="GO19" s="241"/>
      <c r="GP19" s="241"/>
      <c r="GQ19" s="241"/>
      <c r="GR19" s="241"/>
      <c r="GS19" s="241"/>
      <c r="GT19" s="241"/>
      <c r="GU19" s="241"/>
      <c r="GV19" s="241"/>
      <c r="GW19" s="241"/>
      <c r="GX19" s="241"/>
      <c r="GY19" s="241"/>
      <c r="GZ19" s="241"/>
      <c r="HA19" s="241"/>
      <c r="HB19" s="241"/>
      <c r="HC19" s="241"/>
      <c r="HD19" s="241"/>
      <c r="HE19" s="241"/>
      <c r="HF19" s="241"/>
      <c r="HG19" s="241"/>
      <c r="HH19" s="241"/>
      <c r="HI19" s="241"/>
      <c r="HJ19" s="241"/>
      <c r="HK19" s="241"/>
      <c r="HL19" s="241"/>
      <c r="HM19" s="241"/>
      <c r="HN19" s="241"/>
      <c r="HO19" s="241"/>
      <c r="HP19" s="241"/>
      <c r="HQ19" s="241"/>
      <c r="HR19" s="241"/>
      <c r="HS19" s="241"/>
      <c r="HT19" s="241"/>
      <c r="HU19" s="241"/>
      <c r="HV19" s="241"/>
      <c r="HW19" s="241"/>
      <c r="HX19" s="241"/>
      <c r="HY19" s="241"/>
      <c r="HZ19" s="241"/>
      <c r="IA19" s="241"/>
      <c r="IB19" s="241"/>
      <c r="IC19" s="241"/>
      <c r="ID19" s="241"/>
      <c r="IE19" s="241"/>
      <c r="IF19" s="241"/>
      <c r="IG19" s="241"/>
      <c r="IH19" s="241"/>
      <c r="II19" s="241"/>
      <c r="IJ19" s="241"/>
      <c r="IK19" s="241"/>
      <c r="IL19" s="241"/>
      <c r="IM19" s="241"/>
      <c r="IN19" s="241"/>
      <c r="IO19" s="241"/>
      <c r="IP19" s="241"/>
      <c r="IQ19" s="241"/>
      <c r="IR19" s="241"/>
      <c r="IS19" s="241"/>
      <c r="IT19" s="241"/>
      <c r="IU19" s="241"/>
      <c r="IV19" s="241"/>
      <c r="IW19" s="241"/>
    </row>
    <row r="20" customFormat="false" ht="24" hidden="false" customHeight="true" outlineLevel="0" collapsed="false">
      <c r="A20" s="487" t="str">
        <f aca="false">현황!Y19</f>
        <v>[  ]</v>
      </c>
      <c r="B20" s="466" t="str">
        <f aca="false">현3!B42</f>
        <v>소화수조</v>
      </c>
      <c r="C20" s="466"/>
      <c r="D20" s="466"/>
      <c r="E20" s="296" t="str">
        <f aca="false">현3!C42</f>
        <v>[  ]전용 [  ]겸용/[  ]흡수식 [  ]가압식/[  ]일반수조 [  ]그 밖의 것/유효수량:(      )㎥</v>
      </c>
      <c r="F20" s="296"/>
      <c r="G20" s="241"/>
      <c r="H20" s="241"/>
      <c r="I20" s="241"/>
      <c r="J20" s="241"/>
      <c r="K20" s="241"/>
      <c r="L20" s="241"/>
      <c r="M20" s="241"/>
      <c r="N20" s="241"/>
      <c r="O20" s="241"/>
      <c r="P20" s="241"/>
      <c r="Q20" s="241"/>
      <c r="R20" s="241"/>
      <c r="S20" s="241"/>
      <c r="T20" s="241"/>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c r="BA20" s="241"/>
      <c r="BB20" s="241"/>
      <c r="BC20" s="241"/>
      <c r="BD20" s="241"/>
      <c r="BE20" s="241"/>
      <c r="BF20" s="241"/>
      <c r="BG20" s="241"/>
      <c r="BH20" s="241"/>
      <c r="BI20" s="241"/>
      <c r="BJ20" s="241"/>
      <c r="BK20" s="241"/>
      <c r="BL20" s="241"/>
      <c r="BM20" s="241"/>
      <c r="BN20" s="241"/>
      <c r="BO20" s="241"/>
      <c r="BP20" s="241"/>
      <c r="BQ20" s="241"/>
      <c r="BR20" s="241"/>
      <c r="BS20" s="241"/>
      <c r="BT20" s="241"/>
      <c r="BU20" s="241"/>
      <c r="BV20" s="241"/>
      <c r="BW20" s="241"/>
      <c r="BX20" s="241"/>
      <c r="BY20" s="241"/>
      <c r="BZ20" s="241"/>
      <c r="CA20" s="241"/>
      <c r="CB20" s="241"/>
      <c r="CC20" s="241"/>
      <c r="CD20" s="241"/>
      <c r="CE20" s="241"/>
      <c r="CF20" s="241"/>
      <c r="CG20" s="241"/>
      <c r="CH20" s="241"/>
      <c r="CI20" s="241"/>
      <c r="CJ20" s="241"/>
      <c r="CK20" s="241"/>
      <c r="CL20" s="241"/>
      <c r="CM20" s="241"/>
      <c r="CN20" s="241"/>
      <c r="CO20" s="241"/>
      <c r="CP20" s="241"/>
      <c r="CQ20" s="241"/>
      <c r="CR20" s="241"/>
      <c r="CS20" s="241"/>
      <c r="CT20" s="241"/>
      <c r="CU20" s="241"/>
      <c r="CV20" s="241"/>
      <c r="CW20" s="241"/>
      <c r="CX20" s="241"/>
      <c r="CY20" s="241"/>
      <c r="CZ20" s="241"/>
      <c r="DA20" s="241"/>
      <c r="DB20" s="241"/>
      <c r="DC20" s="241"/>
      <c r="DD20" s="241"/>
      <c r="DE20" s="241"/>
      <c r="DF20" s="241"/>
      <c r="DG20" s="241"/>
      <c r="DH20" s="241"/>
      <c r="DI20" s="241"/>
      <c r="DJ20" s="241"/>
      <c r="DK20" s="241"/>
      <c r="DL20" s="241"/>
      <c r="DM20" s="241"/>
      <c r="DN20" s="241"/>
      <c r="DO20" s="241"/>
      <c r="DP20" s="241"/>
      <c r="DQ20" s="241"/>
      <c r="DR20" s="241"/>
      <c r="DS20" s="241"/>
      <c r="DT20" s="241"/>
      <c r="DU20" s="241"/>
      <c r="DV20" s="241"/>
      <c r="DW20" s="241"/>
      <c r="DX20" s="241"/>
      <c r="DY20" s="241"/>
      <c r="DZ20" s="241"/>
      <c r="EA20" s="241"/>
      <c r="EB20" s="241"/>
      <c r="EC20" s="241"/>
      <c r="ED20" s="241"/>
      <c r="EE20" s="241"/>
      <c r="EF20" s="241"/>
      <c r="EG20" s="241"/>
      <c r="EH20" s="241"/>
      <c r="EI20" s="241"/>
      <c r="EJ20" s="241"/>
      <c r="EK20" s="241"/>
      <c r="EL20" s="241"/>
      <c r="EM20" s="241"/>
      <c r="EN20" s="241"/>
      <c r="EO20" s="241"/>
      <c r="EP20" s="241"/>
      <c r="EQ20" s="241"/>
      <c r="ER20" s="241"/>
      <c r="ES20" s="241"/>
      <c r="ET20" s="241"/>
      <c r="EU20" s="241"/>
      <c r="EV20" s="241"/>
      <c r="EW20" s="241"/>
      <c r="EX20" s="241"/>
      <c r="EY20" s="241"/>
      <c r="EZ20" s="241"/>
      <c r="FA20" s="241"/>
      <c r="FB20" s="241"/>
      <c r="FC20" s="241"/>
      <c r="FD20" s="241"/>
      <c r="FE20" s="241"/>
      <c r="FF20" s="241"/>
      <c r="FG20" s="241"/>
      <c r="FH20" s="241"/>
      <c r="FI20" s="241"/>
      <c r="FJ20" s="241"/>
      <c r="FK20" s="241"/>
      <c r="FL20" s="241"/>
      <c r="FM20" s="241"/>
      <c r="FN20" s="241"/>
      <c r="FO20" s="241"/>
      <c r="FP20" s="241"/>
      <c r="FQ20" s="241"/>
      <c r="FR20" s="241"/>
      <c r="FS20" s="241"/>
      <c r="FT20" s="241"/>
      <c r="FU20" s="241"/>
      <c r="FV20" s="241"/>
      <c r="FW20" s="241"/>
      <c r="FX20" s="241"/>
      <c r="FY20" s="241"/>
      <c r="FZ20" s="241"/>
      <c r="GA20" s="241"/>
      <c r="GB20" s="241"/>
      <c r="GC20" s="241"/>
      <c r="GD20" s="241"/>
      <c r="GE20" s="241"/>
      <c r="GF20" s="241"/>
      <c r="GG20" s="241"/>
      <c r="GH20" s="241"/>
      <c r="GI20" s="241"/>
      <c r="GJ20" s="241"/>
      <c r="GK20" s="241"/>
      <c r="GL20" s="241"/>
      <c r="GM20" s="241"/>
      <c r="GN20" s="241"/>
      <c r="GO20" s="241"/>
      <c r="GP20" s="241"/>
      <c r="GQ20" s="241"/>
      <c r="GR20" s="241"/>
      <c r="GS20" s="241"/>
      <c r="GT20" s="241"/>
      <c r="GU20" s="241"/>
      <c r="GV20" s="241"/>
      <c r="GW20" s="241"/>
      <c r="GX20" s="241"/>
      <c r="GY20" s="241"/>
      <c r="GZ20" s="241"/>
      <c r="HA20" s="241"/>
      <c r="HB20" s="241"/>
      <c r="HC20" s="241"/>
      <c r="HD20" s="241"/>
      <c r="HE20" s="241"/>
      <c r="HF20" s="241"/>
      <c r="HG20" s="241"/>
      <c r="HH20" s="241"/>
      <c r="HI20" s="241"/>
      <c r="HJ20" s="241"/>
      <c r="HK20" s="241"/>
      <c r="HL20" s="241"/>
      <c r="HM20" s="241"/>
      <c r="HN20" s="241"/>
      <c r="HO20" s="241"/>
      <c r="HP20" s="241"/>
      <c r="HQ20" s="241"/>
      <c r="HR20" s="241"/>
      <c r="HS20" s="241"/>
      <c r="HT20" s="241"/>
      <c r="HU20" s="241"/>
      <c r="HV20" s="241"/>
      <c r="HW20" s="241"/>
      <c r="HX20" s="241"/>
      <c r="HY20" s="241"/>
      <c r="HZ20" s="241"/>
      <c r="IA20" s="241"/>
      <c r="IB20" s="241"/>
      <c r="IC20" s="241"/>
      <c r="ID20" s="241"/>
      <c r="IE20" s="241"/>
      <c r="IF20" s="241"/>
      <c r="IG20" s="241"/>
      <c r="IH20" s="241"/>
      <c r="II20" s="241"/>
      <c r="IJ20" s="241"/>
      <c r="IK20" s="241"/>
      <c r="IL20" s="241"/>
      <c r="IM20" s="241"/>
      <c r="IN20" s="241"/>
      <c r="IO20" s="241"/>
      <c r="IP20" s="241"/>
      <c r="IQ20" s="241"/>
      <c r="IR20" s="241"/>
      <c r="IS20" s="241"/>
      <c r="IT20" s="241"/>
      <c r="IU20" s="241"/>
      <c r="IV20" s="241"/>
      <c r="IW20" s="241"/>
    </row>
    <row r="21" customFormat="false" ht="24" hidden="false" customHeight="true" outlineLevel="0" collapsed="false">
      <c r="A21" s="487"/>
      <c r="B21" s="466"/>
      <c r="C21" s="466"/>
      <c r="D21" s="466"/>
      <c r="E21" s="297" t="str">
        <f aca="false">현3!C43</f>
        <v>◦ 가압송수장치  전양정:(   )m, 토출량:(   )ℓ/min, [ ]전동기/[ ]내연기관(연료:[ ]경유 [ ]기타)</v>
      </c>
      <c r="F21" s="297"/>
      <c r="G21" s="241"/>
      <c r="H21" s="241"/>
      <c r="I21" s="241"/>
      <c r="J21" s="241"/>
      <c r="K21" s="241"/>
      <c r="L21" s="241"/>
      <c r="M21" s="241"/>
      <c r="N21" s="241"/>
      <c r="O21" s="241"/>
      <c r="P21" s="241"/>
      <c r="Q21" s="24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1"/>
      <c r="BK21" s="241"/>
      <c r="BL21" s="241"/>
      <c r="BM21" s="241"/>
      <c r="BN21" s="241"/>
      <c r="BO21" s="241"/>
      <c r="BP21" s="241"/>
      <c r="BQ21" s="241"/>
      <c r="BR21" s="241"/>
      <c r="BS21" s="241"/>
      <c r="BT21" s="241"/>
      <c r="BU21" s="241"/>
      <c r="BV21" s="241"/>
      <c r="BW21" s="241"/>
      <c r="BX21" s="241"/>
      <c r="BY21" s="241"/>
      <c r="BZ21" s="241"/>
      <c r="CA21" s="241"/>
      <c r="CB21" s="241"/>
      <c r="CC21" s="241"/>
      <c r="CD21" s="241"/>
      <c r="CE21" s="241"/>
      <c r="CF21" s="241"/>
      <c r="CG21" s="241"/>
      <c r="CH21" s="241"/>
      <c r="CI21" s="241"/>
      <c r="CJ21" s="241"/>
      <c r="CK21" s="241"/>
      <c r="CL21" s="241"/>
      <c r="CM21" s="241"/>
      <c r="CN21" s="241"/>
      <c r="CO21" s="241"/>
      <c r="CP21" s="241"/>
      <c r="CQ21" s="241"/>
      <c r="CR21" s="241"/>
      <c r="CS21" s="241"/>
      <c r="CT21" s="241"/>
      <c r="CU21" s="241"/>
      <c r="CV21" s="241"/>
      <c r="CW21" s="241"/>
      <c r="CX21" s="241"/>
      <c r="CY21" s="241"/>
      <c r="CZ21" s="241"/>
      <c r="DA21" s="241"/>
      <c r="DB21" s="241"/>
      <c r="DC21" s="241"/>
      <c r="DD21" s="241"/>
      <c r="DE21" s="241"/>
      <c r="DF21" s="241"/>
      <c r="DG21" s="241"/>
      <c r="DH21" s="241"/>
      <c r="DI21" s="241"/>
      <c r="DJ21" s="241"/>
      <c r="DK21" s="241"/>
      <c r="DL21" s="241"/>
      <c r="DM21" s="241"/>
      <c r="DN21" s="241"/>
      <c r="DO21" s="241"/>
      <c r="DP21" s="241"/>
      <c r="DQ21" s="241"/>
      <c r="DR21" s="241"/>
      <c r="DS21" s="241"/>
      <c r="DT21" s="241"/>
      <c r="DU21" s="241"/>
      <c r="DV21" s="241"/>
      <c r="DW21" s="241"/>
      <c r="DX21" s="241"/>
      <c r="DY21" s="241"/>
      <c r="DZ21" s="241"/>
      <c r="EA21" s="241"/>
      <c r="EB21" s="241"/>
      <c r="EC21" s="241"/>
      <c r="ED21" s="241"/>
      <c r="EE21" s="241"/>
      <c r="EF21" s="241"/>
      <c r="EG21" s="241"/>
      <c r="EH21" s="241"/>
      <c r="EI21" s="241"/>
      <c r="EJ21" s="241"/>
      <c r="EK21" s="241"/>
      <c r="EL21" s="241"/>
      <c r="EM21" s="241"/>
      <c r="EN21" s="241"/>
      <c r="EO21" s="241"/>
      <c r="EP21" s="241"/>
      <c r="EQ21" s="241"/>
      <c r="ER21" s="241"/>
      <c r="ES21" s="241"/>
      <c r="ET21" s="241"/>
      <c r="EU21" s="241"/>
      <c r="EV21" s="241"/>
      <c r="EW21" s="241"/>
      <c r="EX21" s="241"/>
      <c r="EY21" s="241"/>
      <c r="EZ21" s="241"/>
      <c r="FA21" s="241"/>
      <c r="FB21" s="241"/>
      <c r="FC21" s="241"/>
      <c r="FD21" s="241"/>
      <c r="FE21" s="241"/>
      <c r="FF21" s="241"/>
      <c r="FG21" s="241"/>
      <c r="FH21" s="241"/>
      <c r="FI21" s="241"/>
      <c r="FJ21" s="241"/>
      <c r="FK21" s="241"/>
      <c r="FL21" s="241"/>
      <c r="FM21" s="241"/>
      <c r="FN21" s="241"/>
      <c r="FO21" s="241"/>
      <c r="FP21" s="241"/>
      <c r="FQ21" s="241"/>
      <c r="FR21" s="241"/>
      <c r="FS21" s="241"/>
      <c r="FT21" s="241"/>
      <c r="FU21" s="241"/>
      <c r="FV21" s="241"/>
      <c r="FW21" s="241"/>
      <c r="FX21" s="241"/>
      <c r="FY21" s="241"/>
      <c r="FZ21" s="241"/>
      <c r="GA21" s="241"/>
      <c r="GB21" s="241"/>
      <c r="GC21" s="241"/>
      <c r="GD21" s="241"/>
      <c r="GE21" s="241"/>
      <c r="GF21" s="241"/>
      <c r="GG21" s="241"/>
      <c r="GH21" s="241"/>
      <c r="GI21" s="241"/>
      <c r="GJ21" s="241"/>
      <c r="GK21" s="241"/>
      <c r="GL21" s="241"/>
      <c r="GM21" s="241"/>
      <c r="GN21" s="241"/>
      <c r="GO21" s="241"/>
      <c r="GP21" s="241"/>
      <c r="GQ21" s="241"/>
      <c r="GR21" s="241"/>
      <c r="GS21" s="241"/>
      <c r="GT21" s="241"/>
      <c r="GU21" s="241"/>
      <c r="GV21" s="241"/>
      <c r="GW21" s="241"/>
      <c r="GX21" s="241"/>
      <c r="GY21" s="241"/>
      <c r="GZ21" s="241"/>
      <c r="HA21" s="241"/>
      <c r="HB21" s="241"/>
      <c r="HC21" s="241"/>
      <c r="HD21" s="241"/>
      <c r="HE21" s="241"/>
      <c r="HF21" s="241"/>
      <c r="HG21" s="241"/>
      <c r="HH21" s="241"/>
      <c r="HI21" s="241"/>
      <c r="HJ21" s="241"/>
      <c r="HK21" s="241"/>
      <c r="HL21" s="241"/>
      <c r="HM21" s="241"/>
      <c r="HN21" s="241"/>
      <c r="HO21" s="241"/>
      <c r="HP21" s="241"/>
      <c r="HQ21" s="241"/>
      <c r="HR21" s="241"/>
      <c r="HS21" s="241"/>
      <c r="HT21" s="241"/>
      <c r="HU21" s="241"/>
      <c r="HV21" s="241"/>
      <c r="HW21" s="241"/>
      <c r="HX21" s="241"/>
      <c r="HY21" s="241"/>
      <c r="HZ21" s="241"/>
      <c r="IA21" s="241"/>
      <c r="IB21" s="241"/>
      <c r="IC21" s="241"/>
      <c r="ID21" s="241"/>
      <c r="IE21" s="241"/>
      <c r="IF21" s="241"/>
      <c r="IG21" s="241"/>
      <c r="IH21" s="241"/>
      <c r="II21" s="241"/>
      <c r="IJ21" s="241"/>
      <c r="IK21" s="241"/>
      <c r="IL21" s="241"/>
      <c r="IM21" s="241"/>
      <c r="IN21" s="241"/>
      <c r="IO21" s="241"/>
      <c r="IP21" s="241"/>
      <c r="IQ21" s="241"/>
      <c r="IR21" s="241"/>
      <c r="IS21" s="241"/>
      <c r="IT21" s="241"/>
      <c r="IU21" s="241"/>
      <c r="IV21" s="241"/>
      <c r="IW21" s="241"/>
    </row>
    <row r="22" customFormat="false" ht="24" hidden="false" customHeight="true" outlineLevel="0" collapsed="false">
      <c r="A22" s="487"/>
      <c r="B22" s="466"/>
      <c r="C22" s="466"/>
      <c r="D22" s="466"/>
      <c r="E22" s="297" t="str">
        <f aca="false">현3!C44</f>
        <v>◦ [  ]물올림장치 유효수량: (         )ℓ, 급수배관: (         )㎜</v>
      </c>
      <c r="F22" s="297"/>
      <c r="G22" s="241"/>
      <c r="H22" s="241"/>
      <c r="I22" s="241"/>
      <c r="J22" s="241"/>
      <c r="K22" s="241"/>
      <c r="L22" s="241"/>
      <c r="M22" s="241"/>
      <c r="N22" s="241"/>
      <c r="O22" s="241"/>
      <c r="P22" s="241"/>
      <c r="Q22" s="241"/>
      <c r="R22" s="241"/>
      <c r="S22" s="241"/>
      <c r="T22" s="241"/>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c r="BA22" s="241"/>
      <c r="BB22" s="241"/>
      <c r="BC22" s="241"/>
      <c r="BD22" s="241"/>
      <c r="BE22" s="241"/>
      <c r="BF22" s="241"/>
      <c r="BG22" s="241"/>
      <c r="BH22" s="241"/>
      <c r="BI22" s="241"/>
      <c r="BJ22" s="241"/>
      <c r="BK22" s="241"/>
      <c r="BL22" s="241"/>
      <c r="BM22" s="241"/>
      <c r="BN22" s="241"/>
      <c r="BO22" s="241"/>
      <c r="BP22" s="241"/>
      <c r="BQ22" s="241"/>
      <c r="BR22" s="241"/>
      <c r="BS22" s="241"/>
      <c r="BT22" s="241"/>
      <c r="BU22" s="241"/>
      <c r="BV22" s="241"/>
      <c r="BW22" s="241"/>
      <c r="BX22" s="241"/>
      <c r="BY22" s="241"/>
      <c r="BZ22" s="241"/>
      <c r="CA22" s="241"/>
      <c r="CB22" s="241"/>
      <c r="CC22" s="241"/>
      <c r="CD22" s="241"/>
      <c r="CE22" s="241"/>
      <c r="CF22" s="241"/>
      <c r="CG22" s="241"/>
      <c r="CH22" s="241"/>
      <c r="CI22" s="241"/>
      <c r="CJ22" s="241"/>
      <c r="CK22" s="241"/>
      <c r="CL22" s="241"/>
      <c r="CM22" s="241"/>
      <c r="CN22" s="241"/>
      <c r="CO22" s="241"/>
      <c r="CP22" s="241"/>
      <c r="CQ22" s="241"/>
      <c r="CR22" s="241"/>
      <c r="CS22" s="241"/>
      <c r="CT22" s="241"/>
      <c r="CU22" s="241"/>
      <c r="CV22" s="241"/>
      <c r="CW22" s="241"/>
      <c r="CX22" s="241"/>
      <c r="CY22" s="241"/>
      <c r="CZ22" s="241"/>
      <c r="DA22" s="241"/>
      <c r="DB22" s="241"/>
      <c r="DC22" s="241"/>
      <c r="DD22" s="241"/>
      <c r="DE22" s="241"/>
      <c r="DF22" s="241"/>
      <c r="DG22" s="241"/>
      <c r="DH22" s="241"/>
      <c r="DI22" s="241"/>
      <c r="DJ22" s="241"/>
      <c r="DK22" s="241"/>
      <c r="DL22" s="241"/>
      <c r="DM22" s="241"/>
      <c r="DN22" s="241"/>
      <c r="DO22" s="241"/>
      <c r="DP22" s="241"/>
      <c r="DQ22" s="241"/>
      <c r="DR22" s="241"/>
      <c r="DS22" s="241"/>
      <c r="DT22" s="241"/>
      <c r="DU22" s="241"/>
      <c r="DV22" s="241"/>
      <c r="DW22" s="241"/>
      <c r="DX22" s="241"/>
      <c r="DY22" s="241"/>
      <c r="DZ22" s="241"/>
      <c r="EA22" s="241"/>
      <c r="EB22" s="241"/>
      <c r="EC22" s="241"/>
      <c r="ED22" s="241"/>
      <c r="EE22" s="241"/>
      <c r="EF22" s="241"/>
      <c r="EG22" s="241"/>
      <c r="EH22" s="241"/>
      <c r="EI22" s="241"/>
      <c r="EJ22" s="241"/>
      <c r="EK22" s="241"/>
      <c r="EL22" s="241"/>
      <c r="EM22" s="241"/>
      <c r="EN22" s="241"/>
      <c r="EO22" s="241"/>
      <c r="EP22" s="241"/>
      <c r="EQ22" s="241"/>
      <c r="ER22" s="241"/>
      <c r="ES22" s="241"/>
      <c r="ET22" s="241"/>
      <c r="EU22" s="241"/>
      <c r="EV22" s="241"/>
      <c r="EW22" s="241"/>
      <c r="EX22" s="241"/>
      <c r="EY22" s="241"/>
      <c r="EZ22" s="241"/>
      <c r="FA22" s="241"/>
      <c r="FB22" s="241"/>
      <c r="FC22" s="241"/>
      <c r="FD22" s="241"/>
      <c r="FE22" s="241"/>
      <c r="FF22" s="241"/>
      <c r="FG22" s="241"/>
      <c r="FH22" s="241"/>
      <c r="FI22" s="241"/>
      <c r="FJ22" s="241"/>
      <c r="FK22" s="241"/>
      <c r="FL22" s="241"/>
      <c r="FM22" s="241"/>
      <c r="FN22" s="241"/>
      <c r="FO22" s="241"/>
      <c r="FP22" s="241"/>
      <c r="FQ22" s="241"/>
      <c r="FR22" s="241"/>
      <c r="FS22" s="241"/>
      <c r="FT22" s="241"/>
      <c r="FU22" s="241"/>
      <c r="FV22" s="241"/>
      <c r="FW22" s="241"/>
      <c r="FX22" s="241"/>
      <c r="FY22" s="241"/>
      <c r="FZ22" s="241"/>
      <c r="GA22" s="241"/>
      <c r="GB22" s="241"/>
      <c r="GC22" s="241"/>
      <c r="GD22" s="241"/>
      <c r="GE22" s="241"/>
      <c r="GF22" s="241"/>
      <c r="GG22" s="241"/>
      <c r="GH22" s="241"/>
      <c r="GI22" s="241"/>
      <c r="GJ22" s="241"/>
      <c r="GK22" s="241"/>
      <c r="GL22" s="241"/>
      <c r="GM22" s="241"/>
      <c r="GN22" s="241"/>
      <c r="GO22" s="241"/>
      <c r="GP22" s="241"/>
      <c r="GQ22" s="241"/>
      <c r="GR22" s="241"/>
      <c r="GS22" s="241"/>
      <c r="GT22" s="241"/>
      <c r="GU22" s="241"/>
      <c r="GV22" s="241"/>
      <c r="GW22" s="241"/>
      <c r="GX22" s="241"/>
      <c r="GY22" s="241"/>
      <c r="GZ22" s="241"/>
      <c r="HA22" s="241"/>
      <c r="HB22" s="241"/>
      <c r="HC22" s="241"/>
      <c r="HD22" s="241"/>
      <c r="HE22" s="241"/>
      <c r="HF22" s="241"/>
      <c r="HG22" s="241"/>
      <c r="HH22" s="241"/>
      <c r="HI22" s="241"/>
      <c r="HJ22" s="241"/>
      <c r="HK22" s="241"/>
      <c r="HL22" s="241"/>
      <c r="HM22" s="241"/>
      <c r="HN22" s="241"/>
      <c r="HO22" s="241"/>
      <c r="HP22" s="241"/>
      <c r="HQ22" s="241"/>
      <c r="HR22" s="241"/>
      <c r="HS22" s="241"/>
      <c r="HT22" s="241"/>
      <c r="HU22" s="241"/>
      <c r="HV22" s="241"/>
      <c r="HW22" s="241"/>
      <c r="HX22" s="241"/>
      <c r="HY22" s="241"/>
      <c r="HZ22" s="241"/>
      <c r="IA22" s="241"/>
      <c r="IB22" s="241"/>
      <c r="IC22" s="241"/>
      <c r="ID22" s="241"/>
      <c r="IE22" s="241"/>
      <c r="IF22" s="241"/>
      <c r="IG22" s="241"/>
      <c r="IH22" s="241"/>
      <c r="II22" s="241"/>
      <c r="IJ22" s="241"/>
      <c r="IK22" s="241"/>
      <c r="IL22" s="241"/>
      <c r="IM22" s="241"/>
      <c r="IN22" s="241"/>
      <c r="IO22" s="241"/>
      <c r="IP22" s="241"/>
      <c r="IQ22" s="241"/>
      <c r="IR22" s="241"/>
      <c r="IS22" s="241"/>
      <c r="IT22" s="241"/>
      <c r="IU22" s="241"/>
      <c r="IV22" s="241"/>
      <c r="IW22" s="241"/>
    </row>
    <row r="23" customFormat="false" ht="24" hidden="false" customHeight="true" outlineLevel="0" collapsed="false">
      <c r="A23" s="487"/>
      <c r="B23" s="466"/>
      <c r="C23" s="466"/>
      <c r="D23" s="466"/>
      <c r="E23" s="297" t="str">
        <f aca="false">현3!C45</f>
        <v>◦ 기동스위치 설치장소: [  ]채수구 부근 [  ]방재실 [  ]기타(                  )</v>
      </c>
      <c r="F23" s="297"/>
      <c r="G23" s="241"/>
      <c r="H23" s="241"/>
      <c r="I23" s="241"/>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1"/>
      <c r="BK23" s="241"/>
      <c r="BL23" s="241"/>
      <c r="BM23" s="241"/>
      <c r="BN23" s="241"/>
      <c r="BO23" s="241"/>
      <c r="BP23" s="241"/>
      <c r="BQ23" s="241"/>
      <c r="BR23" s="241"/>
      <c r="BS23" s="241"/>
      <c r="BT23" s="241"/>
      <c r="BU23" s="241"/>
      <c r="BV23" s="241"/>
      <c r="BW23" s="241"/>
      <c r="BX23" s="241"/>
      <c r="BY23" s="241"/>
      <c r="BZ23" s="241"/>
      <c r="CA23" s="241"/>
      <c r="CB23" s="241"/>
      <c r="CC23" s="241"/>
      <c r="CD23" s="241"/>
      <c r="CE23" s="241"/>
      <c r="CF23" s="241"/>
      <c r="CG23" s="241"/>
      <c r="CH23" s="241"/>
      <c r="CI23" s="241"/>
      <c r="CJ23" s="241"/>
      <c r="CK23" s="241"/>
      <c r="CL23" s="241"/>
      <c r="CM23" s="241"/>
      <c r="CN23" s="241"/>
      <c r="CO23" s="241"/>
      <c r="CP23" s="241"/>
      <c r="CQ23" s="241"/>
      <c r="CR23" s="241"/>
      <c r="CS23" s="241"/>
      <c r="CT23" s="241"/>
      <c r="CU23" s="241"/>
      <c r="CV23" s="241"/>
      <c r="CW23" s="241"/>
      <c r="CX23" s="241"/>
      <c r="CY23" s="241"/>
      <c r="CZ23" s="241"/>
      <c r="DA23" s="241"/>
      <c r="DB23" s="241"/>
      <c r="DC23" s="241"/>
      <c r="DD23" s="241"/>
      <c r="DE23" s="241"/>
      <c r="DF23" s="241"/>
      <c r="DG23" s="241"/>
      <c r="DH23" s="241"/>
      <c r="DI23" s="241"/>
      <c r="DJ23" s="241"/>
      <c r="DK23" s="241"/>
      <c r="DL23" s="241"/>
      <c r="DM23" s="241"/>
      <c r="DN23" s="241"/>
      <c r="DO23" s="241"/>
      <c r="DP23" s="241"/>
      <c r="DQ23" s="241"/>
      <c r="DR23" s="241"/>
      <c r="DS23" s="241"/>
      <c r="DT23" s="241"/>
      <c r="DU23" s="241"/>
      <c r="DV23" s="241"/>
      <c r="DW23" s="241"/>
      <c r="DX23" s="241"/>
      <c r="DY23" s="241"/>
      <c r="DZ23" s="241"/>
      <c r="EA23" s="241"/>
      <c r="EB23" s="241"/>
      <c r="EC23" s="241"/>
      <c r="ED23" s="241"/>
      <c r="EE23" s="241"/>
      <c r="EF23" s="241"/>
      <c r="EG23" s="241"/>
      <c r="EH23" s="241"/>
      <c r="EI23" s="241"/>
      <c r="EJ23" s="241"/>
      <c r="EK23" s="241"/>
      <c r="EL23" s="241"/>
      <c r="EM23" s="241"/>
      <c r="EN23" s="241"/>
      <c r="EO23" s="241"/>
      <c r="EP23" s="241"/>
      <c r="EQ23" s="241"/>
      <c r="ER23" s="241"/>
      <c r="ES23" s="241"/>
      <c r="ET23" s="241"/>
      <c r="EU23" s="241"/>
      <c r="EV23" s="241"/>
      <c r="EW23" s="241"/>
      <c r="EX23" s="241"/>
      <c r="EY23" s="241"/>
      <c r="EZ23" s="241"/>
      <c r="FA23" s="241"/>
      <c r="FB23" s="241"/>
      <c r="FC23" s="241"/>
      <c r="FD23" s="241"/>
      <c r="FE23" s="241"/>
      <c r="FF23" s="241"/>
      <c r="FG23" s="241"/>
      <c r="FH23" s="241"/>
      <c r="FI23" s="241"/>
      <c r="FJ23" s="241"/>
      <c r="FK23" s="241"/>
      <c r="FL23" s="241"/>
      <c r="FM23" s="241"/>
      <c r="FN23" s="241"/>
      <c r="FO23" s="241"/>
      <c r="FP23" s="241"/>
      <c r="FQ23" s="241"/>
      <c r="FR23" s="241"/>
      <c r="FS23" s="241"/>
      <c r="FT23" s="241"/>
      <c r="FU23" s="241"/>
      <c r="FV23" s="241"/>
      <c r="FW23" s="241"/>
      <c r="FX23" s="241"/>
      <c r="FY23" s="241"/>
      <c r="FZ23" s="241"/>
      <c r="GA23" s="241"/>
      <c r="GB23" s="241"/>
      <c r="GC23" s="241"/>
      <c r="GD23" s="241"/>
      <c r="GE23" s="241"/>
      <c r="GF23" s="241"/>
      <c r="GG23" s="241"/>
      <c r="GH23" s="241"/>
      <c r="GI23" s="241"/>
      <c r="GJ23" s="241"/>
      <c r="GK23" s="241"/>
      <c r="GL23" s="241"/>
      <c r="GM23" s="241"/>
      <c r="GN23" s="241"/>
      <c r="GO23" s="241"/>
      <c r="GP23" s="241"/>
      <c r="GQ23" s="241"/>
      <c r="GR23" s="241"/>
      <c r="GS23" s="241"/>
      <c r="GT23" s="241"/>
      <c r="GU23" s="241"/>
      <c r="GV23" s="241"/>
      <c r="GW23" s="241"/>
      <c r="GX23" s="241"/>
      <c r="GY23" s="241"/>
      <c r="GZ23" s="241"/>
      <c r="HA23" s="241"/>
      <c r="HB23" s="241"/>
      <c r="HC23" s="241"/>
      <c r="HD23" s="241"/>
      <c r="HE23" s="241"/>
      <c r="HF23" s="241"/>
      <c r="HG23" s="241"/>
      <c r="HH23" s="241"/>
      <c r="HI23" s="241"/>
      <c r="HJ23" s="241"/>
      <c r="HK23" s="241"/>
      <c r="HL23" s="241"/>
      <c r="HM23" s="241"/>
      <c r="HN23" s="241"/>
      <c r="HO23" s="241"/>
      <c r="HP23" s="241"/>
      <c r="HQ23" s="241"/>
      <c r="HR23" s="241"/>
      <c r="HS23" s="241"/>
      <c r="HT23" s="241"/>
      <c r="HU23" s="241"/>
      <c r="HV23" s="241"/>
      <c r="HW23" s="241"/>
      <c r="HX23" s="241"/>
      <c r="HY23" s="241"/>
      <c r="HZ23" s="241"/>
      <c r="IA23" s="241"/>
      <c r="IB23" s="241"/>
      <c r="IC23" s="241"/>
      <c r="ID23" s="241"/>
      <c r="IE23" s="241"/>
      <c r="IF23" s="241"/>
      <c r="IG23" s="241"/>
      <c r="IH23" s="241"/>
      <c r="II23" s="241"/>
      <c r="IJ23" s="241"/>
      <c r="IK23" s="241"/>
      <c r="IL23" s="241"/>
      <c r="IM23" s="241"/>
      <c r="IN23" s="241"/>
      <c r="IO23" s="241"/>
      <c r="IP23" s="241"/>
      <c r="IQ23" s="241"/>
      <c r="IR23" s="241"/>
      <c r="IS23" s="241"/>
      <c r="IT23" s="241"/>
      <c r="IU23" s="241"/>
      <c r="IV23" s="241"/>
      <c r="IW23" s="241"/>
    </row>
    <row r="24" customFormat="false" ht="24" hidden="false" customHeight="true" outlineLevel="0" collapsed="false">
      <c r="A24" s="487"/>
      <c r="B24" s="466"/>
      <c r="C24" s="466"/>
      <c r="D24" s="466"/>
      <c r="E24" s="488" t="str">
        <f aca="false">현3!C46</f>
        <v>◦ 채수구 구경: (    )㎜, 흡수관 투입구: 가로 (    )㎝ 세로 (    )㎝/직경 (    )㎝</v>
      </c>
      <c r="F24" s="488"/>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c r="CW24" s="241"/>
      <c r="CX24" s="241"/>
      <c r="CY24" s="241"/>
      <c r="CZ24" s="241"/>
      <c r="DA24" s="241"/>
      <c r="DB24" s="241"/>
      <c r="DC24" s="241"/>
      <c r="DD24" s="241"/>
      <c r="DE24" s="241"/>
      <c r="DF24" s="241"/>
      <c r="DG24" s="241"/>
      <c r="DH24" s="241"/>
      <c r="DI24" s="241"/>
      <c r="DJ24" s="241"/>
      <c r="DK24" s="241"/>
      <c r="DL24" s="241"/>
      <c r="DM24" s="241"/>
      <c r="DN24" s="241"/>
      <c r="DO24" s="241"/>
      <c r="DP24" s="241"/>
      <c r="DQ24" s="241"/>
      <c r="DR24" s="241"/>
      <c r="DS24" s="241"/>
      <c r="DT24" s="241"/>
      <c r="DU24" s="241"/>
      <c r="DV24" s="241"/>
      <c r="DW24" s="241"/>
      <c r="DX24" s="241"/>
      <c r="DY24" s="241"/>
      <c r="DZ24" s="241"/>
      <c r="EA24" s="241"/>
      <c r="EB24" s="241"/>
      <c r="EC24" s="241"/>
      <c r="ED24" s="241"/>
      <c r="EE24" s="241"/>
      <c r="EF24" s="241"/>
      <c r="EG24" s="241"/>
      <c r="EH24" s="241"/>
      <c r="EI24" s="241"/>
      <c r="EJ24" s="241"/>
      <c r="EK24" s="241"/>
      <c r="EL24" s="241"/>
      <c r="EM24" s="241"/>
      <c r="EN24" s="241"/>
      <c r="EO24" s="241"/>
      <c r="EP24" s="241"/>
      <c r="EQ24" s="241"/>
      <c r="ER24" s="241"/>
      <c r="ES24" s="241"/>
      <c r="ET24" s="241"/>
      <c r="EU24" s="241"/>
      <c r="EV24" s="241"/>
      <c r="EW24" s="241"/>
      <c r="EX24" s="241"/>
      <c r="EY24" s="241"/>
      <c r="EZ24" s="241"/>
      <c r="FA24" s="241"/>
      <c r="FB24" s="241"/>
      <c r="FC24" s="241"/>
      <c r="FD24" s="241"/>
      <c r="FE24" s="241"/>
      <c r="FF24" s="241"/>
      <c r="FG24" s="241"/>
      <c r="FH24" s="241"/>
      <c r="FI24" s="241"/>
      <c r="FJ24" s="241"/>
      <c r="FK24" s="241"/>
      <c r="FL24" s="241"/>
      <c r="FM24" s="241"/>
      <c r="FN24" s="241"/>
      <c r="FO24" s="241"/>
      <c r="FP24" s="241"/>
      <c r="FQ24" s="241"/>
      <c r="FR24" s="241"/>
      <c r="FS24" s="241"/>
      <c r="FT24" s="241"/>
      <c r="FU24" s="241"/>
      <c r="FV24" s="241"/>
      <c r="FW24" s="241"/>
      <c r="FX24" s="241"/>
      <c r="FY24" s="241"/>
      <c r="FZ24" s="241"/>
      <c r="GA24" s="241"/>
      <c r="GB24" s="241"/>
      <c r="GC24" s="241"/>
      <c r="GD24" s="241"/>
      <c r="GE24" s="241"/>
      <c r="GF24" s="241"/>
      <c r="GG24" s="241"/>
      <c r="GH24" s="241"/>
      <c r="GI24" s="241"/>
      <c r="GJ24" s="241"/>
      <c r="GK24" s="241"/>
      <c r="GL24" s="241"/>
      <c r="GM24" s="241"/>
      <c r="GN24" s="241"/>
      <c r="GO24" s="241"/>
      <c r="GP24" s="241"/>
      <c r="GQ24" s="241"/>
      <c r="GR24" s="241"/>
      <c r="GS24" s="241"/>
      <c r="GT24" s="241"/>
      <c r="GU24" s="241"/>
      <c r="GV24" s="241"/>
      <c r="GW24" s="241"/>
      <c r="GX24" s="241"/>
      <c r="GY24" s="241"/>
      <c r="GZ24" s="241"/>
      <c r="HA24" s="241"/>
      <c r="HB24" s="241"/>
      <c r="HC24" s="241"/>
      <c r="HD24" s="241"/>
      <c r="HE24" s="241"/>
      <c r="HF24" s="241"/>
      <c r="HG24" s="241"/>
      <c r="HH24" s="241"/>
      <c r="HI24" s="241"/>
      <c r="HJ24" s="241"/>
      <c r="HK24" s="241"/>
      <c r="HL24" s="241"/>
      <c r="HM24" s="241"/>
      <c r="HN24" s="241"/>
      <c r="HO24" s="241"/>
      <c r="HP24" s="241"/>
      <c r="HQ24" s="241"/>
      <c r="HR24" s="241"/>
      <c r="HS24" s="241"/>
      <c r="HT24" s="241"/>
      <c r="HU24" s="241"/>
      <c r="HV24" s="241"/>
      <c r="HW24" s="241"/>
      <c r="HX24" s="241"/>
      <c r="HY24" s="241"/>
      <c r="HZ24" s="241"/>
      <c r="IA24" s="241"/>
      <c r="IB24" s="241"/>
      <c r="IC24" s="241"/>
      <c r="ID24" s="241"/>
      <c r="IE24" s="241"/>
      <c r="IF24" s="241"/>
      <c r="IG24" s="241"/>
      <c r="IH24" s="241"/>
      <c r="II24" s="241"/>
      <c r="IJ24" s="241"/>
      <c r="IK24" s="241"/>
      <c r="IL24" s="241"/>
      <c r="IM24" s="241"/>
      <c r="IN24" s="241"/>
      <c r="IO24" s="241"/>
      <c r="IP24" s="241"/>
      <c r="IQ24" s="241"/>
      <c r="IR24" s="241"/>
      <c r="IS24" s="241"/>
      <c r="IT24" s="241"/>
      <c r="IU24" s="241"/>
      <c r="IV24" s="241"/>
      <c r="IW24" s="241"/>
    </row>
    <row r="25" customFormat="false" ht="23.25" hidden="false" customHeight="true" outlineLevel="0" collapsed="false">
      <c r="A25" s="489" t="s">
        <v>499</v>
      </c>
      <c r="B25" s="489"/>
      <c r="C25" s="489"/>
      <c r="D25" s="489"/>
      <c r="E25" s="489"/>
      <c r="F25" s="489"/>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1"/>
      <c r="BB25" s="241"/>
      <c r="BC25" s="241"/>
      <c r="BD25" s="241"/>
      <c r="BE25" s="241"/>
      <c r="BF25" s="241"/>
      <c r="BG25" s="241"/>
      <c r="BH25" s="241"/>
      <c r="BI25" s="241"/>
      <c r="BJ25" s="241"/>
      <c r="BK25" s="241"/>
      <c r="BL25" s="241"/>
      <c r="BM25" s="241"/>
      <c r="BN25" s="241"/>
      <c r="BO25" s="241"/>
      <c r="BP25" s="241"/>
      <c r="BQ25" s="241"/>
      <c r="BR25" s="241"/>
      <c r="BS25" s="241"/>
      <c r="BT25" s="241"/>
      <c r="BU25" s="241"/>
      <c r="BV25" s="241"/>
      <c r="BW25" s="241"/>
      <c r="BX25" s="241"/>
      <c r="BY25" s="241"/>
      <c r="BZ25" s="241"/>
      <c r="CA25" s="241"/>
      <c r="CB25" s="241"/>
      <c r="CC25" s="241"/>
      <c r="CD25" s="241"/>
      <c r="CE25" s="241"/>
      <c r="CF25" s="241"/>
      <c r="CG25" s="241"/>
      <c r="CH25" s="241"/>
      <c r="CI25" s="241"/>
      <c r="CJ25" s="241"/>
      <c r="CK25" s="241"/>
      <c r="CL25" s="241"/>
      <c r="CM25" s="241"/>
      <c r="CN25" s="241"/>
      <c r="CO25" s="241"/>
      <c r="CP25" s="241"/>
      <c r="CQ25" s="241"/>
      <c r="CR25" s="241"/>
      <c r="CS25" s="241"/>
      <c r="CT25" s="241"/>
      <c r="CU25" s="241"/>
      <c r="CV25" s="241"/>
      <c r="CW25" s="241"/>
      <c r="CX25" s="241"/>
      <c r="CY25" s="241"/>
      <c r="CZ25" s="241"/>
      <c r="DA25" s="241"/>
      <c r="DB25" s="241"/>
      <c r="DC25" s="241"/>
      <c r="DD25" s="241"/>
      <c r="DE25" s="241"/>
      <c r="DF25" s="241"/>
      <c r="DG25" s="241"/>
      <c r="DH25" s="241"/>
      <c r="DI25" s="241"/>
      <c r="DJ25" s="241"/>
      <c r="DK25" s="241"/>
      <c r="DL25" s="241"/>
      <c r="DM25" s="241"/>
      <c r="DN25" s="241"/>
      <c r="DO25" s="241"/>
      <c r="DP25" s="241"/>
      <c r="DQ25" s="241"/>
      <c r="DR25" s="241"/>
      <c r="DS25" s="241"/>
      <c r="DT25" s="241"/>
      <c r="DU25" s="241"/>
      <c r="DV25" s="241"/>
      <c r="DW25" s="241"/>
      <c r="DX25" s="241"/>
      <c r="DY25" s="241"/>
      <c r="DZ25" s="241"/>
      <c r="EA25" s="241"/>
      <c r="EB25" s="241"/>
      <c r="EC25" s="241"/>
      <c r="ED25" s="241"/>
      <c r="EE25" s="241"/>
      <c r="EF25" s="241"/>
      <c r="EG25" s="241"/>
      <c r="EH25" s="241"/>
      <c r="EI25" s="241"/>
      <c r="EJ25" s="241"/>
      <c r="EK25" s="241"/>
      <c r="EL25" s="241"/>
      <c r="EM25" s="241"/>
      <c r="EN25" s="241"/>
      <c r="EO25" s="241"/>
      <c r="EP25" s="241"/>
      <c r="EQ25" s="241"/>
      <c r="ER25" s="241"/>
      <c r="ES25" s="241"/>
      <c r="ET25" s="241"/>
      <c r="EU25" s="241"/>
      <c r="EV25" s="241"/>
      <c r="EW25" s="241"/>
      <c r="EX25" s="241"/>
      <c r="EY25" s="241"/>
      <c r="EZ25" s="241"/>
      <c r="FA25" s="241"/>
      <c r="FB25" s="241"/>
      <c r="FC25" s="241"/>
      <c r="FD25" s="241"/>
      <c r="FE25" s="241"/>
      <c r="FF25" s="241"/>
      <c r="FG25" s="241"/>
      <c r="FH25" s="241"/>
      <c r="FI25" s="241"/>
      <c r="FJ25" s="241"/>
      <c r="FK25" s="241"/>
      <c r="FL25" s="241"/>
      <c r="FM25" s="241"/>
      <c r="FN25" s="241"/>
      <c r="FO25" s="241"/>
      <c r="FP25" s="241"/>
      <c r="FQ25" s="241"/>
      <c r="FR25" s="241"/>
      <c r="FS25" s="241"/>
      <c r="FT25" s="241"/>
      <c r="FU25" s="241"/>
      <c r="FV25" s="241"/>
      <c r="FW25" s="241"/>
      <c r="FX25" s="241"/>
      <c r="FY25" s="241"/>
      <c r="FZ25" s="241"/>
      <c r="GA25" s="241"/>
      <c r="GB25" s="241"/>
      <c r="GC25" s="241"/>
      <c r="GD25" s="241"/>
      <c r="GE25" s="241"/>
      <c r="GF25" s="241"/>
      <c r="GG25" s="241"/>
      <c r="GH25" s="241"/>
      <c r="GI25" s="241"/>
      <c r="GJ25" s="241"/>
      <c r="GK25" s="241"/>
      <c r="GL25" s="241"/>
      <c r="GM25" s="241"/>
      <c r="GN25" s="241"/>
      <c r="GO25" s="241"/>
      <c r="GP25" s="241"/>
      <c r="GQ25" s="241"/>
      <c r="GR25" s="241"/>
      <c r="GS25" s="241"/>
      <c r="GT25" s="241"/>
      <c r="GU25" s="241"/>
      <c r="GV25" s="241"/>
      <c r="GW25" s="241"/>
      <c r="GX25" s="241"/>
      <c r="GY25" s="241"/>
      <c r="GZ25" s="241"/>
      <c r="HA25" s="241"/>
      <c r="HB25" s="241"/>
      <c r="HC25" s="241"/>
      <c r="HD25" s="241"/>
      <c r="HE25" s="241"/>
      <c r="HF25" s="241"/>
      <c r="HG25" s="241"/>
      <c r="HH25" s="241"/>
      <c r="HI25" s="241"/>
      <c r="HJ25" s="241"/>
      <c r="HK25" s="241"/>
      <c r="HL25" s="241"/>
      <c r="HM25" s="241"/>
      <c r="HN25" s="241"/>
      <c r="HO25" s="241"/>
      <c r="HP25" s="241"/>
      <c r="HQ25" s="241"/>
      <c r="HR25" s="241"/>
      <c r="HS25" s="241"/>
      <c r="HT25" s="241"/>
      <c r="HU25" s="241"/>
      <c r="HV25" s="241"/>
      <c r="HW25" s="241"/>
      <c r="HX25" s="241"/>
      <c r="HY25" s="241"/>
      <c r="HZ25" s="241"/>
      <c r="IA25" s="241"/>
      <c r="IB25" s="241"/>
      <c r="IC25" s="241"/>
      <c r="ID25" s="241"/>
      <c r="IE25" s="241"/>
      <c r="IF25" s="241"/>
      <c r="IG25" s="241"/>
      <c r="IH25" s="241"/>
      <c r="II25" s="241"/>
      <c r="IJ25" s="241"/>
      <c r="IK25" s="241"/>
      <c r="IL25" s="241"/>
      <c r="IM25" s="241"/>
      <c r="IN25" s="241"/>
      <c r="IO25" s="241"/>
      <c r="IP25" s="241"/>
      <c r="IQ25" s="241"/>
      <c r="IR25" s="241"/>
      <c r="IS25" s="241"/>
      <c r="IT25" s="241"/>
      <c r="IU25" s="241"/>
      <c r="IV25" s="241"/>
      <c r="IW25" s="241"/>
    </row>
    <row r="26" customFormat="false" ht="22.5" hidden="false" customHeight="true" outlineLevel="0" collapsed="false">
      <c r="A26" s="490" t="str">
        <f aca="false">현4!A3</f>
        <v>[  ]</v>
      </c>
      <c r="B26" s="491" t="str">
        <f aca="false">현4!B3</f>
        <v>제
연
설
비</v>
      </c>
      <c r="C26" s="492" t="str">
        <f aca="false">현황!Y20</f>
        <v>[  ]</v>
      </c>
      <c r="D26" s="491" t="str">
        <f aca="false">현4!D3</f>
        <v>거
실</v>
      </c>
      <c r="E26" s="493" t="str">
        <f aca="false">현4!E3</f>
        <v>◦ 설치장소: 동명(   ) [  ]전체층/[  ]일부층 [  ]지상/[  ]지하(  )층 ~ [  ]지상/[  ]지하(  )층</v>
      </c>
      <c r="F26" s="493"/>
    </row>
    <row r="27" customFormat="false" ht="22.5" hidden="false" customHeight="true" outlineLevel="0" collapsed="false">
      <c r="A27" s="490"/>
      <c r="B27" s="491"/>
      <c r="C27" s="492"/>
      <c r="D27" s="491"/>
      <c r="E27" s="494" t="str">
        <f aca="false">현4!E4</f>
        <v>◦ 방식 [  ]단독 [  ]공동 [  ]상호 [  ]기타(                  )</v>
      </c>
      <c r="F27" s="494"/>
    </row>
    <row r="28" customFormat="false" ht="22.5" hidden="false" customHeight="true" outlineLevel="0" collapsed="false">
      <c r="A28" s="490"/>
      <c r="B28" s="491"/>
      <c r="C28" s="492"/>
      <c r="D28" s="491"/>
      <c r="E28" s="494" t="str">
        <f aca="false">현4!E5</f>
        <v>◦ 기동장치 [  ]자동(감지기 연동) [  ]수동 [  ]원격</v>
      </c>
      <c r="F28" s="494"/>
    </row>
    <row r="29" customFormat="false" ht="22.5" hidden="false" customHeight="true" outlineLevel="0" collapsed="false">
      <c r="A29" s="490"/>
      <c r="B29" s="491"/>
      <c r="C29" s="492"/>
      <c r="D29" s="491"/>
      <c r="E29" s="494" t="str">
        <f aca="false">현4!E6</f>
        <v>◦ 제연구획면적 최대: (         )㎡ / 구조 [  ]내화 [  ]불연 [  ]그 밖의 것:(          )</v>
      </c>
      <c r="F29" s="494"/>
    </row>
    <row r="30" customFormat="false" ht="22.5" hidden="false" customHeight="true" outlineLevel="0" collapsed="false">
      <c r="A30" s="490"/>
      <c r="B30" s="491"/>
      <c r="C30" s="492"/>
      <c r="D30" s="491"/>
      <c r="E30" s="494" t="str">
        <f aca="false">현4!E7</f>
        <v>◦ 제연구역 출입문 [  ]상시폐쇄(자동폐쇄장치) [  ]상시개방(감지기에 의한 닫힘)</v>
      </c>
      <c r="F30" s="494"/>
    </row>
    <row r="31" customFormat="false" ht="22.5" hidden="false" customHeight="true" outlineLevel="0" collapsed="false">
      <c r="A31" s="490"/>
      <c r="B31" s="491"/>
      <c r="C31" s="492"/>
      <c r="D31" s="491"/>
      <c r="E31" s="494" t="str">
        <f aca="false">현4!E8</f>
        <v>◦ 급기용송풍기 설치장소: 동명(          ) [  ]지상/[  ]지하 (   )층, 실명(            )</v>
      </c>
      <c r="F31" s="494"/>
    </row>
    <row r="32" customFormat="false" ht="22.5" hidden="false" customHeight="true" outlineLevel="0" collapsed="false">
      <c r="A32" s="490"/>
      <c r="B32" s="491"/>
      <c r="C32" s="492"/>
      <c r="D32" s="491"/>
      <c r="E32" s="494" t="str">
        <f aca="false">현4!E9</f>
        <v>  전동기 (      )㎾, 풍량 (      )㎥/min, 정압 (      )㎜Aq</v>
      </c>
      <c r="F32" s="494"/>
    </row>
    <row r="33" customFormat="false" ht="22.5" hidden="false" customHeight="true" outlineLevel="0" collapsed="false">
      <c r="A33" s="490"/>
      <c r="B33" s="491"/>
      <c r="C33" s="492"/>
      <c r="D33" s="491"/>
      <c r="E33" s="494" t="str">
        <f aca="false">현4!E10</f>
        <v>◦ 배출용송풍기 설치장소: 동명(          ) [  ]지상/[  ]지하 (   )층, 실명(            )</v>
      </c>
      <c r="F33" s="494"/>
    </row>
    <row r="34" customFormat="false" ht="22.5" hidden="false" customHeight="true" outlineLevel="0" collapsed="false">
      <c r="A34" s="490"/>
      <c r="B34" s="491"/>
      <c r="C34" s="492"/>
      <c r="D34" s="491"/>
      <c r="E34" s="494" t="str">
        <f aca="false">현4!E11</f>
        <v>  전동기 (      )㎾, 풍량 (      )㎥/min, 정압 (      )㎜Aq</v>
      </c>
      <c r="F34" s="494"/>
    </row>
    <row r="35" customFormat="false" ht="22.5" hidden="false" customHeight="true" outlineLevel="0" collapsed="false">
      <c r="A35" s="490"/>
      <c r="B35" s="491"/>
      <c r="C35" s="492"/>
      <c r="D35" s="491"/>
      <c r="E35" s="494" t="str">
        <f aca="false">현4!E12</f>
        <v>◦ 배출구 [  ]천장면 [  ]천장직하 [  ]기타(      ) / 옥외배출구 [  ]옥상 [  ]기타(      )</v>
      </c>
      <c r="F35" s="494"/>
    </row>
    <row r="36" customFormat="false" ht="22.5" hidden="false" customHeight="true" outlineLevel="0" collapsed="false">
      <c r="A36" s="490"/>
      <c r="B36" s="491"/>
      <c r="C36" s="492"/>
      <c r="D36" s="491"/>
      <c r="E36" s="494" t="str">
        <f aca="false">현4!E13</f>
        <v>  풍도구조 [  ]내화 [  ]불연 [  ]그 밖의 것(          ) / 구획댐퍼 [  ]유 [  ]무</v>
      </c>
      <c r="F36" s="494"/>
    </row>
    <row r="37" customFormat="false" ht="22.5" hidden="false" customHeight="true" outlineLevel="0" collapsed="false">
      <c r="A37" s="490"/>
      <c r="B37" s="491"/>
      <c r="C37" s="492"/>
      <c r="D37" s="491"/>
      <c r="E37" s="494" t="str">
        <f aca="false">현4!E14</f>
        <v>◦ 유입공기배출 [  ]자연배출 [  ]기계배출 [  ]배출구 [  ]제연설비</v>
      </c>
      <c r="F37" s="494"/>
    </row>
    <row r="38" customFormat="false" ht="22.5" hidden="false" customHeight="true" outlineLevel="0" collapsed="false">
      <c r="A38" s="490"/>
      <c r="B38" s="491"/>
      <c r="C38" s="492"/>
      <c r="D38" s="491"/>
      <c r="E38" s="494" t="str">
        <f aca="false">현4!E15</f>
        <v>◦ 급기구 [  ]강제유입 [  ]자연유입 [  ]인접구역유입</v>
      </c>
      <c r="F38" s="494"/>
    </row>
    <row r="39" customFormat="false" ht="22.5" hidden="false" customHeight="true" outlineLevel="0" collapsed="false">
      <c r="A39" s="490"/>
      <c r="B39" s="491"/>
      <c r="C39" s="492"/>
      <c r="D39" s="491"/>
      <c r="E39" s="298" t="str">
        <f aca="false">현4!E16</f>
        <v>  풍도구조 [  ]내화 [  ]불연 [  ]그 밖의 것(          ) / 구획댐퍼 [  ]유 [  ]무</v>
      </c>
      <c r="F39" s="298"/>
    </row>
  </sheetData>
  <mergeCells count="54">
    <mergeCell ref="A2:F2"/>
    <mergeCell ref="A3:A6"/>
    <mergeCell ref="B3:D6"/>
    <mergeCell ref="E3:F3"/>
    <mergeCell ref="E4:F4"/>
    <mergeCell ref="E5:F5"/>
    <mergeCell ref="E6:F6"/>
    <mergeCell ref="A7:A11"/>
    <mergeCell ref="B7:D11"/>
    <mergeCell ref="E7:F7"/>
    <mergeCell ref="E8:F8"/>
    <mergeCell ref="E9:F9"/>
    <mergeCell ref="E10:F10"/>
    <mergeCell ref="E11:F11"/>
    <mergeCell ref="A12:A13"/>
    <mergeCell ref="B12:D13"/>
    <mergeCell ref="E12:F12"/>
    <mergeCell ref="E13:F13"/>
    <mergeCell ref="A14:A15"/>
    <mergeCell ref="B14:D15"/>
    <mergeCell ref="E14:F14"/>
    <mergeCell ref="E15:F15"/>
    <mergeCell ref="A16:A17"/>
    <mergeCell ref="B16:D17"/>
    <mergeCell ref="E16:F16"/>
    <mergeCell ref="E17:F17"/>
    <mergeCell ref="A18:F18"/>
    <mergeCell ref="B19:D19"/>
    <mergeCell ref="A20:A24"/>
    <mergeCell ref="B20:D24"/>
    <mergeCell ref="E20:F20"/>
    <mergeCell ref="E21:F21"/>
    <mergeCell ref="E22:F22"/>
    <mergeCell ref="E23:F23"/>
    <mergeCell ref="E24:F24"/>
    <mergeCell ref="A25:F25"/>
    <mergeCell ref="A26:A39"/>
    <mergeCell ref="B26:B39"/>
    <mergeCell ref="C26:C39"/>
    <mergeCell ref="D26:D39"/>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s>
  <printOptions headings="false" gridLines="false" gridLinesSet="true" horizontalCentered="false" verticalCentered="false"/>
  <pageMargins left="0.37" right="0.2" top="0.38" bottom="0.38" header="0.3" footer="0.3"/>
  <pageSetup paperSize="9" scale="8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F37" activeCellId="0" sqref="F37"/>
    </sheetView>
  </sheetViews>
  <sheetFormatPr defaultColWidth="8.88671875" defaultRowHeight="13.5" customHeight="false" zeroHeight="false" outlineLevelRow="0" outlineLevelCol="0"/>
  <cols>
    <col collapsed="false" customWidth="true" hidden="false" outlineLevel="0" max="1" min="1" style="99" width="4.33"/>
    <col collapsed="false" customWidth="true" hidden="false" outlineLevel="0" max="2" min="2" style="99" width="3.1"/>
    <col collapsed="false" customWidth="true" hidden="false" outlineLevel="0" max="3" min="3" style="99" width="3.88"/>
    <col collapsed="false" customWidth="true" hidden="false" outlineLevel="0" max="4" min="4" style="99" width="2.88"/>
    <col collapsed="false" customWidth="true" hidden="false" outlineLevel="0" max="5" min="5" style="99" width="9.88"/>
    <col collapsed="false" customWidth="true" hidden="false" outlineLevel="0" max="6" min="6" style="99" width="65.33"/>
    <col collapsed="false" customWidth="false" hidden="false" outlineLevel="0" max="257" min="7" style="99" width="8.88"/>
  </cols>
  <sheetData>
    <row r="1" customFormat="false" ht="13.5" hidden="false" customHeight="false" outlineLevel="0" collapsed="false">
      <c r="C1" s="495"/>
      <c r="D1" s="495"/>
      <c r="E1" s="496"/>
      <c r="F1" s="497" t="s">
        <v>500</v>
      </c>
    </row>
    <row r="2" customFormat="false" ht="24" hidden="false" customHeight="true" outlineLevel="0" collapsed="false">
      <c r="A2" s="498" t="str">
        <f aca="false">현4!A3</f>
        <v>[  ]</v>
      </c>
      <c r="B2" s="499" t="s">
        <v>364</v>
      </c>
      <c r="C2" s="500" t="str">
        <f aca="false">현황!Y21</f>
        <v>[  ]</v>
      </c>
      <c r="D2" s="464" t="str">
        <f aca="false">현4!D17</f>
        <v>전
실</v>
      </c>
      <c r="E2" s="494" t="str">
        <f aca="false">현4!E17</f>
        <v>◦ 설치장소: 동명(           ,           ,           ,           ,           )</v>
      </c>
      <c r="F2" s="494"/>
    </row>
    <row r="3" customFormat="false" ht="24" hidden="false" customHeight="true" outlineLevel="0" collapsed="false">
      <c r="A3" s="498"/>
      <c r="B3" s="499"/>
      <c r="C3" s="500"/>
      <c r="D3" s="464"/>
      <c r="E3" s="297" t="str">
        <f aca="false">현4!E18</f>
        <v>  특별피난계단 (      )개소, 비상용승강기 (      )대</v>
      </c>
      <c r="F3" s="297"/>
    </row>
    <row r="4" customFormat="false" ht="24" hidden="false" customHeight="true" outlineLevel="0" collapsed="false">
      <c r="A4" s="498"/>
      <c r="B4" s="499"/>
      <c r="C4" s="500"/>
      <c r="D4" s="464"/>
      <c r="E4" s="297" t="str">
        <f aca="false">현4!E19</f>
        <v>◦ 방식 [  ]부속실 [  ]계단실 및 부속실 [  ] 계단실 [  ] 비상용승강기승강장</v>
      </c>
      <c r="F4" s="297"/>
    </row>
    <row r="5" customFormat="false" ht="24" hidden="false" customHeight="true" outlineLevel="0" collapsed="false">
      <c r="A5" s="498"/>
      <c r="B5" s="499"/>
      <c r="C5" s="500"/>
      <c r="D5" s="464"/>
      <c r="E5" s="297" t="str">
        <f aca="false">현4!E20</f>
        <v>◦ 기동방식 [  ]전층 [  ]부분층(        개층) / 댐퍼개방감지기 [  ]전용 [  ]겸용</v>
      </c>
      <c r="F5" s="297"/>
    </row>
    <row r="6" customFormat="false" ht="24" hidden="false" customHeight="true" outlineLevel="0" collapsed="false">
      <c r="A6" s="498"/>
      <c r="B6" s="499"/>
      <c r="C6" s="500"/>
      <c r="D6" s="464"/>
      <c r="E6" s="297" t="str">
        <f aca="false">현4!E21</f>
        <v>◦ 급기용송풍기 설치장소: 동명(          ) [  ]지상/[  ]지하 (   )층, 실명(            )</v>
      </c>
      <c r="F6" s="297"/>
    </row>
    <row r="7" customFormat="false" ht="24" hidden="false" customHeight="true" outlineLevel="0" collapsed="false">
      <c r="A7" s="498"/>
      <c r="B7" s="499"/>
      <c r="C7" s="500"/>
      <c r="D7" s="464"/>
      <c r="E7" s="297" t="str">
        <f aca="false">현4!E22</f>
        <v>  전동기 (      )㎾, 풍량 (      )㎥/min, 정압 (      )㎜Aq</v>
      </c>
      <c r="F7" s="297"/>
    </row>
    <row r="8" customFormat="false" ht="24" hidden="false" customHeight="true" outlineLevel="0" collapsed="false">
      <c r="A8" s="498"/>
      <c r="B8" s="499"/>
      <c r="C8" s="500"/>
      <c r="D8" s="464"/>
      <c r="E8" s="297" t="str">
        <f aca="false">현4!E23</f>
        <v>◦ 배출용송풍기 설치장소: 동명(          ) [  ]지상/[  ]지하 (   )층, 실명(            )</v>
      </c>
      <c r="F8" s="297"/>
    </row>
    <row r="9" customFormat="false" ht="24" hidden="false" customHeight="true" outlineLevel="0" collapsed="false">
      <c r="A9" s="498"/>
      <c r="B9" s="499"/>
      <c r="C9" s="500"/>
      <c r="D9" s="464"/>
      <c r="E9" s="297" t="str">
        <f aca="false">현4!E24</f>
        <v>  전동기 (      )㎾, 풍량 (      )㎥/min, 정압 (      )㎜Aq</v>
      </c>
      <c r="F9" s="297"/>
    </row>
    <row r="10" customFormat="false" ht="24" hidden="false" customHeight="true" outlineLevel="0" collapsed="false">
      <c r="A10" s="498"/>
      <c r="B10" s="499"/>
      <c r="C10" s="500"/>
      <c r="D10" s="464"/>
      <c r="E10" s="297" t="str">
        <f aca="false">현4!E25</f>
        <v>◦ 제연구역 출입문 [  ]상시폐쇄(자동폐쇄장치) [  ]상시개방(연기감지기에 의한 닫힘)</v>
      </c>
      <c r="F10" s="297"/>
    </row>
    <row r="11" customFormat="false" ht="24" hidden="false" customHeight="true" outlineLevel="0" collapsed="false">
      <c r="A11" s="498"/>
      <c r="B11" s="499"/>
      <c r="C11" s="500"/>
      <c r="D11" s="464"/>
      <c r="E11" s="297" t="str">
        <f aca="false">현4!E26</f>
        <v>◦ 유입공기배출 [  ]자연배출 [  ]기계배출 [  ]배출구 [  ]제연설비</v>
      </c>
      <c r="F11" s="297"/>
    </row>
    <row r="12" customFormat="false" ht="24" hidden="false" customHeight="true" outlineLevel="0" collapsed="false">
      <c r="A12" s="498"/>
      <c r="B12" s="499"/>
      <c r="C12" s="500"/>
      <c r="D12" s="464"/>
      <c r="E12" s="462" t="str">
        <f aca="false">현4!E27</f>
        <v>◦ 과압방지장치 [  ]플랩댐퍼 [  ]자동차압(과압조절형)댐퍼 [  ]그 밖의 것 [  ]해당없음</v>
      </c>
      <c r="F12" s="462"/>
    </row>
    <row r="13" customFormat="false" ht="24" hidden="false" customHeight="true" outlineLevel="0" collapsed="false">
      <c r="A13" s="501" t="str">
        <f aca="false">현황!Y22</f>
        <v>[  ]</v>
      </c>
      <c r="B13" s="430" t="str">
        <f aca="false">현4!B28</f>
        <v>연결송수관</v>
      </c>
      <c r="C13" s="430"/>
      <c r="D13" s="430"/>
      <c r="E13" s="297" t="str">
        <f aca="false">현4!E28</f>
        <v>[  ]전용 [  ]겸용([  ]옥내소화전설비 [  ]스프링클러설비 [  ]기타:             )</v>
      </c>
      <c r="F13" s="297"/>
    </row>
    <row r="14" customFormat="false" ht="24" hidden="false" customHeight="true" outlineLevel="0" collapsed="false">
      <c r="A14" s="501"/>
      <c r="B14" s="430"/>
      <c r="C14" s="430"/>
      <c r="D14" s="430"/>
      <c r="E14" s="297" t="str">
        <f aca="false">현4!E29</f>
        <v>◦ 설치장소: 동명(   ) [  ]전체층/[  ]일부층 [  ]지상/[  ]지하(  )층 ~ [  ]지상/[  ]지하(  )층</v>
      </c>
      <c r="F14" s="297"/>
    </row>
    <row r="15" customFormat="false" ht="24" hidden="false" customHeight="true" outlineLevel="0" collapsed="false">
      <c r="A15" s="501"/>
      <c r="B15" s="430"/>
      <c r="C15" s="430"/>
      <c r="D15" s="430"/>
      <c r="E15" s="297" t="str">
        <f aca="false">현4!E30</f>
        <v>◦ 방수구 위치 [  ]복도·통로 [  ]계단실 [  ] 계단등의 부근</v>
      </c>
      <c r="F15" s="297"/>
    </row>
    <row r="16" customFormat="false" ht="24" hidden="false" customHeight="true" outlineLevel="0" collapsed="false">
      <c r="A16" s="501"/>
      <c r="B16" s="430"/>
      <c r="C16" s="430"/>
      <c r="D16" s="430"/>
      <c r="E16" s="297" t="str">
        <f aca="false">현4!E31</f>
        <v>◦ 송수구 설치장소:(                  ), 중간수조용량: (         )㎥</v>
      </c>
      <c r="F16" s="297"/>
    </row>
    <row r="17" customFormat="false" ht="24" hidden="false" customHeight="true" outlineLevel="0" collapsed="false">
      <c r="A17" s="501"/>
      <c r="B17" s="430"/>
      <c r="C17" s="430"/>
      <c r="D17" s="430"/>
      <c r="E17" s="297" t="str">
        <f aca="false">현4!E32</f>
        <v>◦ 가압송수장치 설치장소: 동명(           ) [  ]지상/[  ]지하 (   )층, 실명(           )</v>
      </c>
      <c r="F17" s="297"/>
    </row>
    <row r="18" customFormat="false" ht="24" hidden="false" customHeight="true" outlineLevel="0" collapsed="false">
      <c r="A18" s="501"/>
      <c r="B18" s="430"/>
      <c r="C18" s="430"/>
      <c r="D18" s="430"/>
      <c r="E18" s="297" t="str">
        <f aca="false">현4!E33</f>
        <v>  전양정:(         )m, 토출량:(         )ℓ/min</v>
      </c>
      <c r="F18" s="297"/>
    </row>
    <row r="19" customFormat="false" ht="24" hidden="false" customHeight="true" outlineLevel="0" collapsed="false">
      <c r="A19" s="501"/>
      <c r="B19" s="430"/>
      <c r="C19" s="430"/>
      <c r="D19" s="430"/>
      <c r="E19" s="297" t="str">
        <f aca="false">현4!E34</f>
        <v>  [  ]전동기 [  ]내연기관(연료:[  ]경유 [  ]기타)</v>
      </c>
      <c r="F19" s="297"/>
    </row>
    <row r="20" customFormat="false" ht="24" hidden="false" customHeight="true" outlineLevel="0" collapsed="false">
      <c r="A20" s="501"/>
      <c r="B20" s="430"/>
      <c r="C20" s="430"/>
      <c r="D20" s="430"/>
      <c r="E20" s="462" t="str">
        <f aca="false">현4!E35</f>
        <v>◦ 기동스위치 설치장소 [  ]송수구 [  ]방재실 [  ]기타(             )</v>
      </c>
      <c r="F20" s="462"/>
    </row>
    <row r="21" customFormat="false" ht="24" hidden="false" customHeight="true" outlineLevel="0" collapsed="false">
      <c r="A21" s="501" t="str">
        <f aca="false">현황!Y23</f>
        <v>[  ]</v>
      </c>
      <c r="B21" s="430" t="str">
        <f aca="false">현4!B36</f>
        <v>연결살수</v>
      </c>
      <c r="C21" s="430"/>
      <c r="D21" s="430"/>
      <c r="E21" s="297" t="str">
        <f aca="false">현4!E36</f>
        <v>◦ 설치장소: 동명(           ,           ,           ,           ,           )</v>
      </c>
      <c r="F21" s="297"/>
    </row>
    <row r="22" customFormat="false" ht="24" hidden="false" customHeight="true" outlineLevel="0" collapsed="false">
      <c r="A22" s="501"/>
      <c r="B22" s="430"/>
      <c r="C22" s="430"/>
      <c r="D22" s="430"/>
      <c r="E22" s="297" t="str">
        <f aca="false">현4!E37</f>
        <v>◦ 방식 [ ]습식 [ ]건식 / [ ]지하층 [ ]판매시설 [ ]가스시설 [ ]부속된 연결통로</v>
      </c>
      <c r="F22" s="297"/>
    </row>
    <row r="23" customFormat="false" ht="24" hidden="false" customHeight="true" outlineLevel="0" collapsed="false">
      <c r="A23" s="501"/>
      <c r="B23" s="430"/>
      <c r="C23" s="430"/>
      <c r="D23" s="430"/>
      <c r="E23" s="462" t="str">
        <f aca="false">현4!E38</f>
        <v>◦ 송수구 설치장소:(                  ), 송수구역수: (         )구역</v>
      </c>
      <c r="F23" s="462"/>
    </row>
    <row r="24" customFormat="false" ht="24" hidden="false" customHeight="true" outlineLevel="0" collapsed="false">
      <c r="A24" s="501" t="str">
        <f aca="false">현황!Y24</f>
        <v>[  ]</v>
      </c>
      <c r="B24" s="430" t="str">
        <f aca="false">현4!B39</f>
        <v>비상콘센트</v>
      </c>
      <c r="C24" s="430"/>
      <c r="D24" s="430"/>
      <c r="E24" s="297" t="str">
        <f aca="false">현4!E39</f>
        <v>◦ 설치장소: 동명(   ) [  ]지상/[  ]지하(  )층 ~ [  ]지상/[  ]지하(  )층</v>
      </c>
      <c r="F24" s="297"/>
    </row>
    <row r="25" customFormat="false" ht="24" hidden="false" customHeight="true" outlineLevel="0" collapsed="false">
      <c r="A25" s="501"/>
      <c r="B25" s="430"/>
      <c r="C25" s="430"/>
      <c r="D25" s="430"/>
      <c r="E25" s="462" t="str">
        <f aca="false">현4!E40</f>
        <v>[  ]3상 380V  [ ]단상 220V / [  ]접지형 2극 플러그접속기 [  ]접지형 3극 플러그접속기</v>
      </c>
      <c r="F25" s="462"/>
    </row>
    <row r="26" customFormat="false" ht="24" hidden="false" customHeight="true" outlineLevel="0" collapsed="false">
      <c r="A26" s="501" t="str">
        <f aca="false">현황!Y25</f>
        <v>[  ]</v>
      </c>
      <c r="B26" s="430" t="str">
        <f aca="false">현4!B41</f>
        <v>무선통신
보조</v>
      </c>
      <c r="C26" s="430"/>
      <c r="D26" s="430"/>
      <c r="E26" s="297" t="str">
        <f aca="false">현4!E41</f>
        <v>◦ 설치장소: 동명(   ) [  ]지상/[  ]지하(  )층 ~ [  ]지상/[  ]지하(  )층</v>
      </c>
      <c r="F26" s="297"/>
    </row>
    <row r="27" customFormat="false" ht="24" hidden="false" customHeight="true" outlineLevel="0" collapsed="false">
      <c r="A27" s="501"/>
      <c r="B27" s="430"/>
      <c r="C27" s="430"/>
      <c r="D27" s="430"/>
      <c r="E27" s="297" t="str">
        <f aca="false">현4!E42</f>
        <v>[  ]전용 [  ]공용 / 방식: [  ]누설동축케이블 [  ]누설동축케이블과 안테나 [  ]안테나</v>
      </c>
      <c r="F27" s="297"/>
    </row>
    <row r="28" customFormat="false" ht="24" hidden="false" customHeight="true" outlineLevel="0" collapsed="false">
      <c r="A28" s="501"/>
      <c r="B28" s="430"/>
      <c r="C28" s="430"/>
      <c r="D28" s="430"/>
      <c r="E28" s="462" t="str">
        <f aca="false">현4!E43</f>
        <v>◦ 접속단자 설치장소(              ), (              )</v>
      </c>
      <c r="F28" s="462"/>
    </row>
    <row r="29" customFormat="false" ht="24" hidden="false" customHeight="true" outlineLevel="0" collapsed="false">
      <c r="A29" s="501" t="str">
        <f aca="false">현황!Y26</f>
        <v>[  ]</v>
      </c>
      <c r="B29" s="430" t="str">
        <f aca="false">현4!B44</f>
        <v>연소방지</v>
      </c>
      <c r="C29" s="430"/>
      <c r="D29" s="430"/>
      <c r="E29" s="297" t="str">
        <f aca="false">현4!E44</f>
        <v>◦ 방호대상물 [  ]전력사업용 [  ]통신사업용 [  ]그 밖의 것(                  )</v>
      </c>
      <c r="F29" s="297"/>
    </row>
    <row r="30" customFormat="false" ht="24" hidden="false" customHeight="true" outlineLevel="0" collapsed="false">
      <c r="A30" s="501"/>
      <c r="B30" s="430"/>
      <c r="C30" s="430"/>
      <c r="D30" s="430"/>
      <c r="E30" s="297" t="str">
        <f aca="false">현4!E45</f>
        <v>◦ 송수구역수: (         )구역 / 구역간의 구획 [  ]있다 [  ]일부 있다 [  ]없다</v>
      </c>
      <c r="F30" s="297"/>
    </row>
    <row r="31" customFormat="false" ht="31.5" hidden="false" customHeight="true" outlineLevel="0" collapsed="false">
      <c r="A31" s="432" t="s">
        <v>218</v>
      </c>
      <c r="B31" s="432"/>
      <c r="C31" s="432"/>
      <c r="D31" s="432"/>
      <c r="E31" s="160" t="s">
        <v>404</v>
      </c>
      <c r="F31" s="160"/>
    </row>
  </sheetData>
  <mergeCells count="45">
    <mergeCell ref="A2:A12"/>
    <mergeCell ref="B2:B12"/>
    <mergeCell ref="C2:C12"/>
    <mergeCell ref="D2:D12"/>
    <mergeCell ref="E2:F2"/>
    <mergeCell ref="E3:F3"/>
    <mergeCell ref="E4:F4"/>
    <mergeCell ref="E5:F5"/>
    <mergeCell ref="E6:F6"/>
    <mergeCell ref="E7:F7"/>
    <mergeCell ref="E8:F8"/>
    <mergeCell ref="E9:F9"/>
    <mergeCell ref="E10:F10"/>
    <mergeCell ref="E11:F11"/>
    <mergeCell ref="E12:F12"/>
    <mergeCell ref="A13:A20"/>
    <mergeCell ref="B13:D20"/>
    <mergeCell ref="E13:F13"/>
    <mergeCell ref="E14:F14"/>
    <mergeCell ref="E15:F15"/>
    <mergeCell ref="E16:F16"/>
    <mergeCell ref="E17:F17"/>
    <mergeCell ref="E18:F18"/>
    <mergeCell ref="E19:F19"/>
    <mergeCell ref="E20:F20"/>
    <mergeCell ref="A21:A23"/>
    <mergeCell ref="B21:D23"/>
    <mergeCell ref="E21:F21"/>
    <mergeCell ref="E22:F22"/>
    <mergeCell ref="E23:F23"/>
    <mergeCell ref="A24:A25"/>
    <mergeCell ref="B24:D25"/>
    <mergeCell ref="E24:F24"/>
    <mergeCell ref="E25:F25"/>
    <mergeCell ref="A26:A28"/>
    <mergeCell ref="B26:D28"/>
    <mergeCell ref="E26:F26"/>
    <mergeCell ref="E27:F27"/>
    <mergeCell ref="E28:F28"/>
    <mergeCell ref="A29:A30"/>
    <mergeCell ref="B29:D30"/>
    <mergeCell ref="E29:F29"/>
    <mergeCell ref="E30:F30"/>
    <mergeCell ref="A31:D31"/>
    <mergeCell ref="E31:F31"/>
  </mergeCells>
  <printOptions headings="false" gridLines="false" gridLinesSet="true" horizontalCentered="false" verticalCentered="false"/>
  <pageMargins left="0.37" right="0.2" top="0.38" bottom="0.38" header="0.3" footer="0.3"/>
  <pageSetup paperSize="9" scale="9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17" activeCellId="0" sqref="A17:A19"/>
    </sheetView>
  </sheetViews>
  <sheetFormatPr defaultColWidth="8.97265625" defaultRowHeight="13.5" customHeight="false" zeroHeight="false" outlineLevelRow="0" outlineLevelCol="0"/>
  <cols>
    <col collapsed="false" customWidth="true" hidden="false" outlineLevel="0" max="1" min="1" style="0" width="78.44"/>
  </cols>
  <sheetData>
    <row r="1" customFormat="false" ht="33" hidden="false" customHeight="true" outlineLevel="0" collapsed="false">
      <c r="A1" s="502" t="s">
        <v>501</v>
      </c>
    </row>
    <row r="2" customFormat="false" ht="21.75" hidden="false" customHeight="true" outlineLevel="0" collapsed="false">
      <c r="A2" s="503" t="s">
        <v>502</v>
      </c>
    </row>
    <row r="3" customFormat="false" ht="21.75" hidden="false" customHeight="true" outlineLevel="0" collapsed="false">
      <c r="A3" s="503" t="s">
        <v>503</v>
      </c>
    </row>
    <row r="4" customFormat="false" ht="21.75" hidden="false" customHeight="true" outlineLevel="0" collapsed="false">
      <c r="A4" s="503" t="s">
        <v>504</v>
      </c>
    </row>
    <row r="5" customFormat="false" ht="21.75" hidden="false" customHeight="true" outlineLevel="0" collapsed="false">
      <c r="A5" s="503" t="s">
        <v>505</v>
      </c>
    </row>
    <row r="6" customFormat="false" ht="21.75" hidden="false" customHeight="true" outlineLevel="0" collapsed="false">
      <c r="A6" s="504" t="s">
        <v>506</v>
      </c>
    </row>
    <row r="7" customFormat="false" ht="21.75" hidden="false" customHeight="true" outlineLevel="0" collapsed="false">
      <c r="A7" s="504" t="s">
        <v>507</v>
      </c>
    </row>
    <row r="8" customFormat="false" ht="21.75" hidden="false" customHeight="true" outlineLevel="0" collapsed="false">
      <c r="A8" s="504" t="s">
        <v>508</v>
      </c>
    </row>
    <row r="9" customFormat="false" ht="21.75" hidden="false" customHeight="true" outlineLevel="0" collapsed="false">
      <c r="A9" s="504" t="s">
        <v>509</v>
      </c>
    </row>
    <row r="10" customFormat="false" ht="21.75" hidden="false" customHeight="true" outlineLevel="0" collapsed="false">
      <c r="A10" s="504" t="s">
        <v>510</v>
      </c>
    </row>
    <row r="11" customFormat="false" ht="21.75" hidden="false" customHeight="true" outlineLevel="0" collapsed="false">
      <c r="A11" s="504" t="s">
        <v>511</v>
      </c>
    </row>
    <row r="12" customFormat="false" ht="21.75" hidden="false" customHeight="true" outlineLevel="0" collapsed="false">
      <c r="A12" s="504" t="s">
        <v>512</v>
      </c>
    </row>
    <row r="13" customFormat="false" ht="21.75" hidden="false" customHeight="true" outlineLevel="0" collapsed="false">
      <c r="A13" s="504" t="s">
        <v>513</v>
      </c>
    </row>
    <row r="14" customFormat="false" ht="21.75" hidden="false" customHeight="true" outlineLevel="0" collapsed="false">
      <c r="A14" s="504" t="s">
        <v>514</v>
      </c>
    </row>
    <row r="15" customFormat="false" ht="21.75" hidden="false" customHeight="true" outlineLevel="0" collapsed="false">
      <c r="A15" s="504" t="s">
        <v>515</v>
      </c>
    </row>
    <row r="16" customFormat="false" ht="21.75" hidden="false" customHeight="true" outlineLevel="0" collapsed="false">
      <c r="A16" s="504" t="s">
        <v>516</v>
      </c>
    </row>
    <row r="17" customFormat="false" ht="21.75" hidden="false" customHeight="true" outlineLevel="0" collapsed="false">
      <c r="A17" s="504" t="s">
        <v>517</v>
      </c>
    </row>
    <row r="18" customFormat="false" ht="21.75" hidden="false" customHeight="true" outlineLevel="0" collapsed="false">
      <c r="A18" s="504" t="s">
        <v>518</v>
      </c>
    </row>
    <row r="19" customFormat="false" ht="21.75" hidden="false" customHeight="true" outlineLevel="0" collapsed="false">
      <c r="A19" s="504" t="s">
        <v>519</v>
      </c>
    </row>
    <row r="20" customFormat="false" ht="21.75" hidden="false" customHeight="true" outlineLevel="0" collapsed="false">
      <c r="A20" s="504" t="s">
        <v>520</v>
      </c>
    </row>
    <row r="21" customFormat="false" ht="21.75" hidden="false" customHeight="true" outlineLevel="0" collapsed="false">
      <c r="A21" s="504" t="s">
        <v>521</v>
      </c>
    </row>
    <row r="22" customFormat="false" ht="21.75" hidden="false" customHeight="true" outlineLevel="0" collapsed="false">
      <c r="A22" s="504" t="s">
        <v>522</v>
      </c>
    </row>
    <row r="23" customFormat="false" ht="21.75" hidden="false" customHeight="true" outlineLevel="0" collapsed="false">
      <c r="A23" s="504" t="s">
        <v>523</v>
      </c>
    </row>
    <row r="24" customFormat="false" ht="21.75" hidden="false" customHeight="true" outlineLevel="0" collapsed="false">
      <c r="A24" s="19"/>
    </row>
    <row r="25" customFormat="false" ht="21.75" hidden="false" customHeight="true" outlineLevel="0" collapsed="false">
      <c r="A25" s="504"/>
    </row>
    <row r="26" customFormat="false" ht="21.75" hidden="false" customHeight="true" outlineLevel="0" collapsed="false">
      <c r="A26" s="19"/>
    </row>
    <row r="27" customFormat="false" ht="21.75" hidden="false" customHeight="true" outlineLevel="0" collapsed="false">
      <c r="A27" s="19"/>
    </row>
    <row r="28" customFormat="false" ht="21.75" hidden="false" customHeight="true" outlineLevel="0" collapsed="false">
      <c r="A28" s="19"/>
    </row>
    <row r="29" customFormat="false" ht="21.75" hidden="false" customHeight="true" outlineLevel="0" collapsed="false">
      <c r="A29" s="19"/>
    </row>
    <row r="30" customFormat="false" ht="21.75" hidden="false" customHeight="true" outlineLevel="0" collapsed="false">
      <c r="A30" s="19"/>
    </row>
    <row r="31" customFormat="false" ht="21.75" hidden="false" customHeight="true" outlineLevel="0" collapsed="false">
      <c r="A31" s="504"/>
    </row>
    <row r="32" customFormat="false" ht="21.75" hidden="false" customHeight="true" outlineLevel="0" collapsed="false">
      <c r="A32" s="19"/>
    </row>
    <row r="33" customFormat="false" ht="21.75" hidden="false" customHeight="true" outlineLevel="0" collapsed="false">
      <c r="A33" s="19"/>
    </row>
    <row r="34" customFormat="false" ht="13.5" hidden="false" customHeight="false" outlineLevel="0" collapsed="false">
      <c r="A34" s="178"/>
    </row>
    <row r="35" customFormat="false" ht="13.5" hidden="false" customHeight="false" outlineLevel="0" collapsed="false">
      <c r="A35" s="505"/>
    </row>
  </sheetData>
  <printOptions headings="false" gridLines="false" gridLinesSet="true" horizontalCentered="false" verticalCentered="false"/>
  <pageMargins left="0.39" right="0.38" top="0.5" bottom="0.44"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7265625" defaultRowHeight="13.5" customHeight="false" zeroHeight="false" outlineLevelRow="0" outlineLevelCol="0"/>
  <sheetData/>
  <printOptions headings="false" gridLines="false" gridLinesSet="true" horizontalCentered="false" verticalCentered="false"/>
  <pageMargins left="0.7" right="0.7" top="0.75" bottom="0.75"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5"/>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Y17" activeCellId="0" sqref="Y17"/>
    </sheetView>
  </sheetViews>
  <sheetFormatPr defaultColWidth="8.88671875" defaultRowHeight="16.5" customHeight="false" zeroHeight="false" outlineLevelRow="0" outlineLevelCol="0"/>
  <cols>
    <col collapsed="false" customWidth="false" hidden="false" outlineLevel="0" max="1" min="1" style="506" width="8.88"/>
    <col collapsed="false" customWidth="true" hidden="false" outlineLevel="0" max="2" min="2" style="506" width="6.44"/>
    <col collapsed="false" customWidth="true" hidden="false" outlineLevel="0" max="3" min="3" style="506" width="2.33"/>
    <col collapsed="false" customWidth="true" hidden="false" outlineLevel="0" max="4" min="4" style="506" width="1.66"/>
    <col collapsed="false" customWidth="true" hidden="false" outlineLevel="0" max="5" min="5" style="506" width="4.1"/>
    <col collapsed="false" customWidth="true" hidden="false" outlineLevel="0" max="6" min="6" style="506" width="1.66"/>
    <col collapsed="false" customWidth="true" hidden="false" outlineLevel="0" max="8" min="7" style="506" width="3.1"/>
    <col collapsed="false" customWidth="true" hidden="false" outlineLevel="0" max="9" min="9" style="506" width="2.33"/>
    <col collapsed="false" customWidth="true" hidden="false" outlineLevel="0" max="10" min="10" style="506" width="2.21"/>
    <col collapsed="false" customWidth="true" hidden="false" outlineLevel="0" max="11" min="11" style="506" width="6.55"/>
    <col collapsed="false" customWidth="true" hidden="false" outlineLevel="0" max="12" min="12" style="506" width="3.55"/>
    <col collapsed="false" customWidth="true" hidden="false" outlineLevel="0" max="13" min="13" style="506" width="4.21"/>
    <col collapsed="false" customWidth="true" hidden="false" outlineLevel="0" max="14" min="14" style="506" width="1.66"/>
    <col collapsed="false" customWidth="true" hidden="false" outlineLevel="0" max="16" min="15" style="506" width="2.77"/>
    <col collapsed="false" customWidth="true" hidden="false" outlineLevel="0" max="17" min="17" style="506" width="2.44"/>
    <col collapsed="false" customWidth="true" hidden="false" outlineLevel="0" max="18" min="18" style="506" width="2.77"/>
    <col collapsed="false" customWidth="true" hidden="false" outlineLevel="0" max="19" min="19" style="506" width="1.55"/>
    <col collapsed="false" customWidth="true" hidden="false" outlineLevel="0" max="22" min="20" style="506" width="2.77"/>
    <col collapsed="false" customWidth="true" hidden="false" outlineLevel="0" max="23" min="23" style="506" width="3.21"/>
    <col collapsed="false" customWidth="false" hidden="false" outlineLevel="0" max="257" min="24" style="506" width="8.88"/>
  </cols>
  <sheetData>
    <row r="1" customFormat="false" ht="22.5" hidden="false" customHeight="true" outlineLevel="0" collapsed="false">
      <c r="A1" s="507" t="s">
        <v>524</v>
      </c>
      <c r="B1" s="507"/>
      <c r="C1" s="507"/>
      <c r="D1" s="508" t="str">
        <f aca="false">대상물!G2</f>
        <v>[  ]</v>
      </c>
      <c r="E1" s="508"/>
      <c r="F1" s="508"/>
      <c r="G1" s="508" t="s">
        <v>525</v>
      </c>
      <c r="H1" s="508"/>
      <c r="I1" s="508"/>
      <c r="J1" s="508"/>
      <c r="K1" s="509" t="s">
        <v>526</v>
      </c>
      <c r="L1" s="509"/>
      <c r="M1" s="509"/>
      <c r="N1" s="509"/>
      <c r="O1" s="509"/>
      <c r="P1" s="509"/>
      <c r="Q1" s="509"/>
      <c r="R1" s="509"/>
      <c r="S1" s="509"/>
      <c r="T1" s="509"/>
      <c r="U1" s="509"/>
      <c r="V1" s="509"/>
      <c r="W1" s="510"/>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c r="BD1" s="511"/>
      <c r="BE1" s="511"/>
      <c r="BF1" s="511"/>
      <c r="BG1" s="511"/>
      <c r="BH1" s="511"/>
      <c r="BI1" s="511"/>
      <c r="BJ1" s="511"/>
      <c r="BK1" s="511"/>
      <c r="BL1" s="511"/>
      <c r="BM1" s="511"/>
      <c r="BN1" s="511"/>
      <c r="BO1" s="511"/>
      <c r="BP1" s="511"/>
      <c r="BQ1" s="511"/>
      <c r="BR1" s="511"/>
      <c r="BS1" s="511"/>
      <c r="BT1" s="511"/>
      <c r="BU1" s="511"/>
      <c r="BV1" s="511"/>
      <c r="BW1" s="511"/>
      <c r="BX1" s="511"/>
      <c r="BY1" s="511"/>
      <c r="BZ1" s="511"/>
      <c r="CA1" s="511"/>
      <c r="CB1" s="511"/>
      <c r="CC1" s="511"/>
      <c r="CD1" s="511"/>
      <c r="CE1" s="511"/>
      <c r="CF1" s="511"/>
      <c r="CG1" s="511"/>
      <c r="CH1" s="511"/>
      <c r="CI1" s="511"/>
      <c r="CJ1" s="511"/>
      <c r="CK1" s="511"/>
      <c r="CL1" s="511"/>
      <c r="CM1" s="511"/>
      <c r="CN1" s="511"/>
      <c r="CO1" s="511"/>
      <c r="CP1" s="511"/>
      <c r="CQ1" s="511"/>
      <c r="CR1" s="511"/>
      <c r="CS1" s="511"/>
      <c r="CT1" s="511"/>
      <c r="CU1" s="511"/>
      <c r="CV1" s="511"/>
      <c r="CW1" s="511"/>
      <c r="CX1" s="511"/>
      <c r="CY1" s="511"/>
      <c r="CZ1" s="511"/>
      <c r="DA1" s="511"/>
      <c r="DB1" s="511"/>
      <c r="DC1" s="511"/>
      <c r="DD1" s="511"/>
      <c r="DE1" s="511"/>
      <c r="DF1" s="511"/>
      <c r="DG1" s="511"/>
      <c r="DH1" s="511"/>
      <c r="DI1" s="511"/>
      <c r="DJ1" s="511"/>
      <c r="DK1" s="511"/>
      <c r="DL1" s="511"/>
      <c r="DM1" s="511"/>
      <c r="DN1" s="511"/>
      <c r="DO1" s="511"/>
      <c r="DP1" s="511"/>
      <c r="DQ1" s="511"/>
      <c r="DR1" s="511"/>
      <c r="DS1" s="511"/>
      <c r="DT1" s="511"/>
      <c r="DU1" s="511"/>
      <c r="DV1" s="511"/>
      <c r="DW1" s="511"/>
      <c r="DX1" s="511"/>
      <c r="DY1" s="511"/>
      <c r="DZ1" s="511"/>
      <c r="EA1" s="511"/>
      <c r="EB1" s="511"/>
      <c r="EC1" s="511"/>
      <c r="ED1" s="511"/>
      <c r="EE1" s="511"/>
      <c r="EF1" s="511"/>
      <c r="EG1" s="511"/>
      <c r="EH1" s="511"/>
      <c r="EI1" s="511"/>
      <c r="EJ1" s="511"/>
      <c r="EK1" s="511"/>
      <c r="EL1" s="511"/>
      <c r="EM1" s="511"/>
      <c r="EN1" s="511"/>
      <c r="EO1" s="511"/>
      <c r="EP1" s="511"/>
      <c r="EQ1" s="511"/>
      <c r="ER1" s="511"/>
      <c r="ES1" s="511"/>
      <c r="ET1" s="511"/>
      <c r="EU1" s="511"/>
      <c r="EV1" s="511"/>
      <c r="EW1" s="511"/>
      <c r="EX1" s="511"/>
      <c r="EY1" s="511"/>
      <c r="EZ1" s="511"/>
      <c r="FA1" s="511"/>
      <c r="FB1" s="511"/>
      <c r="FC1" s="511"/>
      <c r="FD1" s="511"/>
      <c r="FE1" s="511"/>
      <c r="FF1" s="511"/>
      <c r="FG1" s="511"/>
      <c r="FH1" s="511"/>
      <c r="FI1" s="511"/>
      <c r="FJ1" s="511"/>
      <c r="FK1" s="511"/>
      <c r="FL1" s="511"/>
      <c r="FM1" s="511"/>
      <c r="FN1" s="511"/>
      <c r="FO1" s="511"/>
      <c r="FP1" s="511"/>
      <c r="FQ1" s="511"/>
      <c r="FR1" s="511"/>
      <c r="FS1" s="511"/>
      <c r="FT1" s="511"/>
      <c r="FU1" s="511"/>
      <c r="FV1" s="511"/>
      <c r="FW1" s="511"/>
      <c r="FX1" s="511"/>
      <c r="FY1" s="511"/>
      <c r="FZ1" s="511"/>
      <c r="GA1" s="511"/>
      <c r="GB1" s="511"/>
      <c r="GC1" s="511"/>
      <c r="GD1" s="511"/>
      <c r="GE1" s="511"/>
      <c r="GF1" s="511"/>
      <c r="GG1" s="511"/>
      <c r="GH1" s="511"/>
      <c r="GI1" s="511"/>
      <c r="GJ1" s="511"/>
      <c r="GK1" s="511"/>
      <c r="GL1" s="511"/>
      <c r="GM1" s="511"/>
      <c r="GN1" s="511"/>
      <c r="GO1" s="511"/>
      <c r="GP1" s="511"/>
      <c r="GQ1" s="511"/>
      <c r="GR1" s="511"/>
      <c r="GS1" s="511"/>
      <c r="GT1" s="511"/>
      <c r="GU1" s="511"/>
      <c r="GV1" s="511"/>
      <c r="GW1" s="511"/>
      <c r="GX1" s="511"/>
      <c r="GY1" s="511"/>
      <c r="GZ1" s="511"/>
      <c r="HA1" s="511"/>
      <c r="HB1" s="511"/>
      <c r="HC1" s="511"/>
      <c r="HD1" s="511"/>
      <c r="HE1" s="511"/>
      <c r="HF1" s="511"/>
      <c r="HG1" s="511"/>
      <c r="HH1" s="511"/>
      <c r="HI1" s="511"/>
      <c r="HJ1" s="511"/>
      <c r="HK1" s="511"/>
      <c r="HL1" s="511"/>
      <c r="HM1" s="511"/>
      <c r="HN1" s="511"/>
      <c r="HO1" s="511"/>
      <c r="HP1" s="511"/>
      <c r="HQ1" s="511"/>
      <c r="HR1" s="511"/>
      <c r="HS1" s="511"/>
      <c r="HT1" s="511"/>
      <c r="HU1" s="511"/>
      <c r="HV1" s="511"/>
      <c r="HW1" s="511"/>
      <c r="HX1" s="511"/>
      <c r="HY1" s="511"/>
      <c r="HZ1" s="511"/>
      <c r="IA1" s="511"/>
      <c r="IB1" s="511"/>
      <c r="IC1" s="511"/>
      <c r="ID1" s="511"/>
      <c r="IE1" s="511"/>
      <c r="IF1" s="511"/>
      <c r="IG1" s="511"/>
      <c r="IH1" s="511"/>
      <c r="II1" s="511"/>
      <c r="IJ1" s="511"/>
      <c r="IK1" s="511"/>
      <c r="IL1" s="511"/>
      <c r="IM1" s="511"/>
      <c r="IN1" s="511"/>
      <c r="IO1" s="511"/>
      <c r="IP1" s="511"/>
      <c r="IQ1" s="511"/>
      <c r="IR1" s="511"/>
      <c r="IS1" s="511"/>
      <c r="IT1" s="511"/>
      <c r="IU1" s="511"/>
      <c r="IV1" s="511"/>
      <c r="IW1" s="511"/>
    </row>
    <row r="2" customFormat="false" ht="22.5" hidden="false" customHeight="true" outlineLevel="0" collapsed="false">
      <c r="A2" s="507"/>
      <c r="B2" s="507"/>
      <c r="C2" s="507"/>
      <c r="D2" s="508" t="str">
        <f aca="false">대상물!G3</f>
        <v>[  ]</v>
      </c>
      <c r="E2" s="508"/>
      <c r="F2" s="508"/>
      <c r="G2" s="508" t="s">
        <v>527</v>
      </c>
      <c r="H2" s="508"/>
      <c r="I2" s="508"/>
      <c r="J2" s="508"/>
      <c r="K2" s="509"/>
      <c r="L2" s="509"/>
      <c r="M2" s="509"/>
      <c r="N2" s="509"/>
      <c r="O2" s="509"/>
      <c r="P2" s="509"/>
      <c r="Q2" s="509"/>
      <c r="R2" s="509"/>
      <c r="S2" s="509"/>
      <c r="T2" s="509"/>
      <c r="U2" s="509"/>
      <c r="V2" s="509"/>
      <c r="W2" s="510"/>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511"/>
      <c r="BE2" s="511"/>
      <c r="BF2" s="511"/>
      <c r="BG2" s="511"/>
      <c r="BH2" s="511"/>
      <c r="BI2" s="511"/>
      <c r="BJ2" s="511"/>
      <c r="BK2" s="511"/>
      <c r="BL2" s="511"/>
      <c r="BM2" s="511"/>
      <c r="BN2" s="511"/>
      <c r="BO2" s="511"/>
      <c r="BP2" s="511"/>
      <c r="BQ2" s="511"/>
      <c r="BR2" s="511"/>
      <c r="BS2" s="511"/>
      <c r="BT2" s="511"/>
      <c r="BU2" s="511"/>
      <c r="BV2" s="511"/>
      <c r="BW2" s="511"/>
      <c r="BX2" s="511"/>
      <c r="BY2" s="511"/>
      <c r="BZ2" s="511"/>
      <c r="CA2" s="511"/>
      <c r="CB2" s="511"/>
      <c r="CC2" s="511"/>
      <c r="CD2" s="511"/>
      <c r="CE2" s="511"/>
      <c r="CF2" s="511"/>
      <c r="CG2" s="511"/>
      <c r="CH2" s="511"/>
      <c r="CI2" s="511"/>
      <c r="CJ2" s="511"/>
      <c r="CK2" s="511"/>
      <c r="CL2" s="511"/>
      <c r="CM2" s="511"/>
      <c r="CN2" s="511"/>
      <c r="CO2" s="511"/>
      <c r="CP2" s="511"/>
      <c r="CQ2" s="511"/>
      <c r="CR2" s="511"/>
      <c r="CS2" s="511"/>
      <c r="CT2" s="511"/>
      <c r="CU2" s="511"/>
      <c r="CV2" s="511"/>
      <c r="CW2" s="511"/>
      <c r="CX2" s="511"/>
      <c r="CY2" s="511"/>
      <c r="CZ2" s="511"/>
      <c r="DA2" s="511"/>
      <c r="DB2" s="511"/>
      <c r="DC2" s="511"/>
      <c r="DD2" s="511"/>
      <c r="DE2" s="511"/>
      <c r="DF2" s="511"/>
      <c r="DG2" s="511"/>
      <c r="DH2" s="511"/>
      <c r="DI2" s="511"/>
      <c r="DJ2" s="511"/>
      <c r="DK2" s="511"/>
      <c r="DL2" s="511"/>
      <c r="DM2" s="511"/>
      <c r="DN2" s="511"/>
      <c r="DO2" s="511"/>
      <c r="DP2" s="511"/>
      <c r="DQ2" s="511"/>
      <c r="DR2" s="511"/>
      <c r="DS2" s="511"/>
      <c r="DT2" s="511"/>
      <c r="DU2" s="511"/>
      <c r="DV2" s="511"/>
      <c r="DW2" s="511"/>
      <c r="DX2" s="511"/>
      <c r="DY2" s="511"/>
      <c r="DZ2" s="511"/>
      <c r="EA2" s="511"/>
      <c r="EB2" s="511"/>
      <c r="EC2" s="511"/>
      <c r="ED2" s="511"/>
      <c r="EE2" s="511"/>
      <c r="EF2" s="511"/>
      <c r="EG2" s="511"/>
      <c r="EH2" s="511"/>
      <c r="EI2" s="511"/>
      <c r="EJ2" s="511"/>
      <c r="EK2" s="511"/>
      <c r="EL2" s="511"/>
      <c r="EM2" s="511"/>
      <c r="EN2" s="511"/>
      <c r="EO2" s="511"/>
      <c r="EP2" s="511"/>
      <c r="EQ2" s="511"/>
      <c r="ER2" s="511"/>
      <c r="ES2" s="511"/>
      <c r="ET2" s="511"/>
      <c r="EU2" s="511"/>
      <c r="EV2" s="511"/>
      <c r="EW2" s="511"/>
      <c r="EX2" s="511"/>
      <c r="EY2" s="511"/>
      <c r="EZ2" s="511"/>
      <c r="FA2" s="511"/>
      <c r="FB2" s="511"/>
      <c r="FC2" s="511"/>
      <c r="FD2" s="511"/>
      <c r="FE2" s="511"/>
      <c r="FF2" s="511"/>
      <c r="FG2" s="511"/>
      <c r="FH2" s="511"/>
      <c r="FI2" s="511"/>
      <c r="FJ2" s="511"/>
      <c r="FK2" s="511"/>
      <c r="FL2" s="511"/>
      <c r="FM2" s="511"/>
      <c r="FN2" s="511"/>
      <c r="FO2" s="511"/>
      <c r="FP2" s="511"/>
      <c r="FQ2" s="511"/>
      <c r="FR2" s="511"/>
      <c r="FS2" s="511"/>
      <c r="FT2" s="511"/>
      <c r="FU2" s="511"/>
      <c r="FV2" s="511"/>
      <c r="FW2" s="511"/>
      <c r="FX2" s="511"/>
      <c r="FY2" s="511"/>
      <c r="FZ2" s="511"/>
      <c r="GA2" s="511"/>
      <c r="GB2" s="511"/>
      <c r="GC2" s="511"/>
      <c r="GD2" s="511"/>
      <c r="GE2" s="511"/>
      <c r="GF2" s="511"/>
      <c r="GG2" s="511"/>
      <c r="GH2" s="511"/>
      <c r="GI2" s="511"/>
      <c r="GJ2" s="511"/>
      <c r="GK2" s="511"/>
      <c r="GL2" s="511"/>
      <c r="GM2" s="511"/>
      <c r="GN2" s="511"/>
      <c r="GO2" s="511"/>
      <c r="GP2" s="511"/>
      <c r="GQ2" s="511"/>
      <c r="GR2" s="511"/>
      <c r="GS2" s="511"/>
      <c r="GT2" s="511"/>
      <c r="GU2" s="511"/>
      <c r="GV2" s="511"/>
      <c r="GW2" s="511"/>
      <c r="GX2" s="511"/>
      <c r="GY2" s="511"/>
      <c r="GZ2" s="511"/>
      <c r="HA2" s="511"/>
      <c r="HB2" s="511"/>
      <c r="HC2" s="511"/>
      <c r="HD2" s="511"/>
      <c r="HE2" s="511"/>
      <c r="HF2" s="511"/>
      <c r="HG2" s="511"/>
      <c r="HH2" s="511"/>
      <c r="HI2" s="511"/>
      <c r="HJ2" s="511"/>
      <c r="HK2" s="511"/>
      <c r="HL2" s="511"/>
      <c r="HM2" s="511"/>
      <c r="HN2" s="511"/>
      <c r="HO2" s="511"/>
      <c r="HP2" s="511"/>
      <c r="HQ2" s="511"/>
      <c r="HR2" s="511"/>
      <c r="HS2" s="511"/>
      <c r="HT2" s="511"/>
      <c r="HU2" s="511"/>
      <c r="HV2" s="511"/>
      <c r="HW2" s="511"/>
      <c r="HX2" s="511"/>
      <c r="HY2" s="511"/>
      <c r="HZ2" s="511"/>
      <c r="IA2" s="511"/>
      <c r="IB2" s="511"/>
      <c r="IC2" s="511"/>
      <c r="ID2" s="511"/>
      <c r="IE2" s="511"/>
      <c r="IF2" s="511"/>
      <c r="IG2" s="511"/>
      <c r="IH2" s="511"/>
      <c r="II2" s="511"/>
      <c r="IJ2" s="511"/>
      <c r="IK2" s="511"/>
      <c r="IL2" s="511"/>
      <c r="IM2" s="511"/>
      <c r="IN2" s="511"/>
      <c r="IO2" s="511"/>
      <c r="IP2" s="511"/>
      <c r="IQ2" s="511"/>
      <c r="IR2" s="511"/>
      <c r="IS2" s="511"/>
      <c r="IT2" s="511"/>
      <c r="IU2" s="511"/>
      <c r="IV2" s="511"/>
      <c r="IW2" s="511"/>
    </row>
    <row r="3" customFormat="false" ht="22.5" hidden="false" customHeight="true" outlineLevel="0" collapsed="false">
      <c r="A3" s="507"/>
      <c r="B3" s="507"/>
      <c r="C3" s="507"/>
      <c r="D3" s="508" t="str">
        <f aca="false">대상물!L3</f>
        <v>[  ]</v>
      </c>
      <c r="E3" s="508"/>
      <c r="F3" s="508"/>
      <c r="G3" s="508" t="s">
        <v>528</v>
      </c>
      <c r="H3" s="508"/>
      <c r="I3" s="508"/>
      <c r="J3" s="508"/>
      <c r="K3" s="509"/>
      <c r="L3" s="509"/>
      <c r="M3" s="509"/>
      <c r="N3" s="509"/>
      <c r="O3" s="509"/>
      <c r="P3" s="509"/>
      <c r="Q3" s="509"/>
      <c r="R3" s="509"/>
      <c r="S3" s="509"/>
      <c r="T3" s="509"/>
      <c r="U3" s="509"/>
      <c r="V3" s="509"/>
      <c r="W3" s="510"/>
      <c r="X3" s="511"/>
      <c r="Y3" s="511"/>
      <c r="Z3" s="511"/>
      <c r="AA3" s="511"/>
      <c r="AB3" s="511"/>
      <c r="AC3" s="511"/>
      <c r="AD3" s="511"/>
      <c r="AE3" s="511"/>
      <c r="AF3" s="511"/>
      <c r="AG3" s="511"/>
      <c r="AH3" s="511"/>
      <c r="AI3" s="511"/>
      <c r="AJ3" s="511"/>
      <c r="AK3" s="511"/>
      <c r="AL3" s="511"/>
      <c r="AM3" s="511"/>
      <c r="AN3" s="511"/>
      <c r="AO3" s="511"/>
      <c r="AP3" s="511"/>
      <c r="AQ3" s="511"/>
      <c r="AR3" s="511"/>
      <c r="AS3" s="511"/>
      <c r="AT3" s="511"/>
      <c r="AU3" s="511"/>
      <c r="AV3" s="511"/>
      <c r="AW3" s="511"/>
      <c r="AX3" s="511"/>
      <c r="AY3" s="511"/>
      <c r="AZ3" s="511"/>
      <c r="BA3" s="511"/>
      <c r="BB3" s="511"/>
      <c r="BC3" s="511"/>
      <c r="BD3" s="511"/>
      <c r="BE3" s="511"/>
      <c r="BF3" s="511"/>
      <c r="BG3" s="511"/>
      <c r="BH3" s="511"/>
      <c r="BI3" s="511"/>
      <c r="BJ3" s="511"/>
      <c r="BK3" s="511"/>
      <c r="BL3" s="511"/>
      <c r="BM3" s="511"/>
      <c r="BN3" s="511"/>
      <c r="BO3" s="511"/>
      <c r="BP3" s="511"/>
      <c r="BQ3" s="511"/>
      <c r="BR3" s="511"/>
      <c r="BS3" s="511"/>
      <c r="BT3" s="511"/>
      <c r="BU3" s="511"/>
      <c r="BV3" s="511"/>
      <c r="BW3" s="511"/>
      <c r="BX3" s="511"/>
      <c r="BY3" s="511"/>
      <c r="BZ3" s="511"/>
      <c r="CA3" s="511"/>
      <c r="CB3" s="511"/>
      <c r="CC3" s="511"/>
      <c r="CD3" s="511"/>
      <c r="CE3" s="511"/>
      <c r="CF3" s="511"/>
      <c r="CG3" s="511"/>
      <c r="CH3" s="511"/>
      <c r="CI3" s="511"/>
      <c r="CJ3" s="511"/>
      <c r="CK3" s="511"/>
      <c r="CL3" s="511"/>
      <c r="CM3" s="511"/>
      <c r="CN3" s="511"/>
      <c r="CO3" s="511"/>
      <c r="CP3" s="511"/>
      <c r="CQ3" s="511"/>
      <c r="CR3" s="511"/>
      <c r="CS3" s="511"/>
      <c r="CT3" s="511"/>
      <c r="CU3" s="511"/>
      <c r="CV3" s="511"/>
      <c r="CW3" s="511"/>
      <c r="CX3" s="511"/>
      <c r="CY3" s="511"/>
      <c r="CZ3" s="511"/>
      <c r="DA3" s="511"/>
      <c r="DB3" s="511"/>
      <c r="DC3" s="511"/>
      <c r="DD3" s="511"/>
      <c r="DE3" s="511"/>
      <c r="DF3" s="511"/>
      <c r="DG3" s="511"/>
      <c r="DH3" s="511"/>
      <c r="DI3" s="511"/>
      <c r="DJ3" s="511"/>
      <c r="DK3" s="511"/>
      <c r="DL3" s="511"/>
      <c r="DM3" s="511"/>
      <c r="DN3" s="511"/>
      <c r="DO3" s="511"/>
      <c r="DP3" s="511"/>
      <c r="DQ3" s="511"/>
      <c r="DR3" s="511"/>
      <c r="DS3" s="511"/>
      <c r="DT3" s="511"/>
      <c r="DU3" s="511"/>
      <c r="DV3" s="511"/>
      <c r="DW3" s="511"/>
      <c r="DX3" s="511"/>
      <c r="DY3" s="511"/>
      <c r="DZ3" s="511"/>
      <c r="EA3" s="511"/>
      <c r="EB3" s="511"/>
      <c r="EC3" s="511"/>
      <c r="ED3" s="511"/>
      <c r="EE3" s="511"/>
      <c r="EF3" s="511"/>
      <c r="EG3" s="511"/>
      <c r="EH3" s="511"/>
      <c r="EI3" s="511"/>
      <c r="EJ3" s="511"/>
      <c r="EK3" s="511"/>
      <c r="EL3" s="511"/>
      <c r="EM3" s="511"/>
      <c r="EN3" s="511"/>
      <c r="EO3" s="511"/>
      <c r="EP3" s="511"/>
      <c r="EQ3" s="511"/>
      <c r="ER3" s="511"/>
      <c r="ES3" s="511"/>
      <c r="ET3" s="511"/>
      <c r="EU3" s="511"/>
      <c r="EV3" s="511"/>
      <c r="EW3" s="511"/>
      <c r="EX3" s="511"/>
      <c r="EY3" s="511"/>
      <c r="EZ3" s="511"/>
      <c r="FA3" s="511"/>
      <c r="FB3" s="511"/>
      <c r="FC3" s="511"/>
      <c r="FD3" s="511"/>
      <c r="FE3" s="511"/>
      <c r="FF3" s="511"/>
      <c r="FG3" s="511"/>
      <c r="FH3" s="511"/>
      <c r="FI3" s="511"/>
      <c r="FJ3" s="511"/>
      <c r="FK3" s="511"/>
      <c r="FL3" s="511"/>
      <c r="FM3" s="511"/>
      <c r="FN3" s="511"/>
      <c r="FO3" s="511"/>
      <c r="FP3" s="511"/>
      <c r="FQ3" s="511"/>
      <c r="FR3" s="511"/>
      <c r="FS3" s="511"/>
      <c r="FT3" s="511"/>
      <c r="FU3" s="511"/>
      <c r="FV3" s="511"/>
      <c r="FW3" s="511"/>
      <c r="FX3" s="511"/>
      <c r="FY3" s="511"/>
      <c r="FZ3" s="511"/>
      <c r="GA3" s="511"/>
      <c r="GB3" s="511"/>
      <c r="GC3" s="511"/>
      <c r="GD3" s="511"/>
      <c r="GE3" s="511"/>
      <c r="GF3" s="511"/>
      <c r="GG3" s="511"/>
      <c r="GH3" s="511"/>
      <c r="GI3" s="511"/>
      <c r="GJ3" s="511"/>
      <c r="GK3" s="511"/>
      <c r="GL3" s="511"/>
      <c r="GM3" s="511"/>
      <c r="GN3" s="511"/>
      <c r="GO3" s="511"/>
      <c r="GP3" s="511"/>
      <c r="GQ3" s="511"/>
      <c r="GR3" s="511"/>
      <c r="GS3" s="511"/>
      <c r="GT3" s="511"/>
      <c r="GU3" s="511"/>
      <c r="GV3" s="511"/>
      <c r="GW3" s="511"/>
      <c r="GX3" s="511"/>
      <c r="GY3" s="511"/>
      <c r="GZ3" s="511"/>
      <c r="HA3" s="511"/>
      <c r="HB3" s="511"/>
      <c r="HC3" s="511"/>
      <c r="HD3" s="511"/>
      <c r="HE3" s="511"/>
      <c r="HF3" s="511"/>
      <c r="HG3" s="511"/>
      <c r="HH3" s="511"/>
      <c r="HI3" s="511"/>
      <c r="HJ3" s="511"/>
      <c r="HK3" s="511"/>
      <c r="HL3" s="511"/>
      <c r="HM3" s="511"/>
      <c r="HN3" s="511"/>
      <c r="HO3" s="511"/>
      <c r="HP3" s="511"/>
      <c r="HQ3" s="511"/>
      <c r="HR3" s="511"/>
      <c r="HS3" s="511"/>
      <c r="HT3" s="511"/>
      <c r="HU3" s="511"/>
      <c r="HV3" s="511"/>
      <c r="HW3" s="511"/>
      <c r="HX3" s="511"/>
      <c r="HY3" s="511"/>
      <c r="HZ3" s="511"/>
      <c r="IA3" s="511"/>
      <c r="IB3" s="511"/>
      <c r="IC3" s="511"/>
      <c r="ID3" s="511"/>
      <c r="IE3" s="511"/>
      <c r="IF3" s="511"/>
      <c r="IG3" s="511"/>
      <c r="IH3" s="511"/>
      <c r="II3" s="511"/>
      <c r="IJ3" s="511"/>
      <c r="IK3" s="511"/>
      <c r="IL3" s="511"/>
      <c r="IM3" s="511"/>
      <c r="IN3" s="511"/>
      <c r="IO3" s="511"/>
      <c r="IP3" s="511"/>
      <c r="IQ3" s="511"/>
      <c r="IR3" s="511"/>
      <c r="IS3" s="511"/>
      <c r="IT3" s="511"/>
      <c r="IU3" s="511"/>
      <c r="IV3" s="511"/>
      <c r="IW3" s="511"/>
    </row>
    <row r="4" customFormat="false" ht="15" hidden="false" customHeight="true" outlineLevel="0" collapsed="false">
      <c r="A4" s="512"/>
      <c r="B4" s="512"/>
      <c r="C4" s="512"/>
      <c r="D4" s="512"/>
      <c r="E4" s="512"/>
      <c r="F4" s="512"/>
      <c r="G4" s="512"/>
      <c r="H4" s="512"/>
      <c r="I4" s="512"/>
      <c r="J4" s="512"/>
      <c r="K4" s="512"/>
      <c r="L4" s="512"/>
      <c r="M4" s="512"/>
      <c r="N4" s="512"/>
      <c r="O4" s="512"/>
      <c r="P4" s="512"/>
      <c r="Q4" s="512"/>
      <c r="R4" s="512"/>
      <c r="S4" s="512"/>
      <c r="T4" s="512"/>
      <c r="U4" s="512"/>
      <c r="V4" s="512"/>
      <c r="W4" s="512"/>
      <c r="X4" s="511"/>
      <c r="Y4" s="511"/>
      <c r="Z4" s="511"/>
      <c r="AA4" s="511"/>
      <c r="AB4" s="511"/>
      <c r="AC4" s="511"/>
      <c r="AD4" s="511"/>
      <c r="AE4" s="511"/>
      <c r="AF4" s="511"/>
      <c r="AG4" s="511"/>
      <c r="AH4" s="511"/>
      <c r="AI4" s="511"/>
      <c r="AJ4" s="511"/>
      <c r="AK4" s="511"/>
      <c r="AL4" s="511"/>
      <c r="AM4" s="511"/>
      <c r="AN4" s="511"/>
      <c r="AO4" s="511"/>
      <c r="AP4" s="511"/>
      <c r="AQ4" s="511"/>
      <c r="AR4" s="511"/>
      <c r="AS4" s="511"/>
      <c r="AT4" s="511"/>
      <c r="AU4" s="511"/>
      <c r="AV4" s="511"/>
      <c r="AW4" s="511"/>
      <c r="AX4" s="511"/>
      <c r="AY4" s="511"/>
      <c r="AZ4" s="511"/>
      <c r="BA4" s="511"/>
      <c r="BB4" s="511"/>
      <c r="BC4" s="511"/>
      <c r="BD4" s="511"/>
      <c r="BE4" s="511"/>
      <c r="BF4" s="511"/>
      <c r="BG4" s="511"/>
      <c r="BH4" s="511"/>
      <c r="BI4" s="511"/>
      <c r="BJ4" s="511"/>
      <c r="BK4" s="511"/>
      <c r="BL4" s="511"/>
      <c r="BM4" s="511"/>
      <c r="BN4" s="511"/>
      <c r="BO4" s="511"/>
      <c r="BP4" s="511"/>
      <c r="BQ4" s="511"/>
      <c r="BR4" s="511"/>
      <c r="BS4" s="511"/>
      <c r="BT4" s="511"/>
      <c r="BU4" s="511"/>
      <c r="BV4" s="511"/>
      <c r="BW4" s="511"/>
      <c r="BX4" s="511"/>
      <c r="BY4" s="511"/>
      <c r="BZ4" s="511"/>
      <c r="CA4" s="511"/>
      <c r="CB4" s="511"/>
      <c r="CC4" s="511"/>
      <c r="CD4" s="511"/>
      <c r="CE4" s="511"/>
      <c r="CF4" s="511"/>
      <c r="CG4" s="511"/>
      <c r="CH4" s="511"/>
      <c r="CI4" s="511"/>
      <c r="CJ4" s="511"/>
      <c r="CK4" s="511"/>
      <c r="CL4" s="511"/>
      <c r="CM4" s="511"/>
      <c r="CN4" s="511"/>
      <c r="CO4" s="511"/>
      <c r="CP4" s="511"/>
      <c r="CQ4" s="511"/>
      <c r="CR4" s="511"/>
      <c r="CS4" s="511"/>
      <c r="CT4" s="511"/>
      <c r="CU4" s="511"/>
      <c r="CV4" s="511"/>
      <c r="CW4" s="511"/>
      <c r="CX4" s="511"/>
      <c r="CY4" s="511"/>
      <c r="CZ4" s="511"/>
      <c r="DA4" s="511"/>
      <c r="DB4" s="511"/>
      <c r="DC4" s="511"/>
      <c r="DD4" s="511"/>
      <c r="DE4" s="511"/>
      <c r="DF4" s="511"/>
      <c r="DG4" s="511"/>
      <c r="DH4" s="511"/>
      <c r="DI4" s="511"/>
      <c r="DJ4" s="511"/>
      <c r="DK4" s="511"/>
      <c r="DL4" s="511"/>
      <c r="DM4" s="511"/>
      <c r="DN4" s="511"/>
      <c r="DO4" s="511"/>
      <c r="DP4" s="511"/>
      <c r="DQ4" s="511"/>
      <c r="DR4" s="511"/>
      <c r="DS4" s="511"/>
      <c r="DT4" s="511"/>
      <c r="DU4" s="511"/>
      <c r="DV4" s="511"/>
      <c r="DW4" s="511"/>
      <c r="DX4" s="511"/>
      <c r="DY4" s="511"/>
      <c r="DZ4" s="511"/>
      <c r="EA4" s="511"/>
      <c r="EB4" s="511"/>
      <c r="EC4" s="511"/>
      <c r="ED4" s="511"/>
      <c r="EE4" s="511"/>
      <c r="EF4" s="511"/>
      <c r="EG4" s="511"/>
      <c r="EH4" s="511"/>
      <c r="EI4" s="511"/>
      <c r="EJ4" s="511"/>
      <c r="EK4" s="511"/>
      <c r="EL4" s="511"/>
      <c r="EM4" s="511"/>
      <c r="EN4" s="511"/>
      <c r="EO4" s="511"/>
      <c r="EP4" s="511"/>
      <c r="EQ4" s="511"/>
      <c r="ER4" s="511"/>
      <c r="ES4" s="511"/>
      <c r="ET4" s="511"/>
      <c r="EU4" s="511"/>
      <c r="EV4" s="511"/>
      <c r="EW4" s="511"/>
      <c r="EX4" s="511"/>
      <c r="EY4" s="511"/>
      <c r="EZ4" s="511"/>
      <c r="FA4" s="511"/>
      <c r="FB4" s="511"/>
      <c r="FC4" s="511"/>
      <c r="FD4" s="511"/>
      <c r="FE4" s="511"/>
      <c r="FF4" s="511"/>
      <c r="FG4" s="511"/>
      <c r="FH4" s="511"/>
      <c r="FI4" s="511"/>
      <c r="FJ4" s="511"/>
      <c r="FK4" s="511"/>
      <c r="FL4" s="511"/>
      <c r="FM4" s="511"/>
      <c r="FN4" s="511"/>
      <c r="FO4" s="511"/>
      <c r="FP4" s="511"/>
      <c r="FQ4" s="511"/>
      <c r="FR4" s="511"/>
      <c r="FS4" s="511"/>
      <c r="FT4" s="511"/>
      <c r="FU4" s="511"/>
      <c r="FV4" s="511"/>
      <c r="FW4" s="511"/>
      <c r="FX4" s="511"/>
      <c r="FY4" s="511"/>
      <c r="FZ4" s="511"/>
      <c r="GA4" s="511"/>
      <c r="GB4" s="511"/>
      <c r="GC4" s="511"/>
      <c r="GD4" s="511"/>
      <c r="GE4" s="511"/>
      <c r="GF4" s="511"/>
      <c r="GG4" s="511"/>
      <c r="GH4" s="511"/>
      <c r="GI4" s="511"/>
      <c r="GJ4" s="511"/>
      <c r="GK4" s="511"/>
      <c r="GL4" s="511"/>
      <c r="GM4" s="511"/>
      <c r="GN4" s="511"/>
      <c r="GO4" s="511"/>
      <c r="GP4" s="511"/>
      <c r="GQ4" s="511"/>
      <c r="GR4" s="511"/>
      <c r="GS4" s="511"/>
      <c r="GT4" s="511"/>
      <c r="GU4" s="511"/>
      <c r="GV4" s="511"/>
      <c r="GW4" s="511"/>
      <c r="GX4" s="511"/>
      <c r="GY4" s="511"/>
      <c r="GZ4" s="511"/>
      <c r="HA4" s="511"/>
      <c r="HB4" s="511"/>
      <c r="HC4" s="511"/>
      <c r="HD4" s="511"/>
      <c r="HE4" s="511"/>
      <c r="HF4" s="511"/>
      <c r="HG4" s="511"/>
      <c r="HH4" s="511"/>
      <c r="HI4" s="511"/>
      <c r="HJ4" s="511"/>
      <c r="HK4" s="511"/>
      <c r="HL4" s="511"/>
      <c r="HM4" s="511"/>
      <c r="HN4" s="511"/>
      <c r="HO4" s="511"/>
      <c r="HP4" s="511"/>
      <c r="HQ4" s="511"/>
      <c r="HR4" s="511"/>
      <c r="HS4" s="511"/>
      <c r="HT4" s="511"/>
      <c r="HU4" s="511"/>
      <c r="HV4" s="511"/>
      <c r="HW4" s="511"/>
      <c r="HX4" s="511"/>
      <c r="HY4" s="511"/>
      <c r="HZ4" s="511"/>
      <c r="IA4" s="511"/>
      <c r="IB4" s="511"/>
      <c r="IC4" s="511"/>
      <c r="ID4" s="511"/>
      <c r="IE4" s="511"/>
      <c r="IF4" s="511"/>
      <c r="IG4" s="511"/>
      <c r="IH4" s="511"/>
      <c r="II4" s="511"/>
      <c r="IJ4" s="511"/>
      <c r="IK4" s="511"/>
      <c r="IL4" s="511"/>
      <c r="IM4" s="511"/>
      <c r="IN4" s="511"/>
      <c r="IO4" s="511"/>
      <c r="IP4" s="511"/>
      <c r="IQ4" s="511"/>
      <c r="IR4" s="511"/>
      <c r="IS4" s="511"/>
      <c r="IT4" s="511"/>
      <c r="IU4" s="511"/>
      <c r="IV4" s="511"/>
      <c r="IW4" s="511"/>
    </row>
    <row r="5" customFormat="false" ht="35.25" hidden="false" customHeight="true" outlineLevel="0" collapsed="false">
      <c r="A5" s="513" t="s">
        <v>529</v>
      </c>
      <c r="B5" s="513"/>
      <c r="C5" s="513"/>
      <c r="D5" s="513"/>
      <c r="E5" s="513"/>
      <c r="F5" s="513"/>
      <c r="G5" s="513"/>
      <c r="H5" s="513"/>
      <c r="I5" s="513"/>
      <c r="J5" s="513"/>
      <c r="K5" s="514" t="s">
        <v>530</v>
      </c>
      <c r="L5" s="514"/>
      <c r="M5" s="514"/>
      <c r="N5" s="514"/>
      <c r="O5" s="514"/>
      <c r="P5" s="514"/>
      <c r="Q5" s="514"/>
      <c r="R5" s="514"/>
      <c r="S5" s="514"/>
      <c r="T5" s="514"/>
      <c r="U5" s="514"/>
      <c r="V5" s="514"/>
      <c r="W5" s="514"/>
      <c r="X5" s="511"/>
      <c r="Y5" s="511"/>
      <c r="Z5" s="511"/>
      <c r="AA5" s="511"/>
      <c r="AB5" s="511"/>
      <c r="AC5" s="511"/>
      <c r="AD5" s="511"/>
      <c r="AE5" s="511"/>
      <c r="AF5" s="511"/>
      <c r="AG5" s="511"/>
      <c r="AH5" s="511"/>
      <c r="AI5" s="511"/>
      <c r="AJ5" s="511"/>
      <c r="AK5" s="511"/>
      <c r="AL5" s="511"/>
      <c r="AM5" s="511"/>
      <c r="AN5" s="511"/>
      <c r="AO5" s="511"/>
      <c r="AP5" s="511"/>
      <c r="AQ5" s="511"/>
      <c r="AR5" s="511"/>
      <c r="AS5" s="511"/>
      <c r="AT5" s="511"/>
      <c r="AU5" s="511"/>
      <c r="AV5" s="511"/>
      <c r="AW5" s="511"/>
      <c r="AX5" s="511"/>
      <c r="AY5" s="511"/>
      <c r="AZ5" s="511"/>
      <c r="BA5" s="511"/>
      <c r="BB5" s="511"/>
      <c r="BC5" s="511"/>
      <c r="BD5" s="511"/>
      <c r="BE5" s="511"/>
      <c r="BF5" s="511"/>
      <c r="BG5" s="511"/>
      <c r="BH5" s="511"/>
      <c r="BI5" s="511"/>
      <c r="BJ5" s="511"/>
      <c r="BK5" s="511"/>
      <c r="BL5" s="511"/>
      <c r="BM5" s="511"/>
      <c r="BN5" s="511"/>
      <c r="BO5" s="511"/>
      <c r="BP5" s="511"/>
      <c r="BQ5" s="511"/>
      <c r="BR5" s="511"/>
      <c r="BS5" s="511"/>
      <c r="BT5" s="511"/>
      <c r="BU5" s="511"/>
      <c r="BV5" s="511"/>
      <c r="BW5" s="511"/>
      <c r="BX5" s="511"/>
      <c r="BY5" s="511"/>
      <c r="BZ5" s="511"/>
      <c r="CA5" s="511"/>
      <c r="CB5" s="511"/>
      <c r="CC5" s="511"/>
      <c r="CD5" s="511"/>
      <c r="CE5" s="511"/>
      <c r="CF5" s="511"/>
      <c r="CG5" s="511"/>
      <c r="CH5" s="511"/>
      <c r="CI5" s="511"/>
      <c r="CJ5" s="511"/>
      <c r="CK5" s="511"/>
      <c r="CL5" s="511"/>
      <c r="CM5" s="511"/>
      <c r="CN5" s="511"/>
      <c r="CO5" s="511"/>
      <c r="CP5" s="511"/>
      <c r="CQ5" s="511"/>
      <c r="CR5" s="511"/>
      <c r="CS5" s="511"/>
      <c r="CT5" s="511"/>
      <c r="CU5" s="511"/>
      <c r="CV5" s="511"/>
      <c r="CW5" s="511"/>
      <c r="CX5" s="511"/>
      <c r="CY5" s="511"/>
      <c r="CZ5" s="511"/>
      <c r="DA5" s="511"/>
      <c r="DB5" s="511"/>
      <c r="DC5" s="511"/>
      <c r="DD5" s="511"/>
      <c r="DE5" s="511"/>
      <c r="DF5" s="511"/>
      <c r="DG5" s="511"/>
      <c r="DH5" s="511"/>
      <c r="DI5" s="511"/>
      <c r="DJ5" s="511"/>
      <c r="DK5" s="511"/>
      <c r="DL5" s="511"/>
      <c r="DM5" s="511"/>
      <c r="DN5" s="511"/>
      <c r="DO5" s="511"/>
      <c r="DP5" s="511"/>
      <c r="DQ5" s="511"/>
      <c r="DR5" s="511"/>
      <c r="DS5" s="511"/>
      <c r="DT5" s="511"/>
      <c r="DU5" s="511"/>
      <c r="DV5" s="511"/>
      <c r="DW5" s="511"/>
      <c r="DX5" s="511"/>
      <c r="DY5" s="511"/>
      <c r="DZ5" s="511"/>
      <c r="EA5" s="511"/>
      <c r="EB5" s="511"/>
      <c r="EC5" s="511"/>
      <c r="ED5" s="511"/>
      <c r="EE5" s="511"/>
      <c r="EF5" s="511"/>
      <c r="EG5" s="511"/>
      <c r="EH5" s="511"/>
      <c r="EI5" s="511"/>
      <c r="EJ5" s="511"/>
      <c r="EK5" s="511"/>
      <c r="EL5" s="511"/>
      <c r="EM5" s="511"/>
      <c r="EN5" s="511"/>
      <c r="EO5" s="511"/>
      <c r="EP5" s="511"/>
      <c r="EQ5" s="511"/>
      <c r="ER5" s="511"/>
      <c r="ES5" s="511"/>
      <c r="ET5" s="511"/>
      <c r="EU5" s="511"/>
      <c r="EV5" s="511"/>
      <c r="EW5" s="511"/>
      <c r="EX5" s="511"/>
      <c r="EY5" s="511"/>
      <c r="EZ5" s="511"/>
      <c r="FA5" s="511"/>
      <c r="FB5" s="511"/>
      <c r="FC5" s="511"/>
      <c r="FD5" s="511"/>
      <c r="FE5" s="511"/>
      <c r="FF5" s="511"/>
      <c r="FG5" s="511"/>
      <c r="FH5" s="511"/>
      <c r="FI5" s="511"/>
      <c r="FJ5" s="511"/>
      <c r="FK5" s="511"/>
      <c r="FL5" s="511"/>
      <c r="FM5" s="511"/>
      <c r="FN5" s="511"/>
      <c r="FO5" s="511"/>
      <c r="FP5" s="511"/>
      <c r="FQ5" s="511"/>
      <c r="FR5" s="511"/>
      <c r="FS5" s="511"/>
      <c r="FT5" s="511"/>
      <c r="FU5" s="511"/>
      <c r="FV5" s="511"/>
      <c r="FW5" s="511"/>
      <c r="FX5" s="511"/>
      <c r="FY5" s="511"/>
      <c r="FZ5" s="511"/>
      <c r="GA5" s="511"/>
      <c r="GB5" s="511"/>
      <c r="GC5" s="511"/>
      <c r="GD5" s="511"/>
      <c r="GE5" s="511"/>
      <c r="GF5" s="511"/>
      <c r="GG5" s="511"/>
      <c r="GH5" s="511"/>
      <c r="GI5" s="511"/>
      <c r="GJ5" s="511"/>
      <c r="GK5" s="511"/>
      <c r="GL5" s="511"/>
      <c r="GM5" s="511"/>
      <c r="GN5" s="511"/>
      <c r="GO5" s="511"/>
      <c r="GP5" s="511"/>
      <c r="GQ5" s="511"/>
      <c r="GR5" s="511"/>
      <c r="GS5" s="511"/>
      <c r="GT5" s="511"/>
      <c r="GU5" s="511"/>
      <c r="GV5" s="511"/>
      <c r="GW5" s="511"/>
      <c r="GX5" s="511"/>
      <c r="GY5" s="511"/>
      <c r="GZ5" s="511"/>
      <c r="HA5" s="511"/>
      <c r="HB5" s="511"/>
      <c r="HC5" s="511"/>
      <c r="HD5" s="511"/>
      <c r="HE5" s="511"/>
      <c r="HF5" s="511"/>
      <c r="HG5" s="511"/>
      <c r="HH5" s="511"/>
      <c r="HI5" s="511"/>
      <c r="HJ5" s="511"/>
      <c r="HK5" s="511"/>
      <c r="HL5" s="511"/>
      <c r="HM5" s="511"/>
      <c r="HN5" s="511"/>
      <c r="HO5" s="511"/>
      <c r="HP5" s="511"/>
      <c r="HQ5" s="511"/>
      <c r="HR5" s="511"/>
      <c r="HS5" s="511"/>
      <c r="HT5" s="511"/>
      <c r="HU5" s="511"/>
      <c r="HV5" s="511"/>
      <c r="HW5" s="511"/>
      <c r="HX5" s="511"/>
      <c r="HY5" s="511"/>
      <c r="HZ5" s="511"/>
      <c r="IA5" s="511"/>
      <c r="IB5" s="511"/>
      <c r="IC5" s="511"/>
      <c r="ID5" s="511"/>
      <c r="IE5" s="511"/>
      <c r="IF5" s="511"/>
      <c r="IG5" s="511"/>
      <c r="IH5" s="511"/>
      <c r="II5" s="511"/>
      <c r="IJ5" s="511"/>
      <c r="IK5" s="511"/>
      <c r="IL5" s="511"/>
      <c r="IM5" s="511"/>
      <c r="IN5" s="511"/>
      <c r="IO5" s="511"/>
      <c r="IP5" s="511"/>
      <c r="IQ5" s="511"/>
      <c r="IR5" s="511"/>
      <c r="IS5" s="511"/>
      <c r="IT5" s="511"/>
      <c r="IU5" s="511"/>
      <c r="IV5" s="511"/>
      <c r="IW5" s="511"/>
    </row>
    <row r="6" customFormat="false" ht="42" hidden="false" customHeight="true" outlineLevel="0" collapsed="false">
      <c r="A6" s="515" t="s">
        <v>531</v>
      </c>
      <c r="B6" s="515"/>
      <c r="C6" s="516">
        <f aca="false">개요!D10</f>
      </c>
      <c r="D6" s="516"/>
      <c r="E6" s="516"/>
      <c r="F6" s="516"/>
      <c r="G6" s="516"/>
      <c r="H6" s="516"/>
      <c r="I6" s="516"/>
      <c r="J6" s="516"/>
      <c r="K6" s="517" t="s">
        <v>111</v>
      </c>
      <c r="L6" s="517"/>
      <c r="M6" s="517"/>
      <c r="N6" s="518"/>
      <c r="O6" s="518"/>
      <c r="P6" s="518"/>
      <c r="Q6" s="518"/>
      <c r="R6" s="518"/>
      <c r="S6" s="518"/>
      <c r="T6" s="518"/>
      <c r="U6" s="518"/>
      <c r="V6" s="518"/>
      <c r="W6" s="518"/>
      <c r="X6" s="511"/>
      <c r="Y6" s="511"/>
      <c r="Z6" s="511"/>
      <c r="AA6" s="511"/>
      <c r="AB6" s="511"/>
      <c r="AC6" s="511"/>
      <c r="AD6" s="511"/>
      <c r="AE6" s="511"/>
      <c r="AF6" s="511"/>
      <c r="AG6" s="511"/>
      <c r="AH6" s="511"/>
      <c r="AI6" s="511"/>
      <c r="AJ6" s="511"/>
      <c r="AK6" s="511"/>
      <c r="AL6" s="511"/>
      <c r="AM6" s="511"/>
      <c r="AN6" s="511"/>
      <c r="AO6" s="511"/>
      <c r="AP6" s="511"/>
      <c r="AQ6" s="511"/>
      <c r="AR6" s="511"/>
      <c r="AS6" s="511"/>
      <c r="AT6" s="511"/>
      <c r="AU6" s="511"/>
      <c r="AV6" s="511"/>
      <c r="AW6" s="511"/>
      <c r="AX6" s="511"/>
      <c r="AY6" s="511"/>
      <c r="AZ6" s="511"/>
      <c r="BA6" s="511"/>
      <c r="BB6" s="511"/>
      <c r="BC6" s="511"/>
      <c r="BD6" s="511"/>
      <c r="BE6" s="511"/>
      <c r="BF6" s="511"/>
      <c r="BG6" s="511"/>
      <c r="BH6" s="511"/>
      <c r="BI6" s="511"/>
      <c r="BJ6" s="511"/>
      <c r="BK6" s="511"/>
      <c r="BL6" s="511"/>
      <c r="BM6" s="511"/>
      <c r="BN6" s="511"/>
      <c r="BO6" s="511"/>
      <c r="BP6" s="511"/>
      <c r="BQ6" s="511"/>
      <c r="BR6" s="511"/>
      <c r="BS6" s="511"/>
      <c r="BT6" s="511"/>
      <c r="BU6" s="511"/>
      <c r="BV6" s="511"/>
      <c r="BW6" s="511"/>
      <c r="BX6" s="511"/>
      <c r="BY6" s="511"/>
      <c r="BZ6" s="511"/>
      <c r="CA6" s="511"/>
      <c r="CB6" s="511"/>
      <c r="CC6" s="511"/>
      <c r="CD6" s="511"/>
      <c r="CE6" s="511"/>
      <c r="CF6" s="511"/>
      <c r="CG6" s="511"/>
      <c r="CH6" s="511"/>
      <c r="CI6" s="511"/>
      <c r="CJ6" s="511"/>
      <c r="CK6" s="511"/>
      <c r="CL6" s="511"/>
      <c r="CM6" s="511"/>
      <c r="CN6" s="511"/>
      <c r="CO6" s="511"/>
      <c r="CP6" s="511"/>
      <c r="CQ6" s="511"/>
      <c r="CR6" s="511"/>
      <c r="CS6" s="511"/>
      <c r="CT6" s="511"/>
      <c r="CU6" s="511"/>
      <c r="CV6" s="511"/>
      <c r="CW6" s="511"/>
      <c r="CX6" s="511"/>
      <c r="CY6" s="511"/>
      <c r="CZ6" s="511"/>
      <c r="DA6" s="511"/>
      <c r="DB6" s="511"/>
      <c r="DC6" s="511"/>
      <c r="DD6" s="511"/>
      <c r="DE6" s="511"/>
      <c r="DF6" s="511"/>
      <c r="DG6" s="511"/>
      <c r="DH6" s="511"/>
      <c r="DI6" s="511"/>
      <c r="DJ6" s="511"/>
      <c r="DK6" s="511"/>
      <c r="DL6" s="511"/>
      <c r="DM6" s="511"/>
      <c r="DN6" s="511"/>
      <c r="DO6" s="511"/>
      <c r="DP6" s="511"/>
      <c r="DQ6" s="511"/>
      <c r="DR6" s="511"/>
      <c r="DS6" s="511"/>
      <c r="DT6" s="511"/>
      <c r="DU6" s="511"/>
      <c r="DV6" s="511"/>
      <c r="DW6" s="511"/>
      <c r="DX6" s="511"/>
      <c r="DY6" s="511"/>
      <c r="DZ6" s="511"/>
      <c r="EA6" s="511"/>
      <c r="EB6" s="511"/>
      <c r="EC6" s="511"/>
      <c r="ED6" s="511"/>
      <c r="EE6" s="511"/>
      <c r="EF6" s="511"/>
      <c r="EG6" s="511"/>
      <c r="EH6" s="511"/>
      <c r="EI6" s="511"/>
      <c r="EJ6" s="511"/>
      <c r="EK6" s="511"/>
      <c r="EL6" s="511"/>
      <c r="EM6" s="511"/>
      <c r="EN6" s="511"/>
      <c r="EO6" s="511"/>
      <c r="EP6" s="511"/>
      <c r="EQ6" s="511"/>
      <c r="ER6" s="511"/>
      <c r="ES6" s="511"/>
      <c r="ET6" s="511"/>
      <c r="EU6" s="511"/>
      <c r="EV6" s="511"/>
      <c r="EW6" s="511"/>
      <c r="EX6" s="511"/>
      <c r="EY6" s="511"/>
      <c r="EZ6" s="511"/>
      <c r="FA6" s="511"/>
      <c r="FB6" s="511"/>
      <c r="FC6" s="511"/>
      <c r="FD6" s="511"/>
      <c r="FE6" s="511"/>
      <c r="FF6" s="511"/>
      <c r="FG6" s="511"/>
      <c r="FH6" s="511"/>
      <c r="FI6" s="511"/>
      <c r="FJ6" s="511"/>
      <c r="FK6" s="511"/>
      <c r="FL6" s="511"/>
      <c r="FM6" s="511"/>
      <c r="FN6" s="511"/>
      <c r="FO6" s="511"/>
      <c r="FP6" s="511"/>
      <c r="FQ6" s="511"/>
      <c r="FR6" s="511"/>
      <c r="FS6" s="511"/>
      <c r="FT6" s="511"/>
      <c r="FU6" s="511"/>
      <c r="FV6" s="511"/>
      <c r="FW6" s="511"/>
      <c r="FX6" s="511"/>
      <c r="FY6" s="511"/>
      <c r="FZ6" s="511"/>
      <c r="GA6" s="511"/>
      <c r="GB6" s="511"/>
      <c r="GC6" s="511"/>
      <c r="GD6" s="511"/>
      <c r="GE6" s="511"/>
      <c r="GF6" s="511"/>
      <c r="GG6" s="511"/>
      <c r="GH6" s="511"/>
      <c r="GI6" s="511"/>
      <c r="GJ6" s="511"/>
      <c r="GK6" s="511"/>
      <c r="GL6" s="511"/>
      <c r="GM6" s="511"/>
      <c r="GN6" s="511"/>
      <c r="GO6" s="511"/>
      <c r="GP6" s="511"/>
      <c r="GQ6" s="511"/>
      <c r="GR6" s="511"/>
      <c r="GS6" s="511"/>
      <c r="GT6" s="511"/>
      <c r="GU6" s="511"/>
      <c r="GV6" s="511"/>
      <c r="GW6" s="511"/>
      <c r="GX6" s="511"/>
      <c r="GY6" s="511"/>
      <c r="GZ6" s="511"/>
      <c r="HA6" s="511"/>
      <c r="HB6" s="511"/>
      <c r="HC6" s="511"/>
      <c r="HD6" s="511"/>
      <c r="HE6" s="511"/>
      <c r="HF6" s="511"/>
      <c r="HG6" s="511"/>
      <c r="HH6" s="511"/>
      <c r="HI6" s="511"/>
      <c r="HJ6" s="511"/>
      <c r="HK6" s="511"/>
      <c r="HL6" s="511"/>
      <c r="HM6" s="511"/>
      <c r="HN6" s="511"/>
      <c r="HO6" s="511"/>
      <c r="HP6" s="511"/>
      <c r="HQ6" s="511"/>
      <c r="HR6" s="511"/>
      <c r="HS6" s="511"/>
      <c r="HT6" s="511"/>
      <c r="HU6" s="511"/>
      <c r="HV6" s="511"/>
      <c r="HW6" s="511"/>
      <c r="HX6" s="511"/>
      <c r="HY6" s="511"/>
      <c r="HZ6" s="511"/>
      <c r="IA6" s="511"/>
      <c r="IB6" s="511"/>
      <c r="IC6" s="511"/>
      <c r="ID6" s="511"/>
      <c r="IE6" s="511"/>
      <c r="IF6" s="511"/>
      <c r="IG6" s="511"/>
      <c r="IH6" s="511"/>
      <c r="II6" s="511"/>
      <c r="IJ6" s="511"/>
      <c r="IK6" s="511"/>
      <c r="IL6" s="511"/>
      <c r="IM6" s="511"/>
      <c r="IN6" s="511"/>
      <c r="IO6" s="511"/>
      <c r="IP6" s="511"/>
      <c r="IQ6" s="511"/>
      <c r="IR6" s="511"/>
      <c r="IS6" s="511"/>
      <c r="IT6" s="511"/>
      <c r="IU6" s="511"/>
      <c r="IV6" s="511"/>
      <c r="IW6" s="511"/>
    </row>
    <row r="7" customFormat="false" ht="42" hidden="false" customHeight="true" outlineLevel="0" collapsed="false">
      <c r="A7" s="519" t="s">
        <v>532</v>
      </c>
      <c r="B7" s="519"/>
      <c r="C7" s="520">
        <f aca="false">개요!D11</f>
      </c>
      <c r="D7" s="520"/>
      <c r="E7" s="520"/>
      <c r="F7" s="520"/>
      <c r="G7" s="520"/>
      <c r="H7" s="520"/>
      <c r="I7" s="520"/>
      <c r="J7" s="520"/>
      <c r="K7" s="521" t="s">
        <v>533</v>
      </c>
      <c r="L7" s="521"/>
      <c r="M7" s="521"/>
      <c r="N7" s="522"/>
      <c r="O7" s="522"/>
      <c r="P7" s="522"/>
      <c r="Q7" s="522"/>
      <c r="R7" s="522"/>
      <c r="S7" s="522"/>
      <c r="T7" s="522"/>
      <c r="U7" s="522"/>
      <c r="V7" s="522"/>
      <c r="W7" s="522"/>
      <c r="X7" s="511"/>
      <c r="Y7" s="511"/>
      <c r="Z7" s="511"/>
      <c r="AA7" s="511"/>
      <c r="AB7" s="511"/>
      <c r="AC7" s="511"/>
      <c r="AD7" s="511"/>
      <c r="AE7" s="511"/>
      <c r="AF7" s="511"/>
      <c r="AG7" s="511"/>
      <c r="AH7" s="511"/>
      <c r="AI7" s="511"/>
      <c r="AJ7" s="511"/>
      <c r="AK7" s="511"/>
      <c r="AL7" s="511"/>
      <c r="AM7" s="511"/>
      <c r="AN7" s="511"/>
      <c r="AO7" s="511"/>
      <c r="AP7" s="511"/>
      <c r="AQ7" s="511"/>
      <c r="AR7" s="511"/>
      <c r="AS7" s="511"/>
      <c r="AT7" s="511"/>
      <c r="AU7" s="511"/>
      <c r="AV7" s="511"/>
      <c r="AW7" s="511"/>
      <c r="AX7" s="511"/>
      <c r="AY7" s="511"/>
      <c r="AZ7" s="511"/>
      <c r="BA7" s="511"/>
      <c r="BB7" s="511"/>
      <c r="BC7" s="511"/>
      <c r="BD7" s="511"/>
      <c r="BE7" s="511"/>
      <c r="BF7" s="511"/>
      <c r="BG7" s="511"/>
      <c r="BH7" s="511"/>
      <c r="BI7" s="511"/>
      <c r="BJ7" s="511"/>
      <c r="BK7" s="511"/>
      <c r="BL7" s="511"/>
      <c r="BM7" s="511"/>
      <c r="BN7" s="511"/>
      <c r="BO7" s="511"/>
      <c r="BP7" s="511"/>
      <c r="BQ7" s="511"/>
      <c r="BR7" s="511"/>
      <c r="BS7" s="511"/>
      <c r="BT7" s="511"/>
      <c r="BU7" s="511"/>
      <c r="BV7" s="511"/>
      <c r="BW7" s="511"/>
      <c r="BX7" s="511"/>
      <c r="BY7" s="511"/>
      <c r="BZ7" s="511"/>
      <c r="CA7" s="511"/>
      <c r="CB7" s="511"/>
      <c r="CC7" s="511"/>
      <c r="CD7" s="511"/>
      <c r="CE7" s="511"/>
      <c r="CF7" s="511"/>
      <c r="CG7" s="511"/>
      <c r="CH7" s="511"/>
      <c r="CI7" s="511"/>
      <c r="CJ7" s="511"/>
      <c r="CK7" s="511"/>
      <c r="CL7" s="511"/>
      <c r="CM7" s="511"/>
      <c r="CN7" s="511"/>
      <c r="CO7" s="511"/>
      <c r="CP7" s="511"/>
      <c r="CQ7" s="511"/>
      <c r="CR7" s="511"/>
      <c r="CS7" s="511"/>
      <c r="CT7" s="511"/>
      <c r="CU7" s="511"/>
      <c r="CV7" s="511"/>
      <c r="CW7" s="511"/>
      <c r="CX7" s="511"/>
      <c r="CY7" s="511"/>
      <c r="CZ7" s="511"/>
      <c r="DA7" s="511"/>
      <c r="DB7" s="511"/>
      <c r="DC7" s="511"/>
      <c r="DD7" s="511"/>
      <c r="DE7" s="511"/>
      <c r="DF7" s="511"/>
      <c r="DG7" s="511"/>
      <c r="DH7" s="511"/>
      <c r="DI7" s="511"/>
      <c r="DJ7" s="511"/>
      <c r="DK7" s="511"/>
      <c r="DL7" s="511"/>
      <c r="DM7" s="511"/>
      <c r="DN7" s="511"/>
      <c r="DO7" s="511"/>
      <c r="DP7" s="511"/>
      <c r="DQ7" s="511"/>
      <c r="DR7" s="511"/>
      <c r="DS7" s="511"/>
      <c r="DT7" s="511"/>
      <c r="DU7" s="511"/>
      <c r="DV7" s="511"/>
      <c r="DW7" s="511"/>
      <c r="DX7" s="511"/>
      <c r="DY7" s="511"/>
      <c r="DZ7" s="511"/>
      <c r="EA7" s="511"/>
      <c r="EB7" s="511"/>
      <c r="EC7" s="511"/>
      <c r="ED7" s="511"/>
      <c r="EE7" s="511"/>
      <c r="EF7" s="511"/>
      <c r="EG7" s="511"/>
      <c r="EH7" s="511"/>
      <c r="EI7" s="511"/>
      <c r="EJ7" s="511"/>
      <c r="EK7" s="511"/>
      <c r="EL7" s="511"/>
      <c r="EM7" s="511"/>
      <c r="EN7" s="511"/>
      <c r="EO7" s="511"/>
      <c r="EP7" s="511"/>
      <c r="EQ7" s="511"/>
      <c r="ER7" s="511"/>
      <c r="ES7" s="511"/>
      <c r="ET7" s="511"/>
      <c r="EU7" s="511"/>
      <c r="EV7" s="511"/>
      <c r="EW7" s="511"/>
      <c r="EX7" s="511"/>
      <c r="EY7" s="511"/>
      <c r="EZ7" s="511"/>
      <c r="FA7" s="511"/>
      <c r="FB7" s="511"/>
      <c r="FC7" s="511"/>
      <c r="FD7" s="511"/>
      <c r="FE7" s="511"/>
      <c r="FF7" s="511"/>
      <c r="FG7" s="511"/>
      <c r="FH7" s="511"/>
      <c r="FI7" s="511"/>
      <c r="FJ7" s="511"/>
      <c r="FK7" s="511"/>
      <c r="FL7" s="511"/>
      <c r="FM7" s="511"/>
      <c r="FN7" s="511"/>
      <c r="FO7" s="511"/>
      <c r="FP7" s="511"/>
      <c r="FQ7" s="511"/>
      <c r="FR7" s="511"/>
      <c r="FS7" s="511"/>
      <c r="FT7" s="511"/>
      <c r="FU7" s="511"/>
      <c r="FV7" s="511"/>
      <c r="FW7" s="511"/>
      <c r="FX7" s="511"/>
      <c r="FY7" s="511"/>
      <c r="FZ7" s="511"/>
      <c r="GA7" s="511"/>
      <c r="GB7" s="511"/>
      <c r="GC7" s="511"/>
      <c r="GD7" s="511"/>
      <c r="GE7" s="511"/>
      <c r="GF7" s="511"/>
      <c r="GG7" s="511"/>
      <c r="GH7" s="511"/>
      <c r="GI7" s="511"/>
      <c r="GJ7" s="511"/>
      <c r="GK7" s="511"/>
      <c r="GL7" s="511"/>
      <c r="GM7" s="511"/>
      <c r="GN7" s="511"/>
      <c r="GO7" s="511"/>
      <c r="GP7" s="511"/>
      <c r="GQ7" s="511"/>
      <c r="GR7" s="511"/>
      <c r="GS7" s="511"/>
      <c r="GT7" s="511"/>
      <c r="GU7" s="511"/>
      <c r="GV7" s="511"/>
      <c r="GW7" s="511"/>
      <c r="GX7" s="511"/>
      <c r="GY7" s="511"/>
      <c r="GZ7" s="511"/>
      <c r="HA7" s="511"/>
      <c r="HB7" s="511"/>
      <c r="HC7" s="511"/>
      <c r="HD7" s="511"/>
      <c r="HE7" s="511"/>
      <c r="HF7" s="511"/>
      <c r="HG7" s="511"/>
      <c r="HH7" s="511"/>
      <c r="HI7" s="511"/>
      <c r="HJ7" s="511"/>
      <c r="HK7" s="511"/>
      <c r="HL7" s="511"/>
      <c r="HM7" s="511"/>
      <c r="HN7" s="511"/>
      <c r="HO7" s="511"/>
      <c r="HP7" s="511"/>
      <c r="HQ7" s="511"/>
      <c r="HR7" s="511"/>
      <c r="HS7" s="511"/>
      <c r="HT7" s="511"/>
      <c r="HU7" s="511"/>
      <c r="HV7" s="511"/>
      <c r="HW7" s="511"/>
      <c r="HX7" s="511"/>
      <c r="HY7" s="511"/>
      <c r="HZ7" s="511"/>
      <c r="IA7" s="511"/>
      <c r="IB7" s="511"/>
      <c r="IC7" s="511"/>
      <c r="ID7" s="511"/>
      <c r="IE7" s="511"/>
      <c r="IF7" s="511"/>
      <c r="IG7" s="511"/>
      <c r="IH7" s="511"/>
      <c r="II7" s="511"/>
      <c r="IJ7" s="511"/>
      <c r="IK7" s="511"/>
      <c r="IL7" s="511"/>
      <c r="IM7" s="511"/>
      <c r="IN7" s="511"/>
      <c r="IO7" s="511"/>
      <c r="IP7" s="511"/>
      <c r="IQ7" s="511"/>
      <c r="IR7" s="511"/>
      <c r="IS7" s="511"/>
      <c r="IT7" s="511"/>
      <c r="IU7" s="511"/>
      <c r="IV7" s="511"/>
      <c r="IW7" s="511"/>
    </row>
    <row r="8" customFormat="false" ht="42" hidden="false" customHeight="true" outlineLevel="0" collapsed="false">
      <c r="A8" s="519" t="s">
        <v>534</v>
      </c>
      <c r="B8" s="519"/>
      <c r="C8" s="520">
        <f aca="false">개요!D12</f>
      </c>
      <c r="D8" s="520"/>
      <c r="E8" s="520"/>
      <c r="F8" s="520"/>
      <c r="G8" s="520"/>
      <c r="H8" s="520"/>
      <c r="I8" s="520"/>
      <c r="J8" s="520"/>
      <c r="K8" s="521" t="s">
        <v>34</v>
      </c>
      <c r="L8" s="521"/>
      <c r="M8" s="521"/>
      <c r="N8" s="523"/>
      <c r="O8" s="523"/>
      <c r="P8" s="523"/>
      <c r="Q8" s="523"/>
      <c r="R8" s="523"/>
      <c r="S8" s="523"/>
      <c r="T8" s="523"/>
      <c r="U8" s="523"/>
      <c r="V8" s="523"/>
      <c r="W8" s="523"/>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c r="EB8" s="511"/>
      <c r="EC8" s="511"/>
      <c r="ED8" s="511"/>
      <c r="EE8" s="511"/>
      <c r="EF8" s="511"/>
      <c r="EG8" s="511"/>
      <c r="EH8" s="511"/>
      <c r="EI8" s="511"/>
      <c r="EJ8" s="511"/>
      <c r="EK8" s="511"/>
      <c r="EL8" s="511"/>
      <c r="EM8" s="511"/>
      <c r="EN8" s="511"/>
      <c r="EO8" s="511"/>
      <c r="EP8" s="511"/>
      <c r="EQ8" s="511"/>
      <c r="ER8" s="511"/>
      <c r="ES8" s="511"/>
      <c r="ET8" s="511"/>
      <c r="EU8" s="511"/>
      <c r="EV8" s="511"/>
      <c r="EW8" s="511"/>
      <c r="EX8" s="511"/>
      <c r="EY8" s="511"/>
      <c r="EZ8" s="511"/>
      <c r="FA8" s="511"/>
      <c r="FB8" s="511"/>
      <c r="FC8" s="511"/>
      <c r="FD8" s="511"/>
      <c r="FE8" s="511"/>
      <c r="FF8" s="511"/>
      <c r="FG8" s="511"/>
      <c r="FH8" s="511"/>
      <c r="FI8" s="511"/>
      <c r="FJ8" s="511"/>
      <c r="FK8" s="511"/>
      <c r="FL8" s="511"/>
      <c r="FM8" s="511"/>
      <c r="FN8" s="511"/>
      <c r="FO8" s="511"/>
      <c r="FP8" s="511"/>
      <c r="FQ8" s="511"/>
      <c r="FR8" s="511"/>
      <c r="FS8" s="511"/>
      <c r="FT8" s="511"/>
      <c r="FU8" s="511"/>
      <c r="FV8" s="511"/>
      <c r="FW8" s="511"/>
      <c r="FX8" s="511"/>
      <c r="FY8" s="511"/>
      <c r="FZ8" s="511"/>
      <c r="GA8" s="511"/>
      <c r="GB8" s="511"/>
      <c r="GC8" s="511"/>
      <c r="GD8" s="511"/>
      <c r="GE8" s="511"/>
      <c r="GF8" s="511"/>
      <c r="GG8" s="511"/>
      <c r="GH8" s="511"/>
      <c r="GI8" s="511"/>
      <c r="GJ8" s="511"/>
      <c r="GK8" s="511"/>
      <c r="GL8" s="511"/>
      <c r="GM8" s="511"/>
      <c r="GN8" s="511"/>
      <c r="GO8" s="511"/>
      <c r="GP8" s="511"/>
      <c r="GQ8" s="511"/>
      <c r="GR8" s="511"/>
      <c r="GS8" s="511"/>
      <c r="GT8" s="511"/>
      <c r="GU8" s="511"/>
      <c r="GV8" s="511"/>
      <c r="GW8" s="511"/>
      <c r="GX8" s="511"/>
      <c r="GY8" s="511"/>
      <c r="GZ8" s="511"/>
      <c r="HA8" s="511"/>
      <c r="HB8" s="511"/>
      <c r="HC8" s="511"/>
      <c r="HD8" s="511"/>
      <c r="HE8" s="511"/>
      <c r="HF8" s="511"/>
      <c r="HG8" s="511"/>
      <c r="HH8" s="511"/>
      <c r="HI8" s="511"/>
      <c r="HJ8" s="511"/>
      <c r="HK8" s="511"/>
      <c r="HL8" s="511"/>
      <c r="HM8" s="511"/>
      <c r="HN8" s="511"/>
      <c r="HO8" s="511"/>
      <c r="HP8" s="511"/>
      <c r="HQ8" s="511"/>
      <c r="HR8" s="511"/>
      <c r="HS8" s="511"/>
      <c r="HT8" s="511"/>
      <c r="HU8" s="511"/>
      <c r="HV8" s="511"/>
      <c r="HW8" s="511"/>
      <c r="HX8" s="511"/>
      <c r="HY8" s="511"/>
      <c r="HZ8" s="511"/>
      <c r="IA8" s="511"/>
      <c r="IB8" s="511"/>
      <c r="IC8" s="511"/>
      <c r="ID8" s="511"/>
      <c r="IE8" s="511"/>
      <c r="IF8" s="511"/>
      <c r="IG8" s="511"/>
      <c r="IH8" s="511"/>
      <c r="II8" s="511"/>
      <c r="IJ8" s="511"/>
      <c r="IK8" s="511"/>
      <c r="IL8" s="511"/>
      <c r="IM8" s="511"/>
      <c r="IN8" s="511"/>
      <c r="IO8" s="511"/>
      <c r="IP8" s="511"/>
      <c r="IQ8" s="511"/>
      <c r="IR8" s="511"/>
      <c r="IS8" s="511"/>
      <c r="IT8" s="511"/>
      <c r="IU8" s="511"/>
      <c r="IV8" s="511"/>
      <c r="IW8" s="511"/>
    </row>
    <row r="9" customFormat="false" ht="42" hidden="false" customHeight="true" outlineLevel="0" collapsed="false">
      <c r="A9" s="519" t="s">
        <v>535</v>
      </c>
      <c r="B9" s="519"/>
      <c r="C9" s="524">
        <f aca="false">개요!D13</f>
      </c>
      <c r="D9" s="524"/>
      <c r="E9" s="524"/>
      <c r="F9" s="524"/>
      <c r="G9" s="524"/>
      <c r="H9" s="524"/>
      <c r="I9" s="524"/>
      <c r="J9" s="524"/>
      <c r="K9" s="521" t="s">
        <v>36</v>
      </c>
      <c r="L9" s="521"/>
      <c r="M9" s="521"/>
      <c r="N9" s="525"/>
      <c r="O9" s="525"/>
      <c r="P9" s="525"/>
      <c r="Q9" s="525"/>
      <c r="R9" s="525"/>
      <c r="S9" s="525"/>
      <c r="T9" s="525"/>
      <c r="U9" s="525"/>
      <c r="V9" s="525"/>
      <c r="W9" s="525"/>
      <c r="X9" s="511"/>
      <c r="Y9" s="511"/>
      <c r="Z9" s="511"/>
      <c r="AA9" s="511"/>
      <c r="AB9" s="511"/>
      <c r="AC9" s="511"/>
      <c r="AD9" s="511"/>
      <c r="AE9" s="511"/>
      <c r="AF9" s="511"/>
      <c r="AG9" s="511"/>
      <c r="AH9" s="511"/>
      <c r="AI9" s="511"/>
      <c r="AJ9" s="511"/>
      <c r="AK9" s="511"/>
      <c r="AL9" s="511"/>
      <c r="AM9" s="511"/>
      <c r="AN9" s="511"/>
      <c r="AO9" s="511"/>
      <c r="AP9" s="511"/>
      <c r="AQ9" s="511"/>
      <c r="AR9" s="511"/>
      <c r="AS9" s="511"/>
      <c r="AT9" s="511"/>
      <c r="AU9" s="511"/>
      <c r="AV9" s="511"/>
      <c r="AW9" s="511"/>
      <c r="AX9" s="511"/>
      <c r="AY9" s="511"/>
      <c r="AZ9" s="511"/>
      <c r="BA9" s="511"/>
      <c r="BB9" s="511"/>
      <c r="BC9" s="511"/>
      <c r="BD9" s="511"/>
      <c r="BE9" s="511"/>
      <c r="BF9" s="511"/>
      <c r="BG9" s="511"/>
      <c r="BH9" s="511"/>
      <c r="BI9" s="511"/>
      <c r="BJ9" s="511"/>
      <c r="BK9" s="511"/>
      <c r="BL9" s="511"/>
      <c r="BM9" s="511"/>
      <c r="BN9" s="511"/>
      <c r="BO9" s="511"/>
      <c r="BP9" s="511"/>
      <c r="BQ9" s="511"/>
      <c r="BR9" s="511"/>
      <c r="BS9" s="511"/>
      <c r="BT9" s="511"/>
      <c r="BU9" s="511"/>
      <c r="BV9" s="511"/>
      <c r="BW9" s="511"/>
      <c r="BX9" s="511"/>
      <c r="BY9" s="511"/>
      <c r="BZ9" s="511"/>
      <c r="CA9" s="511"/>
      <c r="CB9" s="511"/>
      <c r="CC9" s="511"/>
      <c r="CD9" s="511"/>
      <c r="CE9" s="511"/>
      <c r="CF9" s="511"/>
      <c r="CG9" s="511"/>
      <c r="CH9" s="511"/>
      <c r="CI9" s="511"/>
      <c r="CJ9" s="511"/>
      <c r="CK9" s="511"/>
      <c r="CL9" s="511"/>
      <c r="CM9" s="511"/>
      <c r="CN9" s="511"/>
      <c r="CO9" s="511"/>
      <c r="CP9" s="511"/>
      <c r="CQ9" s="511"/>
      <c r="CR9" s="511"/>
      <c r="CS9" s="511"/>
      <c r="CT9" s="511"/>
      <c r="CU9" s="511"/>
      <c r="CV9" s="511"/>
      <c r="CW9" s="511"/>
      <c r="CX9" s="511"/>
      <c r="CY9" s="511"/>
      <c r="CZ9" s="511"/>
      <c r="DA9" s="511"/>
      <c r="DB9" s="511"/>
      <c r="DC9" s="511"/>
      <c r="DD9" s="511"/>
      <c r="DE9" s="511"/>
      <c r="DF9" s="511"/>
      <c r="DG9" s="511"/>
      <c r="DH9" s="511"/>
      <c r="DI9" s="511"/>
      <c r="DJ9" s="511"/>
      <c r="DK9" s="511"/>
      <c r="DL9" s="511"/>
      <c r="DM9" s="511"/>
      <c r="DN9" s="511"/>
      <c r="DO9" s="511"/>
      <c r="DP9" s="511"/>
      <c r="DQ9" s="511"/>
      <c r="DR9" s="511"/>
      <c r="DS9" s="511"/>
      <c r="DT9" s="511"/>
      <c r="DU9" s="511"/>
      <c r="DV9" s="511"/>
      <c r="DW9" s="511"/>
      <c r="DX9" s="511"/>
      <c r="DY9" s="511"/>
      <c r="DZ9" s="511"/>
      <c r="EA9" s="511"/>
      <c r="EB9" s="511"/>
      <c r="EC9" s="511"/>
      <c r="ED9" s="511"/>
      <c r="EE9" s="511"/>
      <c r="EF9" s="511"/>
      <c r="EG9" s="511"/>
      <c r="EH9" s="511"/>
      <c r="EI9" s="511"/>
      <c r="EJ9" s="511"/>
      <c r="EK9" s="511"/>
      <c r="EL9" s="511"/>
      <c r="EM9" s="511"/>
      <c r="EN9" s="511"/>
      <c r="EO9" s="511"/>
      <c r="EP9" s="511"/>
      <c r="EQ9" s="511"/>
      <c r="ER9" s="511"/>
      <c r="ES9" s="511"/>
      <c r="ET9" s="511"/>
      <c r="EU9" s="511"/>
      <c r="EV9" s="511"/>
      <c r="EW9" s="511"/>
      <c r="EX9" s="511"/>
      <c r="EY9" s="511"/>
      <c r="EZ9" s="511"/>
      <c r="FA9" s="511"/>
      <c r="FB9" s="511"/>
      <c r="FC9" s="511"/>
      <c r="FD9" s="511"/>
      <c r="FE9" s="511"/>
      <c r="FF9" s="511"/>
      <c r="FG9" s="511"/>
      <c r="FH9" s="511"/>
      <c r="FI9" s="511"/>
      <c r="FJ9" s="511"/>
      <c r="FK9" s="511"/>
      <c r="FL9" s="511"/>
      <c r="FM9" s="511"/>
      <c r="FN9" s="511"/>
      <c r="FO9" s="511"/>
      <c r="FP9" s="511"/>
      <c r="FQ9" s="511"/>
      <c r="FR9" s="511"/>
      <c r="FS9" s="511"/>
      <c r="FT9" s="511"/>
      <c r="FU9" s="511"/>
      <c r="FV9" s="511"/>
      <c r="FW9" s="511"/>
      <c r="FX9" s="511"/>
      <c r="FY9" s="511"/>
      <c r="FZ9" s="511"/>
      <c r="GA9" s="511"/>
      <c r="GB9" s="511"/>
      <c r="GC9" s="511"/>
      <c r="GD9" s="511"/>
      <c r="GE9" s="511"/>
      <c r="GF9" s="511"/>
      <c r="GG9" s="511"/>
      <c r="GH9" s="511"/>
      <c r="GI9" s="511"/>
      <c r="GJ9" s="511"/>
      <c r="GK9" s="511"/>
      <c r="GL9" s="511"/>
      <c r="GM9" s="511"/>
      <c r="GN9" s="511"/>
      <c r="GO9" s="511"/>
      <c r="GP9" s="511"/>
      <c r="GQ9" s="511"/>
      <c r="GR9" s="511"/>
      <c r="GS9" s="511"/>
      <c r="GT9" s="511"/>
      <c r="GU9" s="511"/>
      <c r="GV9" s="511"/>
      <c r="GW9" s="511"/>
      <c r="GX9" s="511"/>
      <c r="GY9" s="511"/>
      <c r="GZ9" s="511"/>
      <c r="HA9" s="511"/>
      <c r="HB9" s="511"/>
      <c r="HC9" s="511"/>
      <c r="HD9" s="511"/>
      <c r="HE9" s="511"/>
      <c r="HF9" s="511"/>
      <c r="HG9" s="511"/>
      <c r="HH9" s="511"/>
      <c r="HI9" s="511"/>
      <c r="HJ9" s="511"/>
      <c r="HK9" s="511"/>
      <c r="HL9" s="511"/>
      <c r="HM9" s="511"/>
      <c r="HN9" s="511"/>
      <c r="HO9" s="511"/>
      <c r="HP9" s="511"/>
      <c r="HQ9" s="511"/>
      <c r="HR9" s="511"/>
      <c r="HS9" s="511"/>
      <c r="HT9" s="511"/>
      <c r="HU9" s="511"/>
      <c r="HV9" s="511"/>
      <c r="HW9" s="511"/>
      <c r="HX9" s="511"/>
      <c r="HY9" s="511"/>
      <c r="HZ9" s="511"/>
      <c r="IA9" s="511"/>
      <c r="IB9" s="511"/>
      <c r="IC9" s="511"/>
      <c r="ID9" s="511"/>
      <c r="IE9" s="511"/>
      <c r="IF9" s="511"/>
      <c r="IG9" s="511"/>
      <c r="IH9" s="511"/>
      <c r="II9" s="511"/>
      <c r="IJ9" s="511"/>
      <c r="IK9" s="511"/>
      <c r="IL9" s="511"/>
      <c r="IM9" s="511"/>
      <c r="IN9" s="511"/>
      <c r="IO9" s="511"/>
      <c r="IP9" s="511"/>
      <c r="IQ9" s="511"/>
      <c r="IR9" s="511"/>
      <c r="IS9" s="511"/>
      <c r="IT9" s="511"/>
      <c r="IU9" s="511"/>
      <c r="IV9" s="511"/>
      <c r="IW9" s="511"/>
    </row>
    <row r="10" customFormat="false" ht="42" hidden="false" customHeight="true" outlineLevel="0" collapsed="false">
      <c r="A10" s="526" t="s">
        <v>536</v>
      </c>
      <c r="B10" s="526"/>
      <c r="C10" s="527">
        <f aca="false">개요!E1</f>
      </c>
      <c r="D10" s="527"/>
      <c r="E10" s="527"/>
      <c r="F10" s="527"/>
      <c r="G10" s="527"/>
      <c r="H10" s="527"/>
      <c r="I10" s="527"/>
      <c r="J10" s="527"/>
      <c r="K10" s="527"/>
      <c r="L10" s="527"/>
      <c r="M10" s="527"/>
      <c r="N10" s="527"/>
      <c r="O10" s="527"/>
      <c r="P10" s="527"/>
      <c r="Q10" s="527"/>
      <c r="R10" s="528"/>
      <c r="S10" s="528" t="s">
        <v>537</v>
      </c>
      <c r="T10" s="529">
        <f aca="false">개요!F1</f>
      </c>
      <c r="U10" s="529"/>
      <c r="V10" s="529"/>
      <c r="W10" s="530"/>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1"/>
      <c r="BD10" s="511"/>
      <c r="BE10" s="511"/>
      <c r="BF10" s="511"/>
      <c r="BG10" s="511"/>
      <c r="BH10" s="511"/>
      <c r="BI10" s="511"/>
      <c r="BJ10" s="511"/>
      <c r="BK10" s="511"/>
      <c r="BL10" s="511"/>
      <c r="BM10" s="511"/>
      <c r="BN10" s="511"/>
      <c r="BO10" s="511"/>
      <c r="BP10" s="511"/>
      <c r="BQ10" s="511"/>
      <c r="BR10" s="511"/>
      <c r="BS10" s="511"/>
      <c r="BT10" s="511"/>
      <c r="BU10" s="511"/>
      <c r="BV10" s="511"/>
      <c r="BW10" s="511"/>
      <c r="BX10" s="511"/>
      <c r="BY10" s="511"/>
      <c r="BZ10" s="511"/>
      <c r="CA10" s="511"/>
      <c r="CB10" s="511"/>
      <c r="CC10" s="511"/>
      <c r="CD10" s="511"/>
      <c r="CE10" s="511"/>
      <c r="CF10" s="511"/>
      <c r="CG10" s="511"/>
      <c r="CH10" s="511"/>
      <c r="CI10" s="511"/>
      <c r="CJ10" s="511"/>
      <c r="CK10" s="511"/>
      <c r="CL10" s="511"/>
      <c r="CM10" s="511"/>
      <c r="CN10" s="511"/>
      <c r="CO10" s="511"/>
      <c r="CP10" s="511"/>
      <c r="CQ10" s="511"/>
      <c r="CR10" s="511"/>
      <c r="CS10" s="511"/>
      <c r="CT10" s="511"/>
      <c r="CU10" s="511"/>
      <c r="CV10" s="511"/>
      <c r="CW10" s="511"/>
      <c r="CX10" s="511"/>
      <c r="CY10" s="511"/>
      <c r="CZ10" s="511"/>
      <c r="DA10" s="511"/>
      <c r="DB10" s="511"/>
      <c r="DC10" s="511"/>
      <c r="DD10" s="511"/>
      <c r="DE10" s="511"/>
      <c r="DF10" s="511"/>
      <c r="DG10" s="511"/>
      <c r="DH10" s="511"/>
      <c r="DI10" s="511"/>
      <c r="DJ10" s="511"/>
      <c r="DK10" s="511"/>
      <c r="DL10" s="511"/>
      <c r="DM10" s="511"/>
      <c r="DN10" s="511"/>
      <c r="DO10" s="511"/>
      <c r="DP10" s="511"/>
      <c r="DQ10" s="511"/>
      <c r="DR10" s="511"/>
      <c r="DS10" s="511"/>
      <c r="DT10" s="511"/>
      <c r="DU10" s="511"/>
      <c r="DV10" s="511"/>
      <c r="DW10" s="511"/>
      <c r="DX10" s="511"/>
      <c r="DY10" s="511"/>
      <c r="DZ10" s="511"/>
      <c r="EA10" s="511"/>
      <c r="EB10" s="511"/>
      <c r="EC10" s="511"/>
      <c r="ED10" s="511"/>
      <c r="EE10" s="511"/>
      <c r="EF10" s="511"/>
      <c r="EG10" s="511"/>
      <c r="EH10" s="511"/>
      <c r="EI10" s="511"/>
      <c r="EJ10" s="511"/>
      <c r="EK10" s="511"/>
      <c r="EL10" s="511"/>
      <c r="EM10" s="511"/>
      <c r="EN10" s="511"/>
      <c r="EO10" s="511"/>
      <c r="EP10" s="511"/>
      <c r="EQ10" s="511"/>
      <c r="ER10" s="511"/>
      <c r="ES10" s="511"/>
      <c r="ET10" s="511"/>
      <c r="EU10" s="511"/>
      <c r="EV10" s="511"/>
      <c r="EW10" s="511"/>
      <c r="EX10" s="511"/>
      <c r="EY10" s="511"/>
      <c r="EZ10" s="511"/>
      <c r="FA10" s="511"/>
      <c r="FB10" s="511"/>
      <c r="FC10" s="511"/>
      <c r="FD10" s="511"/>
      <c r="FE10" s="511"/>
      <c r="FF10" s="511"/>
      <c r="FG10" s="511"/>
      <c r="FH10" s="511"/>
      <c r="FI10" s="511"/>
      <c r="FJ10" s="511"/>
      <c r="FK10" s="511"/>
      <c r="FL10" s="511"/>
      <c r="FM10" s="511"/>
      <c r="FN10" s="511"/>
      <c r="FO10" s="511"/>
      <c r="FP10" s="511"/>
      <c r="FQ10" s="511"/>
      <c r="FR10" s="511"/>
      <c r="FS10" s="511"/>
      <c r="FT10" s="511"/>
      <c r="FU10" s="511"/>
      <c r="FV10" s="511"/>
      <c r="FW10" s="511"/>
      <c r="FX10" s="511"/>
      <c r="FY10" s="511"/>
      <c r="FZ10" s="511"/>
      <c r="GA10" s="511"/>
      <c r="GB10" s="511"/>
      <c r="GC10" s="511"/>
      <c r="GD10" s="511"/>
      <c r="GE10" s="511"/>
      <c r="GF10" s="511"/>
      <c r="GG10" s="511"/>
      <c r="GH10" s="511"/>
      <c r="GI10" s="511"/>
      <c r="GJ10" s="511"/>
      <c r="GK10" s="511"/>
      <c r="GL10" s="511"/>
      <c r="GM10" s="511"/>
      <c r="GN10" s="511"/>
      <c r="GO10" s="511"/>
      <c r="GP10" s="511"/>
      <c r="GQ10" s="511"/>
      <c r="GR10" s="511"/>
      <c r="GS10" s="511"/>
      <c r="GT10" s="511"/>
      <c r="GU10" s="511"/>
      <c r="GV10" s="511"/>
      <c r="GW10" s="511"/>
      <c r="GX10" s="511"/>
      <c r="GY10" s="511"/>
      <c r="GZ10" s="511"/>
      <c r="HA10" s="511"/>
      <c r="HB10" s="511"/>
      <c r="HC10" s="511"/>
      <c r="HD10" s="511"/>
      <c r="HE10" s="511"/>
      <c r="HF10" s="511"/>
      <c r="HG10" s="511"/>
      <c r="HH10" s="511"/>
      <c r="HI10" s="511"/>
      <c r="HJ10" s="511"/>
      <c r="HK10" s="511"/>
      <c r="HL10" s="511"/>
      <c r="HM10" s="511"/>
      <c r="HN10" s="511"/>
      <c r="HO10" s="511"/>
      <c r="HP10" s="511"/>
      <c r="HQ10" s="511"/>
      <c r="HR10" s="511"/>
      <c r="HS10" s="511"/>
      <c r="HT10" s="511"/>
      <c r="HU10" s="511"/>
      <c r="HV10" s="511"/>
      <c r="HW10" s="511"/>
      <c r="HX10" s="511"/>
      <c r="HY10" s="511"/>
      <c r="HZ10" s="511"/>
      <c r="IA10" s="511"/>
      <c r="IB10" s="511"/>
      <c r="IC10" s="511"/>
      <c r="ID10" s="511"/>
      <c r="IE10" s="511"/>
      <c r="IF10" s="511"/>
      <c r="IG10" s="511"/>
      <c r="IH10" s="511"/>
      <c r="II10" s="511"/>
      <c r="IJ10" s="511"/>
      <c r="IK10" s="511"/>
      <c r="IL10" s="511"/>
      <c r="IM10" s="511"/>
      <c r="IN10" s="511"/>
      <c r="IO10" s="511"/>
      <c r="IP10" s="511"/>
      <c r="IQ10" s="511"/>
      <c r="IR10" s="511"/>
      <c r="IS10" s="511"/>
      <c r="IT10" s="511"/>
      <c r="IU10" s="511"/>
      <c r="IV10" s="511"/>
      <c r="IW10" s="511"/>
    </row>
    <row r="11" customFormat="false" ht="35.25" hidden="false" customHeight="true" outlineLevel="0" collapsed="false">
      <c r="A11" s="531" t="s">
        <v>538</v>
      </c>
      <c r="B11" s="531"/>
      <c r="C11" s="531"/>
      <c r="D11" s="531"/>
      <c r="E11" s="531"/>
      <c r="F11" s="531"/>
      <c r="G11" s="531"/>
      <c r="H11" s="531"/>
      <c r="I11" s="531"/>
      <c r="J11" s="531"/>
      <c r="K11" s="531"/>
      <c r="L11" s="531"/>
      <c r="M11" s="531"/>
      <c r="N11" s="531"/>
      <c r="O11" s="531"/>
      <c r="P11" s="531"/>
      <c r="Q11" s="531"/>
      <c r="R11" s="531"/>
      <c r="S11" s="531"/>
      <c r="T11" s="531"/>
      <c r="U11" s="531"/>
      <c r="V11" s="531"/>
      <c r="W11" s="53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1"/>
      <c r="BD11" s="511"/>
      <c r="BE11" s="511"/>
      <c r="BF11" s="511"/>
      <c r="BG11" s="511"/>
      <c r="BH11" s="511"/>
      <c r="BI11" s="511"/>
      <c r="BJ11" s="511"/>
      <c r="BK11" s="511"/>
      <c r="BL11" s="511"/>
      <c r="BM11" s="511"/>
      <c r="BN11" s="511"/>
      <c r="BO11" s="511"/>
      <c r="BP11" s="511"/>
      <c r="BQ11" s="511"/>
      <c r="BR11" s="511"/>
      <c r="BS11" s="511"/>
      <c r="BT11" s="511"/>
      <c r="BU11" s="511"/>
      <c r="BV11" s="511"/>
      <c r="BW11" s="511"/>
      <c r="BX11" s="511"/>
      <c r="BY11" s="511"/>
      <c r="BZ11" s="511"/>
      <c r="CA11" s="511"/>
      <c r="CB11" s="511"/>
      <c r="CC11" s="511"/>
      <c r="CD11" s="511"/>
      <c r="CE11" s="511"/>
      <c r="CF11" s="511"/>
      <c r="CG11" s="511"/>
      <c r="CH11" s="511"/>
      <c r="CI11" s="511"/>
      <c r="CJ11" s="511"/>
      <c r="CK11" s="511"/>
      <c r="CL11" s="511"/>
      <c r="CM11" s="511"/>
      <c r="CN11" s="511"/>
      <c r="CO11" s="511"/>
      <c r="CP11" s="511"/>
      <c r="CQ11" s="511"/>
      <c r="CR11" s="511"/>
      <c r="CS11" s="511"/>
      <c r="CT11" s="511"/>
      <c r="CU11" s="511"/>
      <c r="CV11" s="511"/>
      <c r="CW11" s="511"/>
      <c r="CX11" s="511"/>
      <c r="CY11" s="511"/>
      <c r="CZ11" s="511"/>
      <c r="DA11" s="511"/>
      <c r="DB11" s="511"/>
      <c r="DC11" s="511"/>
      <c r="DD11" s="511"/>
      <c r="DE11" s="511"/>
      <c r="DF11" s="511"/>
      <c r="DG11" s="511"/>
      <c r="DH11" s="511"/>
      <c r="DI11" s="511"/>
      <c r="DJ11" s="511"/>
      <c r="DK11" s="511"/>
      <c r="DL11" s="511"/>
      <c r="DM11" s="511"/>
      <c r="DN11" s="511"/>
      <c r="DO11" s="511"/>
      <c r="DP11" s="511"/>
      <c r="DQ11" s="511"/>
      <c r="DR11" s="511"/>
      <c r="DS11" s="511"/>
      <c r="DT11" s="511"/>
      <c r="DU11" s="511"/>
      <c r="DV11" s="511"/>
      <c r="DW11" s="511"/>
      <c r="DX11" s="511"/>
      <c r="DY11" s="511"/>
      <c r="DZ11" s="511"/>
      <c r="EA11" s="511"/>
      <c r="EB11" s="511"/>
      <c r="EC11" s="511"/>
      <c r="ED11" s="511"/>
      <c r="EE11" s="511"/>
      <c r="EF11" s="511"/>
      <c r="EG11" s="511"/>
      <c r="EH11" s="511"/>
      <c r="EI11" s="511"/>
      <c r="EJ11" s="511"/>
      <c r="EK11" s="511"/>
      <c r="EL11" s="511"/>
      <c r="EM11" s="511"/>
      <c r="EN11" s="511"/>
      <c r="EO11" s="511"/>
      <c r="EP11" s="511"/>
      <c r="EQ11" s="511"/>
      <c r="ER11" s="511"/>
      <c r="ES11" s="511"/>
      <c r="ET11" s="511"/>
      <c r="EU11" s="511"/>
      <c r="EV11" s="511"/>
      <c r="EW11" s="511"/>
      <c r="EX11" s="511"/>
      <c r="EY11" s="511"/>
      <c r="EZ11" s="511"/>
      <c r="FA11" s="511"/>
      <c r="FB11" s="511"/>
      <c r="FC11" s="511"/>
      <c r="FD11" s="511"/>
      <c r="FE11" s="511"/>
      <c r="FF11" s="511"/>
      <c r="FG11" s="511"/>
      <c r="FH11" s="511"/>
      <c r="FI11" s="511"/>
      <c r="FJ11" s="511"/>
      <c r="FK11" s="511"/>
      <c r="FL11" s="511"/>
      <c r="FM11" s="511"/>
      <c r="FN11" s="511"/>
      <c r="FO11" s="511"/>
      <c r="FP11" s="511"/>
      <c r="FQ11" s="511"/>
      <c r="FR11" s="511"/>
      <c r="FS11" s="511"/>
      <c r="FT11" s="511"/>
      <c r="FU11" s="511"/>
      <c r="FV11" s="511"/>
      <c r="FW11" s="511"/>
      <c r="FX11" s="511"/>
      <c r="FY11" s="511"/>
      <c r="FZ11" s="511"/>
      <c r="GA11" s="511"/>
      <c r="GB11" s="511"/>
      <c r="GC11" s="511"/>
      <c r="GD11" s="511"/>
      <c r="GE11" s="511"/>
      <c r="GF11" s="511"/>
      <c r="GG11" s="511"/>
      <c r="GH11" s="511"/>
      <c r="GI11" s="511"/>
      <c r="GJ11" s="511"/>
      <c r="GK11" s="511"/>
      <c r="GL11" s="511"/>
      <c r="GM11" s="511"/>
      <c r="GN11" s="511"/>
      <c r="GO11" s="511"/>
      <c r="GP11" s="511"/>
      <c r="GQ11" s="511"/>
      <c r="GR11" s="511"/>
      <c r="GS11" s="511"/>
      <c r="GT11" s="511"/>
      <c r="GU11" s="511"/>
      <c r="GV11" s="511"/>
      <c r="GW11" s="511"/>
      <c r="GX11" s="511"/>
      <c r="GY11" s="511"/>
      <c r="GZ11" s="511"/>
      <c r="HA11" s="511"/>
      <c r="HB11" s="511"/>
      <c r="HC11" s="511"/>
      <c r="HD11" s="511"/>
      <c r="HE11" s="511"/>
      <c r="HF11" s="511"/>
      <c r="HG11" s="511"/>
      <c r="HH11" s="511"/>
      <c r="HI11" s="511"/>
      <c r="HJ11" s="511"/>
      <c r="HK11" s="511"/>
      <c r="HL11" s="511"/>
      <c r="HM11" s="511"/>
      <c r="HN11" s="511"/>
      <c r="HO11" s="511"/>
      <c r="HP11" s="511"/>
      <c r="HQ11" s="511"/>
      <c r="HR11" s="511"/>
      <c r="HS11" s="511"/>
      <c r="HT11" s="511"/>
      <c r="HU11" s="511"/>
      <c r="HV11" s="511"/>
      <c r="HW11" s="511"/>
      <c r="HX11" s="511"/>
      <c r="HY11" s="511"/>
      <c r="HZ11" s="511"/>
      <c r="IA11" s="511"/>
      <c r="IB11" s="511"/>
      <c r="IC11" s="511"/>
      <c r="ID11" s="511"/>
      <c r="IE11" s="511"/>
      <c r="IF11" s="511"/>
      <c r="IG11" s="511"/>
      <c r="IH11" s="511"/>
      <c r="II11" s="511"/>
      <c r="IJ11" s="511"/>
      <c r="IK11" s="511"/>
      <c r="IL11" s="511"/>
      <c r="IM11" s="511"/>
      <c r="IN11" s="511"/>
      <c r="IO11" s="511"/>
      <c r="IP11" s="511"/>
      <c r="IQ11" s="511"/>
      <c r="IR11" s="511"/>
      <c r="IS11" s="511"/>
      <c r="IT11" s="511"/>
      <c r="IU11" s="511"/>
      <c r="IV11" s="511"/>
      <c r="IW11" s="511"/>
    </row>
    <row r="12" customFormat="false" ht="22.5" hidden="false" customHeight="true" outlineLevel="0" collapsed="false">
      <c r="A12" s="532" t="s">
        <v>539</v>
      </c>
      <c r="B12" s="532"/>
      <c r="C12" s="532"/>
      <c r="D12" s="532"/>
      <c r="E12" s="532"/>
      <c r="F12" s="532"/>
      <c r="G12" s="532"/>
      <c r="H12" s="532"/>
      <c r="I12" s="532"/>
      <c r="J12" s="532"/>
      <c r="K12" s="532"/>
      <c r="L12" s="532"/>
      <c r="M12" s="532"/>
      <c r="N12" s="532"/>
      <c r="O12" s="532"/>
      <c r="P12" s="532"/>
      <c r="Q12" s="532"/>
      <c r="R12" s="532"/>
      <c r="S12" s="532"/>
      <c r="T12" s="532"/>
      <c r="U12" s="532"/>
      <c r="V12" s="532"/>
      <c r="W12" s="532"/>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1"/>
      <c r="BD12" s="511"/>
      <c r="BE12" s="511"/>
      <c r="BF12" s="511"/>
      <c r="BG12" s="511"/>
      <c r="BH12" s="511"/>
      <c r="BI12" s="511"/>
      <c r="BJ12" s="511"/>
      <c r="BK12" s="511"/>
      <c r="BL12" s="511"/>
      <c r="BM12" s="511"/>
      <c r="BN12" s="511"/>
      <c r="BO12" s="511"/>
      <c r="BP12" s="511"/>
      <c r="BQ12" s="511"/>
      <c r="BR12" s="511"/>
      <c r="BS12" s="511"/>
      <c r="BT12" s="511"/>
      <c r="BU12" s="511"/>
      <c r="BV12" s="511"/>
      <c r="BW12" s="511"/>
      <c r="BX12" s="511"/>
      <c r="BY12" s="511"/>
      <c r="BZ12" s="511"/>
      <c r="CA12" s="511"/>
      <c r="CB12" s="511"/>
      <c r="CC12" s="511"/>
      <c r="CD12" s="511"/>
      <c r="CE12" s="511"/>
      <c r="CF12" s="511"/>
      <c r="CG12" s="511"/>
      <c r="CH12" s="511"/>
      <c r="CI12" s="511"/>
      <c r="CJ12" s="511"/>
      <c r="CK12" s="511"/>
      <c r="CL12" s="511"/>
      <c r="CM12" s="511"/>
      <c r="CN12" s="511"/>
      <c r="CO12" s="511"/>
      <c r="CP12" s="511"/>
      <c r="CQ12" s="511"/>
      <c r="CR12" s="511"/>
      <c r="CS12" s="511"/>
      <c r="CT12" s="511"/>
      <c r="CU12" s="511"/>
      <c r="CV12" s="511"/>
      <c r="CW12" s="511"/>
      <c r="CX12" s="511"/>
      <c r="CY12" s="511"/>
      <c r="CZ12" s="511"/>
      <c r="DA12" s="511"/>
      <c r="DB12" s="511"/>
      <c r="DC12" s="511"/>
      <c r="DD12" s="511"/>
      <c r="DE12" s="511"/>
      <c r="DF12" s="511"/>
      <c r="DG12" s="511"/>
      <c r="DH12" s="511"/>
      <c r="DI12" s="511"/>
      <c r="DJ12" s="511"/>
      <c r="DK12" s="511"/>
      <c r="DL12" s="511"/>
      <c r="DM12" s="511"/>
      <c r="DN12" s="511"/>
      <c r="DO12" s="511"/>
      <c r="DP12" s="511"/>
      <c r="DQ12" s="511"/>
      <c r="DR12" s="511"/>
      <c r="DS12" s="511"/>
      <c r="DT12" s="511"/>
      <c r="DU12" s="511"/>
      <c r="DV12" s="511"/>
      <c r="DW12" s="511"/>
      <c r="DX12" s="511"/>
      <c r="DY12" s="511"/>
      <c r="DZ12" s="511"/>
      <c r="EA12" s="511"/>
      <c r="EB12" s="511"/>
      <c r="EC12" s="511"/>
      <c r="ED12" s="511"/>
      <c r="EE12" s="511"/>
      <c r="EF12" s="511"/>
      <c r="EG12" s="511"/>
      <c r="EH12" s="511"/>
      <c r="EI12" s="511"/>
      <c r="EJ12" s="511"/>
      <c r="EK12" s="511"/>
      <c r="EL12" s="511"/>
      <c r="EM12" s="511"/>
      <c r="EN12" s="511"/>
      <c r="EO12" s="511"/>
      <c r="EP12" s="511"/>
      <c r="EQ12" s="511"/>
      <c r="ER12" s="511"/>
      <c r="ES12" s="511"/>
      <c r="ET12" s="511"/>
      <c r="EU12" s="511"/>
      <c r="EV12" s="511"/>
      <c r="EW12" s="511"/>
      <c r="EX12" s="511"/>
      <c r="EY12" s="511"/>
      <c r="EZ12" s="511"/>
      <c r="FA12" s="511"/>
      <c r="FB12" s="511"/>
      <c r="FC12" s="511"/>
      <c r="FD12" s="511"/>
      <c r="FE12" s="511"/>
      <c r="FF12" s="511"/>
      <c r="FG12" s="511"/>
      <c r="FH12" s="511"/>
      <c r="FI12" s="511"/>
      <c r="FJ12" s="511"/>
      <c r="FK12" s="511"/>
      <c r="FL12" s="511"/>
      <c r="FM12" s="511"/>
      <c r="FN12" s="511"/>
      <c r="FO12" s="511"/>
      <c r="FP12" s="511"/>
      <c r="FQ12" s="511"/>
      <c r="FR12" s="511"/>
      <c r="FS12" s="511"/>
      <c r="FT12" s="511"/>
      <c r="FU12" s="511"/>
      <c r="FV12" s="511"/>
      <c r="FW12" s="511"/>
      <c r="FX12" s="511"/>
      <c r="FY12" s="511"/>
      <c r="FZ12" s="511"/>
      <c r="GA12" s="511"/>
      <c r="GB12" s="511"/>
      <c r="GC12" s="511"/>
      <c r="GD12" s="511"/>
      <c r="GE12" s="511"/>
      <c r="GF12" s="511"/>
      <c r="GG12" s="511"/>
      <c r="GH12" s="511"/>
      <c r="GI12" s="511"/>
      <c r="GJ12" s="511"/>
      <c r="GK12" s="511"/>
      <c r="GL12" s="511"/>
      <c r="GM12" s="511"/>
      <c r="GN12" s="511"/>
      <c r="GO12" s="511"/>
      <c r="GP12" s="511"/>
      <c r="GQ12" s="511"/>
      <c r="GR12" s="511"/>
      <c r="GS12" s="511"/>
      <c r="GT12" s="511"/>
      <c r="GU12" s="511"/>
      <c r="GV12" s="511"/>
      <c r="GW12" s="511"/>
      <c r="GX12" s="511"/>
      <c r="GY12" s="511"/>
      <c r="GZ12" s="511"/>
      <c r="HA12" s="511"/>
      <c r="HB12" s="511"/>
      <c r="HC12" s="511"/>
      <c r="HD12" s="511"/>
      <c r="HE12" s="511"/>
      <c r="HF12" s="511"/>
      <c r="HG12" s="511"/>
      <c r="HH12" s="511"/>
      <c r="HI12" s="511"/>
      <c r="HJ12" s="511"/>
      <c r="HK12" s="511"/>
      <c r="HL12" s="511"/>
      <c r="HM12" s="511"/>
      <c r="HN12" s="511"/>
      <c r="HO12" s="511"/>
      <c r="HP12" s="511"/>
      <c r="HQ12" s="511"/>
      <c r="HR12" s="511"/>
      <c r="HS12" s="511"/>
      <c r="HT12" s="511"/>
      <c r="HU12" s="511"/>
      <c r="HV12" s="511"/>
      <c r="HW12" s="511"/>
      <c r="HX12" s="511"/>
      <c r="HY12" s="511"/>
      <c r="HZ12" s="511"/>
      <c r="IA12" s="511"/>
      <c r="IB12" s="511"/>
      <c r="IC12" s="511"/>
      <c r="ID12" s="511"/>
      <c r="IE12" s="511"/>
      <c r="IF12" s="511"/>
      <c r="IG12" s="511"/>
      <c r="IH12" s="511"/>
      <c r="II12" s="511"/>
      <c r="IJ12" s="511"/>
      <c r="IK12" s="511"/>
      <c r="IL12" s="511"/>
      <c r="IM12" s="511"/>
      <c r="IN12" s="511"/>
      <c r="IO12" s="511"/>
      <c r="IP12" s="511"/>
      <c r="IQ12" s="511"/>
      <c r="IR12" s="511"/>
      <c r="IS12" s="511"/>
      <c r="IT12" s="511"/>
      <c r="IU12" s="511"/>
      <c r="IV12" s="511"/>
      <c r="IW12" s="511"/>
    </row>
    <row r="13" customFormat="false" ht="22.5" hidden="false" customHeight="true" outlineLevel="0" collapsed="false">
      <c r="A13" s="533" t="s">
        <v>540</v>
      </c>
      <c r="B13" s="533"/>
      <c r="C13" s="533"/>
      <c r="D13" s="533"/>
      <c r="E13" s="533"/>
      <c r="F13" s="533"/>
      <c r="G13" s="533"/>
      <c r="H13" s="533"/>
      <c r="I13" s="533"/>
      <c r="J13" s="533"/>
      <c r="K13" s="533"/>
      <c r="L13" s="533"/>
      <c r="M13" s="533"/>
      <c r="N13" s="533"/>
      <c r="O13" s="533"/>
      <c r="P13" s="533"/>
      <c r="Q13" s="533"/>
      <c r="R13" s="533"/>
      <c r="S13" s="533"/>
      <c r="T13" s="533"/>
      <c r="U13" s="533"/>
      <c r="V13" s="533"/>
      <c r="W13" s="533"/>
      <c r="X13" s="511"/>
      <c r="Y13" s="511"/>
      <c r="Z13" s="511"/>
      <c r="AA13" s="511"/>
      <c r="AB13" s="511"/>
      <c r="AC13" s="511"/>
      <c r="AD13" s="511"/>
      <c r="AE13" s="511"/>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1"/>
      <c r="BD13" s="511"/>
      <c r="BE13" s="511"/>
      <c r="BF13" s="511"/>
      <c r="BG13" s="511"/>
      <c r="BH13" s="511"/>
      <c r="BI13" s="511"/>
      <c r="BJ13" s="511"/>
      <c r="BK13" s="511"/>
      <c r="BL13" s="511"/>
      <c r="BM13" s="511"/>
      <c r="BN13" s="511"/>
      <c r="BO13" s="511"/>
      <c r="BP13" s="511"/>
      <c r="BQ13" s="511"/>
      <c r="BR13" s="511"/>
      <c r="BS13" s="511"/>
      <c r="BT13" s="511"/>
      <c r="BU13" s="511"/>
      <c r="BV13" s="511"/>
      <c r="BW13" s="511"/>
      <c r="BX13" s="511"/>
      <c r="BY13" s="511"/>
      <c r="BZ13" s="511"/>
      <c r="CA13" s="511"/>
      <c r="CB13" s="511"/>
      <c r="CC13" s="511"/>
      <c r="CD13" s="511"/>
      <c r="CE13" s="511"/>
      <c r="CF13" s="511"/>
      <c r="CG13" s="511"/>
      <c r="CH13" s="511"/>
      <c r="CI13" s="511"/>
      <c r="CJ13" s="511"/>
      <c r="CK13" s="511"/>
      <c r="CL13" s="511"/>
      <c r="CM13" s="511"/>
      <c r="CN13" s="511"/>
      <c r="CO13" s="511"/>
      <c r="CP13" s="511"/>
      <c r="CQ13" s="511"/>
      <c r="CR13" s="511"/>
      <c r="CS13" s="511"/>
      <c r="CT13" s="511"/>
      <c r="CU13" s="511"/>
      <c r="CV13" s="511"/>
      <c r="CW13" s="511"/>
      <c r="CX13" s="511"/>
      <c r="CY13" s="511"/>
      <c r="CZ13" s="511"/>
      <c r="DA13" s="511"/>
      <c r="DB13" s="511"/>
      <c r="DC13" s="511"/>
      <c r="DD13" s="511"/>
      <c r="DE13" s="511"/>
      <c r="DF13" s="511"/>
      <c r="DG13" s="511"/>
      <c r="DH13" s="511"/>
      <c r="DI13" s="511"/>
      <c r="DJ13" s="511"/>
      <c r="DK13" s="511"/>
      <c r="DL13" s="511"/>
      <c r="DM13" s="511"/>
      <c r="DN13" s="511"/>
      <c r="DO13" s="511"/>
      <c r="DP13" s="511"/>
      <c r="DQ13" s="511"/>
      <c r="DR13" s="511"/>
      <c r="DS13" s="511"/>
      <c r="DT13" s="511"/>
      <c r="DU13" s="511"/>
      <c r="DV13" s="511"/>
      <c r="DW13" s="511"/>
      <c r="DX13" s="511"/>
      <c r="DY13" s="511"/>
      <c r="DZ13" s="511"/>
      <c r="EA13" s="511"/>
      <c r="EB13" s="511"/>
      <c r="EC13" s="511"/>
      <c r="ED13" s="511"/>
      <c r="EE13" s="511"/>
      <c r="EF13" s="511"/>
      <c r="EG13" s="511"/>
      <c r="EH13" s="511"/>
      <c r="EI13" s="511"/>
      <c r="EJ13" s="511"/>
      <c r="EK13" s="511"/>
      <c r="EL13" s="511"/>
      <c r="EM13" s="511"/>
      <c r="EN13" s="511"/>
      <c r="EO13" s="511"/>
      <c r="EP13" s="511"/>
      <c r="EQ13" s="511"/>
      <c r="ER13" s="511"/>
      <c r="ES13" s="511"/>
      <c r="ET13" s="511"/>
      <c r="EU13" s="511"/>
      <c r="EV13" s="511"/>
      <c r="EW13" s="511"/>
      <c r="EX13" s="511"/>
      <c r="EY13" s="511"/>
      <c r="EZ13" s="511"/>
      <c r="FA13" s="511"/>
      <c r="FB13" s="511"/>
      <c r="FC13" s="511"/>
      <c r="FD13" s="511"/>
      <c r="FE13" s="511"/>
      <c r="FF13" s="511"/>
      <c r="FG13" s="511"/>
      <c r="FH13" s="511"/>
      <c r="FI13" s="511"/>
      <c r="FJ13" s="511"/>
      <c r="FK13" s="511"/>
      <c r="FL13" s="511"/>
      <c r="FM13" s="511"/>
      <c r="FN13" s="511"/>
      <c r="FO13" s="511"/>
      <c r="FP13" s="511"/>
      <c r="FQ13" s="511"/>
      <c r="FR13" s="511"/>
      <c r="FS13" s="511"/>
      <c r="FT13" s="511"/>
      <c r="FU13" s="511"/>
      <c r="FV13" s="511"/>
      <c r="FW13" s="511"/>
      <c r="FX13" s="511"/>
      <c r="FY13" s="511"/>
      <c r="FZ13" s="511"/>
      <c r="GA13" s="511"/>
      <c r="GB13" s="511"/>
      <c r="GC13" s="511"/>
      <c r="GD13" s="511"/>
      <c r="GE13" s="511"/>
      <c r="GF13" s="511"/>
      <c r="GG13" s="511"/>
      <c r="GH13" s="511"/>
      <c r="GI13" s="511"/>
      <c r="GJ13" s="511"/>
      <c r="GK13" s="511"/>
      <c r="GL13" s="511"/>
      <c r="GM13" s="511"/>
      <c r="GN13" s="511"/>
      <c r="GO13" s="511"/>
      <c r="GP13" s="511"/>
      <c r="GQ13" s="511"/>
      <c r="GR13" s="511"/>
      <c r="GS13" s="511"/>
      <c r="GT13" s="511"/>
      <c r="GU13" s="511"/>
      <c r="GV13" s="511"/>
      <c r="GW13" s="511"/>
      <c r="GX13" s="511"/>
      <c r="GY13" s="511"/>
      <c r="GZ13" s="511"/>
      <c r="HA13" s="511"/>
      <c r="HB13" s="511"/>
      <c r="HC13" s="511"/>
      <c r="HD13" s="511"/>
      <c r="HE13" s="511"/>
      <c r="HF13" s="511"/>
      <c r="HG13" s="511"/>
      <c r="HH13" s="511"/>
      <c r="HI13" s="511"/>
      <c r="HJ13" s="511"/>
      <c r="HK13" s="511"/>
      <c r="HL13" s="511"/>
      <c r="HM13" s="511"/>
      <c r="HN13" s="511"/>
      <c r="HO13" s="511"/>
      <c r="HP13" s="511"/>
      <c r="HQ13" s="511"/>
      <c r="HR13" s="511"/>
      <c r="HS13" s="511"/>
      <c r="HT13" s="511"/>
      <c r="HU13" s="511"/>
      <c r="HV13" s="511"/>
      <c r="HW13" s="511"/>
      <c r="HX13" s="511"/>
      <c r="HY13" s="511"/>
      <c r="HZ13" s="511"/>
      <c r="IA13" s="511"/>
      <c r="IB13" s="511"/>
      <c r="IC13" s="511"/>
      <c r="ID13" s="511"/>
      <c r="IE13" s="511"/>
      <c r="IF13" s="511"/>
      <c r="IG13" s="511"/>
      <c r="IH13" s="511"/>
      <c r="II13" s="511"/>
      <c r="IJ13" s="511"/>
      <c r="IK13" s="511"/>
      <c r="IL13" s="511"/>
      <c r="IM13" s="511"/>
      <c r="IN13" s="511"/>
      <c r="IO13" s="511"/>
      <c r="IP13" s="511"/>
      <c r="IQ13" s="511"/>
      <c r="IR13" s="511"/>
      <c r="IS13" s="511"/>
      <c r="IT13" s="511"/>
      <c r="IU13" s="511"/>
      <c r="IV13" s="511"/>
      <c r="IW13" s="511"/>
    </row>
    <row r="14" customFormat="false" ht="22.5" hidden="false" customHeight="true" outlineLevel="0" collapsed="false">
      <c r="A14" s="534" t="s">
        <v>541</v>
      </c>
      <c r="B14" s="534"/>
      <c r="C14" s="534"/>
      <c r="D14" s="534"/>
      <c r="E14" s="534"/>
      <c r="F14" s="534"/>
      <c r="G14" s="534"/>
      <c r="H14" s="534"/>
      <c r="I14" s="534"/>
      <c r="J14" s="534"/>
      <c r="K14" s="534"/>
      <c r="L14" s="534"/>
      <c r="M14" s="534"/>
      <c r="N14" s="534"/>
      <c r="O14" s="534"/>
      <c r="P14" s="534"/>
      <c r="Q14" s="534"/>
      <c r="R14" s="534"/>
      <c r="S14" s="534"/>
      <c r="T14" s="534"/>
      <c r="U14" s="534"/>
      <c r="V14" s="534"/>
      <c r="W14" s="534"/>
      <c r="X14" s="511"/>
      <c r="Y14" s="511"/>
      <c r="Z14" s="511"/>
      <c r="AA14" s="511"/>
      <c r="AB14" s="511"/>
      <c r="AC14" s="511"/>
      <c r="AD14" s="511"/>
      <c r="AE14" s="511"/>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1"/>
      <c r="BD14" s="511"/>
      <c r="BE14" s="511"/>
      <c r="BF14" s="511"/>
      <c r="BG14" s="511"/>
      <c r="BH14" s="511"/>
      <c r="BI14" s="511"/>
      <c r="BJ14" s="511"/>
      <c r="BK14" s="511"/>
      <c r="BL14" s="511"/>
      <c r="BM14" s="511"/>
      <c r="BN14" s="511"/>
      <c r="BO14" s="511"/>
      <c r="BP14" s="511"/>
      <c r="BQ14" s="511"/>
      <c r="BR14" s="511"/>
      <c r="BS14" s="511"/>
      <c r="BT14" s="511"/>
      <c r="BU14" s="511"/>
      <c r="BV14" s="511"/>
      <c r="BW14" s="511"/>
      <c r="BX14" s="511"/>
      <c r="BY14" s="511"/>
      <c r="BZ14" s="511"/>
      <c r="CA14" s="511"/>
      <c r="CB14" s="511"/>
      <c r="CC14" s="511"/>
      <c r="CD14" s="511"/>
      <c r="CE14" s="511"/>
      <c r="CF14" s="511"/>
      <c r="CG14" s="511"/>
      <c r="CH14" s="511"/>
      <c r="CI14" s="511"/>
      <c r="CJ14" s="511"/>
      <c r="CK14" s="511"/>
      <c r="CL14" s="511"/>
      <c r="CM14" s="511"/>
      <c r="CN14" s="511"/>
      <c r="CO14" s="511"/>
      <c r="CP14" s="511"/>
      <c r="CQ14" s="511"/>
      <c r="CR14" s="511"/>
      <c r="CS14" s="511"/>
      <c r="CT14" s="511"/>
      <c r="CU14" s="511"/>
      <c r="CV14" s="511"/>
      <c r="CW14" s="511"/>
      <c r="CX14" s="511"/>
      <c r="CY14" s="511"/>
      <c r="CZ14" s="511"/>
      <c r="DA14" s="511"/>
      <c r="DB14" s="511"/>
      <c r="DC14" s="511"/>
      <c r="DD14" s="511"/>
      <c r="DE14" s="511"/>
      <c r="DF14" s="511"/>
      <c r="DG14" s="511"/>
      <c r="DH14" s="511"/>
      <c r="DI14" s="511"/>
      <c r="DJ14" s="511"/>
      <c r="DK14" s="511"/>
      <c r="DL14" s="511"/>
      <c r="DM14" s="511"/>
      <c r="DN14" s="511"/>
      <c r="DO14" s="511"/>
      <c r="DP14" s="511"/>
      <c r="DQ14" s="511"/>
      <c r="DR14" s="511"/>
      <c r="DS14" s="511"/>
      <c r="DT14" s="511"/>
      <c r="DU14" s="511"/>
      <c r="DV14" s="511"/>
      <c r="DW14" s="511"/>
      <c r="DX14" s="511"/>
      <c r="DY14" s="511"/>
      <c r="DZ14" s="511"/>
      <c r="EA14" s="511"/>
      <c r="EB14" s="511"/>
      <c r="EC14" s="511"/>
      <c r="ED14" s="511"/>
      <c r="EE14" s="511"/>
      <c r="EF14" s="511"/>
      <c r="EG14" s="511"/>
      <c r="EH14" s="511"/>
      <c r="EI14" s="511"/>
      <c r="EJ14" s="511"/>
      <c r="EK14" s="511"/>
      <c r="EL14" s="511"/>
      <c r="EM14" s="511"/>
      <c r="EN14" s="511"/>
      <c r="EO14" s="511"/>
      <c r="EP14" s="511"/>
      <c r="EQ14" s="511"/>
      <c r="ER14" s="511"/>
      <c r="ES14" s="511"/>
      <c r="ET14" s="511"/>
      <c r="EU14" s="511"/>
      <c r="EV14" s="511"/>
      <c r="EW14" s="511"/>
      <c r="EX14" s="511"/>
      <c r="EY14" s="511"/>
      <c r="EZ14" s="511"/>
      <c r="FA14" s="511"/>
      <c r="FB14" s="511"/>
      <c r="FC14" s="511"/>
      <c r="FD14" s="511"/>
      <c r="FE14" s="511"/>
      <c r="FF14" s="511"/>
      <c r="FG14" s="511"/>
      <c r="FH14" s="511"/>
      <c r="FI14" s="511"/>
      <c r="FJ14" s="511"/>
      <c r="FK14" s="511"/>
      <c r="FL14" s="511"/>
      <c r="FM14" s="511"/>
      <c r="FN14" s="511"/>
      <c r="FO14" s="511"/>
      <c r="FP14" s="511"/>
      <c r="FQ14" s="511"/>
      <c r="FR14" s="511"/>
      <c r="FS14" s="511"/>
      <c r="FT14" s="511"/>
      <c r="FU14" s="511"/>
      <c r="FV14" s="511"/>
      <c r="FW14" s="511"/>
      <c r="FX14" s="511"/>
      <c r="FY14" s="511"/>
      <c r="FZ14" s="511"/>
      <c r="GA14" s="511"/>
      <c r="GB14" s="511"/>
      <c r="GC14" s="511"/>
      <c r="GD14" s="511"/>
      <c r="GE14" s="511"/>
      <c r="GF14" s="511"/>
      <c r="GG14" s="511"/>
      <c r="GH14" s="511"/>
      <c r="GI14" s="511"/>
      <c r="GJ14" s="511"/>
      <c r="GK14" s="511"/>
      <c r="GL14" s="511"/>
      <c r="GM14" s="511"/>
      <c r="GN14" s="511"/>
      <c r="GO14" s="511"/>
      <c r="GP14" s="511"/>
      <c r="GQ14" s="511"/>
      <c r="GR14" s="511"/>
      <c r="GS14" s="511"/>
      <c r="GT14" s="511"/>
      <c r="GU14" s="511"/>
      <c r="GV14" s="511"/>
      <c r="GW14" s="511"/>
      <c r="GX14" s="511"/>
      <c r="GY14" s="511"/>
      <c r="GZ14" s="511"/>
      <c r="HA14" s="511"/>
      <c r="HB14" s="511"/>
      <c r="HC14" s="511"/>
      <c r="HD14" s="511"/>
      <c r="HE14" s="511"/>
      <c r="HF14" s="511"/>
      <c r="HG14" s="511"/>
      <c r="HH14" s="511"/>
      <c r="HI14" s="511"/>
      <c r="HJ14" s="511"/>
      <c r="HK14" s="511"/>
      <c r="HL14" s="511"/>
      <c r="HM14" s="511"/>
      <c r="HN14" s="511"/>
      <c r="HO14" s="511"/>
      <c r="HP14" s="511"/>
      <c r="HQ14" s="511"/>
      <c r="HR14" s="511"/>
      <c r="HS14" s="511"/>
      <c r="HT14" s="511"/>
      <c r="HU14" s="511"/>
      <c r="HV14" s="511"/>
      <c r="HW14" s="511"/>
      <c r="HX14" s="511"/>
      <c r="HY14" s="511"/>
      <c r="HZ14" s="511"/>
      <c r="IA14" s="511"/>
      <c r="IB14" s="511"/>
      <c r="IC14" s="511"/>
      <c r="ID14" s="511"/>
      <c r="IE14" s="511"/>
      <c r="IF14" s="511"/>
      <c r="IG14" s="511"/>
      <c r="IH14" s="511"/>
      <c r="II14" s="511"/>
      <c r="IJ14" s="511"/>
      <c r="IK14" s="511"/>
      <c r="IL14" s="511"/>
      <c r="IM14" s="511"/>
      <c r="IN14" s="511"/>
      <c r="IO14" s="511"/>
      <c r="IP14" s="511"/>
      <c r="IQ14" s="511"/>
      <c r="IR14" s="511"/>
      <c r="IS14" s="511"/>
      <c r="IT14" s="511"/>
      <c r="IU14" s="511"/>
      <c r="IV14" s="511"/>
      <c r="IW14" s="511"/>
    </row>
    <row r="15" customFormat="false" ht="24.75" hidden="false" customHeight="true" outlineLevel="0" collapsed="false">
      <c r="A15" s="535"/>
      <c r="B15" s="535"/>
      <c r="C15" s="535"/>
      <c r="D15" s="535"/>
      <c r="E15" s="535"/>
      <c r="F15" s="535"/>
      <c r="G15" s="535"/>
      <c r="H15" s="535"/>
      <c r="I15" s="535"/>
      <c r="J15" s="535"/>
      <c r="K15" s="535"/>
      <c r="L15" s="535"/>
      <c r="M15" s="535"/>
      <c r="N15" s="535"/>
      <c r="O15" s="535"/>
      <c r="P15" s="536">
        <f aca="false">개요!B10</f>
      </c>
      <c r="Q15" s="536"/>
      <c r="R15" s="536"/>
      <c r="S15" s="536"/>
      <c r="T15" s="536"/>
      <c r="U15" s="536"/>
      <c r="V15" s="536"/>
      <c r="W15" s="536"/>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1"/>
      <c r="BS15" s="511"/>
      <c r="BT15" s="511"/>
      <c r="BU15" s="511"/>
      <c r="BV15" s="511"/>
      <c r="BW15" s="511"/>
      <c r="BX15" s="511"/>
      <c r="BY15" s="511"/>
      <c r="BZ15" s="511"/>
      <c r="CA15" s="511"/>
      <c r="CB15" s="511"/>
      <c r="CC15" s="511"/>
      <c r="CD15" s="511"/>
      <c r="CE15" s="511"/>
      <c r="CF15" s="511"/>
      <c r="CG15" s="511"/>
      <c r="CH15" s="511"/>
      <c r="CI15" s="511"/>
      <c r="CJ15" s="511"/>
      <c r="CK15" s="511"/>
      <c r="CL15" s="511"/>
      <c r="CM15" s="511"/>
      <c r="CN15" s="511"/>
      <c r="CO15" s="511"/>
      <c r="CP15" s="511"/>
      <c r="CQ15" s="511"/>
      <c r="CR15" s="511"/>
      <c r="CS15" s="511"/>
      <c r="CT15" s="511"/>
      <c r="CU15" s="511"/>
      <c r="CV15" s="511"/>
      <c r="CW15" s="511"/>
      <c r="CX15" s="511"/>
      <c r="CY15" s="511"/>
      <c r="CZ15" s="511"/>
      <c r="DA15" s="511"/>
      <c r="DB15" s="511"/>
      <c r="DC15" s="511"/>
      <c r="DD15" s="511"/>
      <c r="DE15" s="511"/>
      <c r="DF15" s="511"/>
      <c r="DG15" s="511"/>
      <c r="DH15" s="511"/>
      <c r="DI15" s="511"/>
      <c r="DJ15" s="511"/>
      <c r="DK15" s="511"/>
      <c r="DL15" s="511"/>
      <c r="DM15" s="511"/>
      <c r="DN15" s="511"/>
      <c r="DO15" s="511"/>
      <c r="DP15" s="511"/>
      <c r="DQ15" s="511"/>
      <c r="DR15" s="511"/>
      <c r="DS15" s="511"/>
      <c r="DT15" s="511"/>
      <c r="DU15" s="511"/>
      <c r="DV15" s="511"/>
      <c r="DW15" s="511"/>
      <c r="DX15" s="511"/>
      <c r="DY15" s="511"/>
      <c r="DZ15" s="511"/>
      <c r="EA15" s="511"/>
      <c r="EB15" s="511"/>
      <c r="EC15" s="511"/>
      <c r="ED15" s="511"/>
      <c r="EE15" s="511"/>
      <c r="EF15" s="511"/>
      <c r="EG15" s="511"/>
      <c r="EH15" s="511"/>
      <c r="EI15" s="511"/>
      <c r="EJ15" s="511"/>
      <c r="EK15" s="511"/>
      <c r="EL15" s="511"/>
      <c r="EM15" s="511"/>
      <c r="EN15" s="511"/>
      <c r="EO15" s="511"/>
      <c r="EP15" s="511"/>
      <c r="EQ15" s="511"/>
      <c r="ER15" s="511"/>
      <c r="ES15" s="511"/>
      <c r="ET15" s="511"/>
      <c r="EU15" s="511"/>
      <c r="EV15" s="511"/>
      <c r="EW15" s="511"/>
      <c r="EX15" s="511"/>
      <c r="EY15" s="511"/>
      <c r="EZ15" s="511"/>
      <c r="FA15" s="511"/>
      <c r="FB15" s="511"/>
      <c r="FC15" s="511"/>
      <c r="FD15" s="511"/>
      <c r="FE15" s="511"/>
      <c r="FF15" s="511"/>
      <c r="FG15" s="511"/>
      <c r="FH15" s="511"/>
      <c r="FI15" s="511"/>
      <c r="FJ15" s="511"/>
      <c r="FK15" s="511"/>
      <c r="FL15" s="511"/>
      <c r="FM15" s="511"/>
      <c r="FN15" s="511"/>
      <c r="FO15" s="511"/>
      <c r="FP15" s="511"/>
      <c r="FQ15" s="511"/>
      <c r="FR15" s="511"/>
      <c r="FS15" s="511"/>
      <c r="FT15" s="511"/>
      <c r="FU15" s="511"/>
      <c r="FV15" s="511"/>
      <c r="FW15" s="511"/>
      <c r="FX15" s="511"/>
      <c r="FY15" s="511"/>
      <c r="FZ15" s="511"/>
      <c r="GA15" s="511"/>
      <c r="GB15" s="511"/>
      <c r="GC15" s="511"/>
      <c r="GD15" s="511"/>
      <c r="GE15" s="511"/>
      <c r="GF15" s="511"/>
      <c r="GG15" s="511"/>
      <c r="GH15" s="511"/>
      <c r="GI15" s="511"/>
      <c r="GJ15" s="511"/>
      <c r="GK15" s="511"/>
      <c r="GL15" s="511"/>
      <c r="GM15" s="511"/>
      <c r="GN15" s="511"/>
      <c r="GO15" s="511"/>
      <c r="GP15" s="511"/>
      <c r="GQ15" s="511"/>
      <c r="GR15" s="511"/>
      <c r="GS15" s="511"/>
      <c r="GT15" s="511"/>
      <c r="GU15" s="511"/>
      <c r="GV15" s="511"/>
      <c r="GW15" s="511"/>
      <c r="GX15" s="511"/>
      <c r="GY15" s="511"/>
      <c r="GZ15" s="511"/>
      <c r="HA15" s="511"/>
      <c r="HB15" s="511"/>
      <c r="HC15" s="511"/>
      <c r="HD15" s="511"/>
      <c r="HE15" s="511"/>
      <c r="HF15" s="511"/>
      <c r="HG15" s="511"/>
      <c r="HH15" s="511"/>
      <c r="HI15" s="511"/>
      <c r="HJ15" s="511"/>
      <c r="HK15" s="511"/>
      <c r="HL15" s="511"/>
      <c r="HM15" s="511"/>
      <c r="HN15" s="511"/>
      <c r="HO15" s="511"/>
      <c r="HP15" s="511"/>
      <c r="HQ15" s="511"/>
      <c r="HR15" s="511"/>
      <c r="HS15" s="511"/>
      <c r="HT15" s="511"/>
      <c r="HU15" s="511"/>
      <c r="HV15" s="511"/>
      <c r="HW15" s="511"/>
      <c r="HX15" s="511"/>
      <c r="HY15" s="511"/>
      <c r="HZ15" s="511"/>
      <c r="IA15" s="511"/>
      <c r="IB15" s="511"/>
      <c r="IC15" s="511"/>
      <c r="ID15" s="511"/>
      <c r="IE15" s="511"/>
      <c r="IF15" s="511"/>
      <c r="IG15" s="511"/>
      <c r="IH15" s="511"/>
      <c r="II15" s="511"/>
      <c r="IJ15" s="511"/>
      <c r="IK15" s="511"/>
      <c r="IL15" s="511"/>
      <c r="IM15" s="511"/>
      <c r="IN15" s="511"/>
      <c r="IO15" s="511"/>
      <c r="IP15" s="511"/>
      <c r="IQ15" s="511"/>
      <c r="IR15" s="511"/>
      <c r="IS15" s="511"/>
      <c r="IT15" s="511"/>
      <c r="IU15" s="511"/>
      <c r="IV15" s="511"/>
      <c r="IW15" s="511"/>
    </row>
    <row r="16" customFormat="false" ht="24.75" hidden="false" customHeight="true" outlineLevel="0" collapsed="false">
      <c r="A16" s="537"/>
      <c r="B16" s="537"/>
      <c r="C16" s="537"/>
      <c r="D16" s="537"/>
      <c r="E16" s="537"/>
      <c r="F16" s="537"/>
      <c r="G16" s="537"/>
      <c r="H16" s="537"/>
      <c r="I16" s="537"/>
      <c r="J16" s="537"/>
      <c r="K16" s="537"/>
      <c r="L16" s="537"/>
      <c r="M16" s="537"/>
      <c r="N16" s="537"/>
      <c r="O16" s="537"/>
      <c r="P16" s="537"/>
      <c r="Q16" s="537"/>
      <c r="R16" s="537"/>
      <c r="S16" s="537"/>
      <c r="T16" s="537"/>
      <c r="U16" s="537"/>
      <c r="V16" s="537"/>
      <c r="W16" s="537"/>
      <c r="X16" s="511"/>
      <c r="Y16" s="511"/>
      <c r="Z16" s="511"/>
      <c r="AA16" s="511"/>
      <c r="AB16" s="511"/>
      <c r="AC16" s="511"/>
      <c r="AD16" s="511"/>
      <c r="AE16" s="511"/>
      <c r="AF16" s="511"/>
      <c r="AG16" s="511"/>
      <c r="AH16" s="511"/>
      <c r="AI16" s="511"/>
      <c r="AJ16" s="511"/>
      <c r="AK16" s="511"/>
      <c r="AL16" s="511"/>
      <c r="AM16" s="511"/>
      <c r="AN16" s="511"/>
      <c r="AO16" s="511"/>
      <c r="AP16" s="511"/>
      <c r="AQ16" s="511"/>
      <c r="AR16" s="511"/>
      <c r="AS16" s="511"/>
      <c r="AT16" s="511"/>
      <c r="AU16" s="511"/>
      <c r="AV16" s="511"/>
      <c r="AW16" s="511"/>
      <c r="AX16" s="511"/>
      <c r="AY16" s="511"/>
      <c r="AZ16" s="511"/>
      <c r="BA16" s="511"/>
      <c r="BB16" s="511"/>
      <c r="BC16" s="511"/>
      <c r="BD16" s="511"/>
      <c r="BE16" s="511"/>
      <c r="BF16" s="511"/>
      <c r="BG16" s="511"/>
      <c r="BH16" s="511"/>
      <c r="BI16" s="511"/>
      <c r="BJ16" s="511"/>
      <c r="BK16" s="511"/>
      <c r="BL16" s="511"/>
      <c r="BM16" s="511"/>
      <c r="BN16" s="511"/>
      <c r="BO16" s="511"/>
      <c r="BP16" s="511"/>
      <c r="BQ16" s="511"/>
      <c r="BR16" s="511"/>
      <c r="BS16" s="511"/>
      <c r="BT16" s="511"/>
      <c r="BU16" s="511"/>
      <c r="BV16" s="511"/>
      <c r="BW16" s="511"/>
      <c r="BX16" s="511"/>
      <c r="BY16" s="511"/>
      <c r="BZ16" s="511"/>
      <c r="CA16" s="511"/>
      <c r="CB16" s="511"/>
      <c r="CC16" s="511"/>
      <c r="CD16" s="511"/>
      <c r="CE16" s="511"/>
      <c r="CF16" s="511"/>
      <c r="CG16" s="511"/>
      <c r="CH16" s="511"/>
      <c r="CI16" s="511"/>
      <c r="CJ16" s="511"/>
      <c r="CK16" s="511"/>
      <c r="CL16" s="511"/>
      <c r="CM16" s="511"/>
      <c r="CN16" s="511"/>
      <c r="CO16" s="511"/>
      <c r="CP16" s="511"/>
      <c r="CQ16" s="511"/>
      <c r="CR16" s="511"/>
      <c r="CS16" s="511"/>
      <c r="CT16" s="511"/>
      <c r="CU16" s="511"/>
      <c r="CV16" s="511"/>
      <c r="CW16" s="511"/>
      <c r="CX16" s="511"/>
      <c r="CY16" s="511"/>
      <c r="CZ16" s="511"/>
      <c r="DA16" s="511"/>
      <c r="DB16" s="511"/>
      <c r="DC16" s="511"/>
      <c r="DD16" s="511"/>
      <c r="DE16" s="511"/>
      <c r="DF16" s="511"/>
      <c r="DG16" s="511"/>
      <c r="DH16" s="511"/>
      <c r="DI16" s="511"/>
      <c r="DJ16" s="511"/>
      <c r="DK16" s="511"/>
      <c r="DL16" s="511"/>
      <c r="DM16" s="511"/>
      <c r="DN16" s="511"/>
      <c r="DO16" s="511"/>
      <c r="DP16" s="511"/>
      <c r="DQ16" s="511"/>
      <c r="DR16" s="511"/>
      <c r="DS16" s="511"/>
      <c r="DT16" s="511"/>
      <c r="DU16" s="511"/>
      <c r="DV16" s="511"/>
      <c r="DW16" s="511"/>
      <c r="DX16" s="511"/>
      <c r="DY16" s="511"/>
      <c r="DZ16" s="511"/>
      <c r="EA16" s="511"/>
      <c r="EB16" s="511"/>
      <c r="EC16" s="511"/>
      <c r="ED16" s="511"/>
      <c r="EE16" s="511"/>
      <c r="EF16" s="511"/>
      <c r="EG16" s="511"/>
      <c r="EH16" s="511"/>
      <c r="EI16" s="511"/>
      <c r="EJ16" s="511"/>
      <c r="EK16" s="511"/>
      <c r="EL16" s="511"/>
      <c r="EM16" s="511"/>
      <c r="EN16" s="511"/>
      <c r="EO16" s="511"/>
      <c r="EP16" s="511"/>
      <c r="EQ16" s="511"/>
      <c r="ER16" s="511"/>
      <c r="ES16" s="511"/>
      <c r="ET16" s="511"/>
      <c r="EU16" s="511"/>
      <c r="EV16" s="511"/>
      <c r="EW16" s="511"/>
      <c r="EX16" s="511"/>
      <c r="EY16" s="511"/>
      <c r="EZ16" s="511"/>
      <c r="FA16" s="511"/>
      <c r="FB16" s="511"/>
      <c r="FC16" s="511"/>
      <c r="FD16" s="511"/>
      <c r="FE16" s="511"/>
      <c r="FF16" s="511"/>
      <c r="FG16" s="511"/>
      <c r="FH16" s="511"/>
      <c r="FI16" s="511"/>
      <c r="FJ16" s="511"/>
      <c r="FK16" s="511"/>
      <c r="FL16" s="511"/>
      <c r="FM16" s="511"/>
      <c r="FN16" s="511"/>
      <c r="FO16" s="511"/>
      <c r="FP16" s="511"/>
      <c r="FQ16" s="511"/>
      <c r="FR16" s="511"/>
      <c r="FS16" s="511"/>
      <c r="FT16" s="511"/>
      <c r="FU16" s="511"/>
      <c r="FV16" s="511"/>
      <c r="FW16" s="511"/>
      <c r="FX16" s="511"/>
      <c r="FY16" s="511"/>
      <c r="FZ16" s="511"/>
      <c r="GA16" s="511"/>
      <c r="GB16" s="511"/>
      <c r="GC16" s="511"/>
      <c r="GD16" s="511"/>
      <c r="GE16" s="511"/>
      <c r="GF16" s="511"/>
      <c r="GG16" s="511"/>
      <c r="GH16" s="511"/>
      <c r="GI16" s="511"/>
      <c r="GJ16" s="511"/>
      <c r="GK16" s="511"/>
      <c r="GL16" s="511"/>
      <c r="GM16" s="511"/>
      <c r="GN16" s="511"/>
      <c r="GO16" s="511"/>
      <c r="GP16" s="511"/>
      <c r="GQ16" s="511"/>
      <c r="GR16" s="511"/>
      <c r="GS16" s="511"/>
      <c r="GT16" s="511"/>
      <c r="GU16" s="511"/>
      <c r="GV16" s="511"/>
      <c r="GW16" s="511"/>
      <c r="GX16" s="511"/>
      <c r="GY16" s="511"/>
      <c r="GZ16" s="511"/>
      <c r="HA16" s="511"/>
      <c r="HB16" s="511"/>
      <c r="HC16" s="511"/>
      <c r="HD16" s="511"/>
      <c r="HE16" s="511"/>
      <c r="HF16" s="511"/>
      <c r="HG16" s="511"/>
      <c r="HH16" s="511"/>
      <c r="HI16" s="511"/>
      <c r="HJ16" s="511"/>
      <c r="HK16" s="511"/>
      <c r="HL16" s="511"/>
      <c r="HM16" s="511"/>
      <c r="HN16" s="511"/>
      <c r="HO16" s="511"/>
      <c r="HP16" s="511"/>
      <c r="HQ16" s="511"/>
      <c r="HR16" s="511"/>
      <c r="HS16" s="511"/>
      <c r="HT16" s="511"/>
      <c r="HU16" s="511"/>
      <c r="HV16" s="511"/>
      <c r="HW16" s="511"/>
      <c r="HX16" s="511"/>
      <c r="HY16" s="511"/>
      <c r="HZ16" s="511"/>
      <c r="IA16" s="511"/>
      <c r="IB16" s="511"/>
      <c r="IC16" s="511"/>
      <c r="ID16" s="511"/>
      <c r="IE16" s="511"/>
      <c r="IF16" s="511"/>
      <c r="IG16" s="511"/>
      <c r="IH16" s="511"/>
      <c r="II16" s="511"/>
      <c r="IJ16" s="511"/>
      <c r="IK16" s="511"/>
      <c r="IL16" s="511"/>
      <c r="IM16" s="511"/>
      <c r="IN16" s="511"/>
      <c r="IO16" s="511"/>
      <c r="IP16" s="511"/>
      <c r="IQ16" s="511"/>
      <c r="IR16" s="511"/>
      <c r="IS16" s="511"/>
      <c r="IT16" s="511"/>
      <c r="IU16" s="511"/>
      <c r="IV16" s="511"/>
      <c r="IW16" s="511"/>
    </row>
    <row r="17" customFormat="false" ht="30.75" hidden="false" customHeight="true" outlineLevel="0" collapsed="false">
      <c r="A17" s="538"/>
      <c r="B17" s="538"/>
      <c r="C17" s="538"/>
      <c r="D17" s="538"/>
      <c r="E17" s="538"/>
      <c r="F17" s="538"/>
      <c r="G17" s="538"/>
      <c r="H17" s="538"/>
      <c r="I17" s="538"/>
      <c r="J17" s="538"/>
      <c r="K17" s="538"/>
      <c r="L17" s="539" t="s">
        <v>27</v>
      </c>
      <c r="M17" s="539"/>
      <c r="N17" s="539"/>
      <c r="O17" s="540">
        <f aca="false">개요!D10</f>
      </c>
      <c r="P17" s="540"/>
      <c r="Q17" s="540"/>
      <c r="R17" s="540"/>
      <c r="S17" s="540"/>
      <c r="T17" s="541" t="s">
        <v>83</v>
      </c>
      <c r="U17" s="541"/>
      <c r="V17" s="541"/>
      <c r="W17" s="541"/>
      <c r="X17" s="511"/>
      <c r="Y17" s="511"/>
      <c r="Z17" s="511"/>
      <c r="AA17" s="511"/>
      <c r="AB17" s="511"/>
      <c r="AC17" s="511"/>
      <c r="AD17" s="511"/>
      <c r="AE17" s="511"/>
      <c r="AF17" s="511"/>
      <c r="AG17" s="511"/>
      <c r="AH17" s="511"/>
      <c r="AI17" s="511"/>
      <c r="AJ17" s="511"/>
      <c r="AK17" s="511"/>
      <c r="AL17" s="511"/>
      <c r="AM17" s="511"/>
      <c r="AN17" s="511"/>
      <c r="AO17" s="511"/>
      <c r="AP17" s="511"/>
      <c r="AQ17" s="511"/>
      <c r="AR17" s="511"/>
      <c r="AS17" s="511"/>
      <c r="AT17" s="511"/>
      <c r="AU17" s="511"/>
      <c r="AV17" s="511"/>
      <c r="AW17" s="511"/>
      <c r="AX17" s="511"/>
      <c r="AY17" s="511"/>
      <c r="AZ17" s="511"/>
      <c r="BA17" s="511"/>
      <c r="BB17" s="511"/>
      <c r="BC17" s="511"/>
      <c r="BD17" s="511"/>
      <c r="BE17" s="511"/>
      <c r="BF17" s="511"/>
      <c r="BG17" s="511"/>
      <c r="BH17" s="511"/>
      <c r="BI17" s="511"/>
      <c r="BJ17" s="511"/>
      <c r="BK17" s="511"/>
      <c r="BL17" s="511"/>
      <c r="BM17" s="511"/>
      <c r="BN17" s="511"/>
      <c r="BO17" s="511"/>
      <c r="BP17" s="511"/>
      <c r="BQ17" s="511"/>
      <c r="BR17" s="511"/>
      <c r="BS17" s="511"/>
      <c r="BT17" s="511"/>
      <c r="BU17" s="511"/>
      <c r="BV17" s="511"/>
      <c r="BW17" s="511"/>
      <c r="BX17" s="511"/>
      <c r="BY17" s="511"/>
      <c r="BZ17" s="511"/>
      <c r="CA17" s="511"/>
      <c r="CB17" s="511"/>
      <c r="CC17" s="511"/>
      <c r="CD17" s="511"/>
      <c r="CE17" s="511"/>
      <c r="CF17" s="511"/>
      <c r="CG17" s="511"/>
      <c r="CH17" s="511"/>
      <c r="CI17" s="511"/>
      <c r="CJ17" s="511"/>
      <c r="CK17" s="511"/>
      <c r="CL17" s="511"/>
      <c r="CM17" s="511"/>
      <c r="CN17" s="511"/>
      <c r="CO17" s="511"/>
      <c r="CP17" s="511"/>
      <c r="CQ17" s="511"/>
      <c r="CR17" s="511"/>
      <c r="CS17" s="511"/>
      <c r="CT17" s="511"/>
      <c r="CU17" s="511"/>
      <c r="CV17" s="511"/>
      <c r="CW17" s="511"/>
      <c r="CX17" s="511"/>
      <c r="CY17" s="511"/>
      <c r="CZ17" s="511"/>
      <c r="DA17" s="511"/>
      <c r="DB17" s="511"/>
      <c r="DC17" s="511"/>
      <c r="DD17" s="511"/>
      <c r="DE17" s="511"/>
      <c r="DF17" s="511"/>
      <c r="DG17" s="511"/>
      <c r="DH17" s="511"/>
      <c r="DI17" s="511"/>
      <c r="DJ17" s="511"/>
      <c r="DK17" s="511"/>
      <c r="DL17" s="511"/>
      <c r="DM17" s="511"/>
      <c r="DN17" s="511"/>
      <c r="DO17" s="511"/>
      <c r="DP17" s="511"/>
      <c r="DQ17" s="511"/>
      <c r="DR17" s="511"/>
      <c r="DS17" s="511"/>
      <c r="DT17" s="511"/>
      <c r="DU17" s="511"/>
      <c r="DV17" s="511"/>
      <c r="DW17" s="511"/>
      <c r="DX17" s="511"/>
      <c r="DY17" s="511"/>
      <c r="DZ17" s="511"/>
      <c r="EA17" s="511"/>
      <c r="EB17" s="511"/>
      <c r="EC17" s="511"/>
      <c r="ED17" s="511"/>
      <c r="EE17" s="511"/>
      <c r="EF17" s="511"/>
      <c r="EG17" s="511"/>
      <c r="EH17" s="511"/>
      <c r="EI17" s="511"/>
      <c r="EJ17" s="511"/>
      <c r="EK17" s="511"/>
      <c r="EL17" s="511"/>
      <c r="EM17" s="511"/>
      <c r="EN17" s="511"/>
      <c r="EO17" s="511"/>
      <c r="EP17" s="511"/>
      <c r="EQ17" s="511"/>
      <c r="ER17" s="511"/>
      <c r="ES17" s="511"/>
      <c r="ET17" s="511"/>
      <c r="EU17" s="511"/>
      <c r="EV17" s="511"/>
      <c r="EW17" s="511"/>
      <c r="EX17" s="511"/>
      <c r="EY17" s="511"/>
      <c r="EZ17" s="511"/>
      <c r="FA17" s="511"/>
      <c r="FB17" s="511"/>
      <c r="FC17" s="511"/>
      <c r="FD17" s="511"/>
      <c r="FE17" s="511"/>
      <c r="FF17" s="511"/>
      <c r="FG17" s="511"/>
      <c r="FH17" s="511"/>
      <c r="FI17" s="511"/>
      <c r="FJ17" s="511"/>
      <c r="FK17" s="511"/>
      <c r="FL17" s="511"/>
      <c r="FM17" s="511"/>
      <c r="FN17" s="511"/>
      <c r="FO17" s="511"/>
      <c r="FP17" s="511"/>
      <c r="FQ17" s="511"/>
      <c r="FR17" s="511"/>
      <c r="FS17" s="511"/>
      <c r="FT17" s="511"/>
      <c r="FU17" s="511"/>
      <c r="FV17" s="511"/>
      <c r="FW17" s="511"/>
      <c r="FX17" s="511"/>
      <c r="FY17" s="511"/>
      <c r="FZ17" s="511"/>
      <c r="GA17" s="511"/>
      <c r="GB17" s="511"/>
      <c r="GC17" s="511"/>
      <c r="GD17" s="511"/>
      <c r="GE17" s="511"/>
      <c r="GF17" s="511"/>
      <c r="GG17" s="511"/>
      <c r="GH17" s="511"/>
      <c r="GI17" s="511"/>
      <c r="GJ17" s="511"/>
      <c r="GK17" s="511"/>
      <c r="GL17" s="511"/>
      <c r="GM17" s="511"/>
      <c r="GN17" s="511"/>
      <c r="GO17" s="511"/>
      <c r="GP17" s="511"/>
      <c r="GQ17" s="511"/>
      <c r="GR17" s="511"/>
      <c r="GS17" s="511"/>
      <c r="GT17" s="511"/>
      <c r="GU17" s="511"/>
      <c r="GV17" s="511"/>
      <c r="GW17" s="511"/>
      <c r="GX17" s="511"/>
      <c r="GY17" s="511"/>
      <c r="GZ17" s="511"/>
      <c r="HA17" s="511"/>
      <c r="HB17" s="511"/>
      <c r="HC17" s="511"/>
      <c r="HD17" s="511"/>
      <c r="HE17" s="511"/>
      <c r="HF17" s="511"/>
      <c r="HG17" s="511"/>
      <c r="HH17" s="511"/>
      <c r="HI17" s="511"/>
      <c r="HJ17" s="511"/>
      <c r="HK17" s="511"/>
      <c r="HL17" s="511"/>
      <c r="HM17" s="511"/>
      <c r="HN17" s="511"/>
      <c r="HO17" s="511"/>
      <c r="HP17" s="511"/>
      <c r="HQ17" s="511"/>
      <c r="HR17" s="511"/>
      <c r="HS17" s="511"/>
      <c r="HT17" s="511"/>
      <c r="HU17" s="511"/>
      <c r="HV17" s="511"/>
      <c r="HW17" s="511"/>
      <c r="HX17" s="511"/>
      <c r="HY17" s="511"/>
      <c r="HZ17" s="511"/>
      <c r="IA17" s="511"/>
      <c r="IB17" s="511"/>
      <c r="IC17" s="511"/>
      <c r="ID17" s="511"/>
      <c r="IE17" s="511"/>
      <c r="IF17" s="511"/>
      <c r="IG17" s="511"/>
      <c r="IH17" s="511"/>
      <c r="II17" s="511"/>
      <c r="IJ17" s="511"/>
      <c r="IK17" s="511"/>
      <c r="IL17" s="511"/>
      <c r="IM17" s="511"/>
      <c r="IN17" s="511"/>
      <c r="IO17" s="511"/>
      <c r="IP17" s="511"/>
      <c r="IQ17" s="511"/>
      <c r="IR17" s="511"/>
      <c r="IS17" s="511"/>
      <c r="IT17" s="511"/>
      <c r="IU17" s="511"/>
      <c r="IV17" s="511"/>
      <c r="IW17" s="511"/>
    </row>
    <row r="18" customFormat="false" ht="24.75" hidden="false" customHeight="true" outlineLevel="0" collapsed="false">
      <c r="A18" s="542"/>
      <c r="B18" s="542"/>
      <c r="C18" s="542"/>
      <c r="D18" s="542"/>
      <c r="E18" s="542"/>
      <c r="F18" s="542"/>
      <c r="G18" s="542"/>
      <c r="H18" s="542"/>
      <c r="I18" s="542"/>
      <c r="J18" s="542"/>
      <c r="K18" s="542"/>
      <c r="L18" s="542"/>
      <c r="M18" s="542"/>
      <c r="N18" s="542"/>
      <c r="O18" s="542"/>
      <c r="P18" s="542"/>
      <c r="Q18" s="542"/>
      <c r="R18" s="542"/>
      <c r="S18" s="542"/>
      <c r="T18" s="542"/>
      <c r="U18" s="542"/>
      <c r="V18" s="542"/>
      <c r="W18" s="542"/>
      <c r="X18" s="511"/>
      <c r="Y18" s="511"/>
      <c r="Z18" s="511"/>
      <c r="AA18" s="511"/>
      <c r="AB18" s="511"/>
      <c r="AC18" s="511"/>
      <c r="AD18" s="511"/>
      <c r="AE18" s="511"/>
      <c r="AF18" s="511"/>
      <c r="AG18" s="511"/>
      <c r="AH18" s="511"/>
      <c r="AI18" s="511"/>
      <c r="AJ18" s="511"/>
      <c r="AK18" s="511"/>
      <c r="AL18" s="511"/>
      <c r="AM18" s="511"/>
      <c r="AN18" s="511"/>
      <c r="AO18" s="511"/>
      <c r="AP18" s="511"/>
      <c r="AQ18" s="511"/>
      <c r="AR18" s="511"/>
      <c r="AS18" s="511"/>
      <c r="AT18" s="511"/>
      <c r="AU18" s="511"/>
      <c r="AV18" s="511"/>
      <c r="AW18" s="511"/>
      <c r="AX18" s="511"/>
      <c r="AY18" s="511"/>
      <c r="AZ18" s="511"/>
      <c r="BA18" s="511"/>
      <c r="BB18" s="511"/>
      <c r="BC18" s="511"/>
      <c r="BD18" s="511"/>
      <c r="BE18" s="511"/>
      <c r="BF18" s="511"/>
      <c r="BG18" s="511"/>
      <c r="BH18" s="511"/>
      <c r="BI18" s="511"/>
      <c r="BJ18" s="511"/>
      <c r="BK18" s="511"/>
      <c r="BL18" s="511"/>
      <c r="BM18" s="511"/>
      <c r="BN18" s="511"/>
      <c r="BO18" s="511"/>
      <c r="BP18" s="511"/>
      <c r="BQ18" s="511"/>
      <c r="BR18" s="511"/>
      <c r="BS18" s="511"/>
      <c r="BT18" s="511"/>
      <c r="BU18" s="511"/>
      <c r="BV18" s="511"/>
      <c r="BW18" s="511"/>
      <c r="BX18" s="511"/>
      <c r="BY18" s="511"/>
      <c r="BZ18" s="511"/>
      <c r="CA18" s="511"/>
      <c r="CB18" s="511"/>
      <c r="CC18" s="511"/>
      <c r="CD18" s="511"/>
      <c r="CE18" s="511"/>
      <c r="CF18" s="511"/>
      <c r="CG18" s="511"/>
      <c r="CH18" s="511"/>
      <c r="CI18" s="511"/>
      <c r="CJ18" s="511"/>
      <c r="CK18" s="511"/>
      <c r="CL18" s="511"/>
      <c r="CM18" s="511"/>
      <c r="CN18" s="511"/>
      <c r="CO18" s="511"/>
      <c r="CP18" s="511"/>
      <c r="CQ18" s="511"/>
      <c r="CR18" s="511"/>
      <c r="CS18" s="511"/>
      <c r="CT18" s="511"/>
      <c r="CU18" s="511"/>
      <c r="CV18" s="511"/>
      <c r="CW18" s="511"/>
      <c r="CX18" s="511"/>
      <c r="CY18" s="511"/>
      <c r="CZ18" s="511"/>
      <c r="DA18" s="511"/>
      <c r="DB18" s="511"/>
      <c r="DC18" s="511"/>
      <c r="DD18" s="511"/>
      <c r="DE18" s="511"/>
      <c r="DF18" s="511"/>
      <c r="DG18" s="511"/>
      <c r="DH18" s="511"/>
      <c r="DI18" s="511"/>
      <c r="DJ18" s="511"/>
      <c r="DK18" s="511"/>
      <c r="DL18" s="511"/>
      <c r="DM18" s="511"/>
      <c r="DN18" s="511"/>
      <c r="DO18" s="511"/>
      <c r="DP18" s="511"/>
      <c r="DQ18" s="511"/>
      <c r="DR18" s="511"/>
      <c r="DS18" s="511"/>
      <c r="DT18" s="511"/>
      <c r="DU18" s="511"/>
      <c r="DV18" s="511"/>
      <c r="DW18" s="511"/>
      <c r="DX18" s="511"/>
      <c r="DY18" s="511"/>
      <c r="DZ18" s="511"/>
      <c r="EA18" s="511"/>
      <c r="EB18" s="511"/>
      <c r="EC18" s="511"/>
      <c r="ED18" s="511"/>
      <c r="EE18" s="511"/>
      <c r="EF18" s="511"/>
      <c r="EG18" s="511"/>
      <c r="EH18" s="511"/>
      <c r="EI18" s="511"/>
      <c r="EJ18" s="511"/>
      <c r="EK18" s="511"/>
      <c r="EL18" s="511"/>
      <c r="EM18" s="511"/>
      <c r="EN18" s="511"/>
      <c r="EO18" s="511"/>
      <c r="EP18" s="511"/>
      <c r="EQ18" s="511"/>
      <c r="ER18" s="511"/>
      <c r="ES18" s="511"/>
      <c r="ET18" s="511"/>
      <c r="EU18" s="511"/>
      <c r="EV18" s="511"/>
      <c r="EW18" s="511"/>
      <c r="EX18" s="511"/>
      <c r="EY18" s="511"/>
      <c r="EZ18" s="511"/>
      <c r="FA18" s="511"/>
      <c r="FB18" s="511"/>
      <c r="FC18" s="511"/>
      <c r="FD18" s="511"/>
      <c r="FE18" s="511"/>
      <c r="FF18" s="511"/>
      <c r="FG18" s="511"/>
      <c r="FH18" s="511"/>
      <c r="FI18" s="511"/>
      <c r="FJ18" s="511"/>
      <c r="FK18" s="511"/>
      <c r="FL18" s="511"/>
      <c r="FM18" s="511"/>
      <c r="FN18" s="511"/>
      <c r="FO18" s="511"/>
      <c r="FP18" s="511"/>
      <c r="FQ18" s="511"/>
      <c r="FR18" s="511"/>
      <c r="FS18" s="511"/>
      <c r="FT18" s="511"/>
      <c r="FU18" s="511"/>
      <c r="FV18" s="511"/>
      <c r="FW18" s="511"/>
      <c r="FX18" s="511"/>
      <c r="FY18" s="511"/>
      <c r="FZ18" s="511"/>
      <c r="GA18" s="511"/>
      <c r="GB18" s="511"/>
      <c r="GC18" s="511"/>
      <c r="GD18" s="511"/>
      <c r="GE18" s="511"/>
      <c r="GF18" s="511"/>
      <c r="GG18" s="511"/>
      <c r="GH18" s="511"/>
      <c r="GI18" s="511"/>
      <c r="GJ18" s="511"/>
      <c r="GK18" s="511"/>
      <c r="GL18" s="511"/>
      <c r="GM18" s="511"/>
      <c r="GN18" s="511"/>
      <c r="GO18" s="511"/>
      <c r="GP18" s="511"/>
      <c r="GQ18" s="511"/>
      <c r="GR18" s="511"/>
      <c r="GS18" s="511"/>
      <c r="GT18" s="511"/>
      <c r="GU18" s="511"/>
      <c r="GV18" s="511"/>
      <c r="GW18" s="511"/>
      <c r="GX18" s="511"/>
      <c r="GY18" s="511"/>
      <c r="GZ18" s="511"/>
      <c r="HA18" s="511"/>
      <c r="HB18" s="511"/>
      <c r="HC18" s="511"/>
      <c r="HD18" s="511"/>
      <c r="HE18" s="511"/>
      <c r="HF18" s="511"/>
      <c r="HG18" s="511"/>
      <c r="HH18" s="511"/>
      <c r="HI18" s="511"/>
      <c r="HJ18" s="511"/>
      <c r="HK18" s="511"/>
      <c r="HL18" s="511"/>
      <c r="HM18" s="511"/>
      <c r="HN18" s="511"/>
      <c r="HO18" s="511"/>
      <c r="HP18" s="511"/>
      <c r="HQ18" s="511"/>
      <c r="HR18" s="511"/>
      <c r="HS18" s="511"/>
      <c r="HT18" s="511"/>
      <c r="HU18" s="511"/>
      <c r="HV18" s="511"/>
      <c r="HW18" s="511"/>
      <c r="HX18" s="511"/>
      <c r="HY18" s="511"/>
      <c r="HZ18" s="511"/>
      <c r="IA18" s="511"/>
      <c r="IB18" s="511"/>
      <c r="IC18" s="511"/>
      <c r="ID18" s="511"/>
      <c r="IE18" s="511"/>
      <c r="IF18" s="511"/>
      <c r="IG18" s="511"/>
      <c r="IH18" s="511"/>
      <c r="II18" s="511"/>
      <c r="IJ18" s="511"/>
      <c r="IK18" s="511"/>
      <c r="IL18" s="511"/>
      <c r="IM18" s="511"/>
      <c r="IN18" s="511"/>
      <c r="IO18" s="511"/>
      <c r="IP18" s="511"/>
      <c r="IQ18" s="511"/>
      <c r="IR18" s="511"/>
      <c r="IS18" s="511"/>
      <c r="IT18" s="511"/>
      <c r="IU18" s="511"/>
      <c r="IV18" s="511"/>
      <c r="IW18" s="511"/>
    </row>
    <row r="19" customFormat="false" ht="24.75" hidden="false" customHeight="true" outlineLevel="0" collapsed="false">
      <c r="A19" s="543"/>
      <c r="B19" s="543"/>
      <c r="C19" s="543"/>
      <c r="D19" s="543"/>
      <c r="E19" s="543"/>
      <c r="F19" s="543"/>
      <c r="G19" s="543"/>
      <c r="H19" s="543"/>
      <c r="I19" s="543"/>
      <c r="J19" s="543"/>
      <c r="K19" s="543"/>
      <c r="L19" s="543"/>
      <c r="M19" s="543"/>
      <c r="N19" s="543"/>
      <c r="O19" s="543"/>
      <c r="P19" s="544">
        <f aca="false">개요!D14</f>
      </c>
      <c r="Q19" s="544"/>
      <c r="R19" s="544"/>
      <c r="S19" s="545" t="s">
        <v>542</v>
      </c>
      <c r="T19" s="545"/>
      <c r="U19" s="545"/>
      <c r="V19" s="545"/>
      <c r="W19" s="545"/>
      <c r="X19" s="511"/>
      <c r="Y19" s="511"/>
      <c r="Z19" s="511"/>
      <c r="AA19" s="511"/>
      <c r="AB19" s="511"/>
      <c r="AC19" s="511"/>
      <c r="AD19" s="511"/>
      <c r="AE19" s="511"/>
      <c r="AF19" s="511"/>
      <c r="AG19" s="511"/>
      <c r="AH19" s="511"/>
      <c r="AI19" s="511"/>
      <c r="AJ19" s="511"/>
      <c r="AK19" s="511"/>
      <c r="AL19" s="511"/>
      <c r="AM19" s="511"/>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1"/>
      <c r="BK19" s="511"/>
      <c r="BL19" s="511"/>
      <c r="BM19" s="511"/>
      <c r="BN19" s="511"/>
      <c r="BO19" s="511"/>
      <c r="BP19" s="511"/>
      <c r="BQ19" s="511"/>
      <c r="BR19" s="511"/>
      <c r="BS19" s="511"/>
      <c r="BT19" s="511"/>
      <c r="BU19" s="511"/>
      <c r="BV19" s="511"/>
      <c r="BW19" s="511"/>
      <c r="BX19" s="511"/>
      <c r="BY19" s="511"/>
      <c r="BZ19" s="511"/>
      <c r="CA19" s="511"/>
      <c r="CB19" s="511"/>
      <c r="CC19" s="511"/>
      <c r="CD19" s="511"/>
      <c r="CE19" s="511"/>
      <c r="CF19" s="511"/>
      <c r="CG19" s="511"/>
      <c r="CH19" s="511"/>
      <c r="CI19" s="511"/>
      <c r="CJ19" s="511"/>
      <c r="CK19" s="511"/>
      <c r="CL19" s="511"/>
      <c r="CM19" s="511"/>
      <c r="CN19" s="511"/>
      <c r="CO19" s="511"/>
      <c r="CP19" s="511"/>
      <c r="CQ19" s="511"/>
      <c r="CR19" s="511"/>
      <c r="CS19" s="511"/>
      <c r="CT19" s="511"/>
      <c r="CU19" s="511"/>
      <c r="CV19" s="511"/>
      <c r="CW19" s="511"/>
      <c r="CX19" s="511"/>
      <c r="CY19" s="511"/>
      <c r="CZ19" s="511"/>
      <c r="DA19" s="511"/>
      <c r="DB19" s="511"/>
      <c r="DC19" s="511"/>
      <c r="DD19" s="511"/>
      <c r="DE19" s="511"/>
      <c r="DF19" s="511"/>
      <c r="DG19" s="511"/>
      <c r="DH19" s="511"/>
      <c r="DI19" s="511"/>
      <c r="DJ19" s="511"/>
      <c r="DK19" s="511"/>
      <c r="DL19" s="511"/>
      <c r="DM19" s="511"/>
      <c r="DN19" s="511"/>
      <c r="DO19" s="511"/>
      <c r="DP19" s="511"/>
      <c r="DQ19" s="511"/>
      <c r="DR19" s="511"/>
      <c r="DS19" s="511"/>
      <c r="DT19" s="511"/>
      <c r="DU19" s="511"/>
      <c r="DV19" s="511"/>
      <c r="DW19" s="511"/>
      <c r="DX19" s="511"/>
      <c r="DY19" s="511"/>
      <c r="DZ19" s="511"/>
      <c r="EA19" s="511"/>
      <c r="EB19" s="511"/>
      <c r="EC19" s="511"/>
      <c r="ED19" s="511"/>
      <c r="EE19" s="511"/>
      <c r="EF19" s="511"/>
      <c r="EG19" s="511"/>
      <c r="EH19" s="511"/>
      <c r="EI19" s="511"/>
      <c r="EJ19" s="511"/>
      <c r="EK19" s="511"/>
      <c r="EL19" s="511"/>
      <c r="EM19" s="511"/>
      <c r="EN19" s="511"/>
      <c r="EO19" s="511"/>
      <c r="EP19" s="511"/>
      <c r="EQ19" s="511"/>
      <c r="ER19" s="511"/>
      <c r="ES19" s="511"/>
      <c r="ET19" s="511"/>
      <c r="EU19" s="511"/>
      <c r="EV19" s="511"/>
      <c r="EW19" s="511"/>
      <c r="EX19" s="511"/>
      <c r="EY19" s="511"/>
      <c r="EZ19" s="511"/>
      <c r="FA19" s="511"/>
      <c r="FB19" s="511"/>
      <c r="FC19" s="511"/>
      <c r="FD19" s="511"/>
      <c r="FE19" s="511"/>
      <c r="FF19" s="511"/>
      <c r="FG19" s="511"/>
      <c r="FH19" s="511"/>
      <c r="FI19" s="511"/>
      <c r="FJ19" s="511"/>
      <c r="FK19" s="511"/>
      <c r="FL19" s="511"/>
      <c r="FM19" s="511"/>
      <c r="FN19" s="511"/>
      <c r="FO19" s="511"/>
      <c r="FP19" s="511"/>
      <c r="FQ19" s="511"/>
      <c r="FR19" s="511"/>
      <c r="FS19" s="511"/>
      <c r="FT19" s="511"/>
      <c r="FU19" s="511"/>
      <c r="FV19" s="511"/>
      <c r="FW19" s="511"/>
      <c r="FX19" s="511"/>
      <c r="FY19" s="511"/>
      <c r="FZ19" s="511"/>
      <c r="GA19" s="511"/>
      <c r="GB19" s="511"/>
      <c r="GC19" s="511"/>
      <c r="GD19" s="511"/>
      <c r="GE19" s="511"/>
      <c r="GF19" s="511"/>
      <c r="GG19" s="511"/>
      <c r="GH19" s="511"/>
      <c r="GI19" s="511"/>
      <c r="GJ19" s="511"/>
      <c r="GK19" s="511"/>
      <c r="GL19" s="511"/>
      <c r="GM19" s="511"/>
      <c r="GN19" s="511"/>
      <c r="GO19" s="511"/>
      <c r="GP19" s="511"/>
      <c r="GQ19" s="511"/>
      <c r="GR19" s="511"/>
      <c r="GS19" s="511"/>
      <c r="GT19" s="511"/>
      <c r="GU19" s="511"/>
      <c r="GV19" s="511"/>
      <c r="GW19" s="511"/>
      <c r="GX19" s="511"/>
      <c r="GY19" s="511"/>
      <c r="GZ19" s="511"/>
      <c r="HA19" s="511"/>
      <c r="HB19" s="511"/>
      <c r="HC19" s="511"/>
      <c r="HD19" s="511"/>
      <c r="HE19" s="511"/>
      <c r="HF19" s="511"/>
      <c r="HG19" s="511"/>
      <c r="HH19" s="511"/>
      <c r="HI19" s="511"/>
      <c r="HJ19" s="511"/>
      <c r="HK19" s="511"/>
      <c r="HL19" s="511"/>
      <c r="HM19" s="511"/>
      <c r="HN19" s="511"/>
      <c r="HO19" s="511"/>
      <c r="HP19" s="511"/>
      <c r="HQ19" s="511"/>
      <c r="HR19" s="511"/>
      <c r="HS19" s="511"/>
      <c r="HT19" s="511"/>
      <c r="HU19" s="511"/>
      <c r="HV19" s="511"/>
      <c r="HW19" s="511"/>
      <c r="HX19" s="511"/>
      <c r="HY19" s="511"/>
      <c r="HZ19" s="511"/>
      <c r="IA19" s="511"/>
      <c r="IB19" s="511"/>
      <c r="IC19" s="511"/>
      <c r="ID19" s="511"/>
      <c r="IE19" s="511"/>
      <c r="IF19" s="511"/>
      <c r="IG19" s="511"/>
      <c r="IH19" s="511"/>
      <c r="II19" s="511"/>
      <c r="IJ19" s="511"/>
      <c r="IK19" s="511"/>
      <c r="IL19" s="511"/>
      <c r="IM19" s="511"/>
      <c r="IN19" s="511"/>
      <c r="IO19" s="511"/>
      <c r="IP19" s="511"/>
      <c r="IQ19" s="511"/>
      <c r="IR19" s="511"/>
      <c r="IS19" s="511"/>
      <c r="IT19" s="511"/>
      <c r="IU19" s="511"/>
      <c r="IV19" s="511"/>
      <c r="IW19" s="511"/>
    </row>
    <row r="20" customFormat="false" ht="28.5" hidden="false" customHeight="true" outlineLevel="0" collapsed="false">
      <c r="A20" s="546" t="s">
        <v>543</v>
      </c>
      <c r="B20" s="547" t="s">
        <v>544</v>
      </c>
      <c r="C20" s="547"/>
      <c r="D20" s="547"/>
      <c r="E20" s="547"/>
      <c r="F20" s="547"/>
      <c r="G20" s="547"/>
      <c r="H20" s="547"/>
      <c r="I20" s="547"/>
      <c r="J20" s="547"/>
      <c r="K20" s="547"/>
      <c r="L20" s="547"/>
      <c r="M20" s="547"/>
      <c r="N20" s="547"/>
      <c r="O20" s="547"/>
      <c r="P20" s="547"/>
      <c r="Q20" s="547"/>
      <c r="R20" s="547"/>
      <c r="S20" s="547"/>
      <c r="T20" s="547"/>
      <c r="U20" s="547"/>
      <c r="V20" s="547"/>
      <c r="W20" s="547"/>
      <c r="X20" s="511"/>
      <c r="Y20" s="511"/>
      <c r="Z20" s="511"/>
      <c r="AA20" s="511"/>
      <c r="AB20" s="511"/>
      <c r="AC20" s="511"/>
      <c r="AD20" s="511"/>
      <c r="AE20" s="511"/>
      <c r="AF20" s="511"/>
      <c r="AG20" s="511"/>
      <c r="AH20" s="511"/>
      <c r="AI20" s="511"/>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1"/>
      <c r="BY20" s="511"/>
      <c r="BZ20" s="511"/>
      <c r="CA20" s="511"/>
      <c r="CB20" s="511"/>
      <c r="CC20" s="511"/>
      <c r="CD20" s="511"/>
      <c r="CE20" s="511"/>
      <c r="CF20" s="511"/>
      <c r="CG20" s="511"/>
      <c r="CH20" s="511"/>
      <c r="CI20" s="511"/>
      <c r="CJ20" s="511"/>
      <c r="CK20" s="511"/>
      <c r="CL20" s="511"/>
      <c r="CM20" s="511"/>
      <c r="CN20" s="511"/>
      <c r="CO20" s="511"/>
      <c r="CP20" s="511"/>
      <c r="CQ20" s="511"/>
      <c r="CR20" s="511"/>
      <c r="CS20" s="511"/>
      <c r="CT20" s="511"/>
      <c r="CU20" s="511"/>
      <c r="CV20" s="511"/>
      <c r="CW20" s="511"/>
      <c r="CX20" s="511"/>
      <c r="CY20" s="511"/>
      <c r="CZ20" s="511"/>
      <c r="DA20" s="511"/>
      <c r="DB20" s="511"/>
      <c r="DC20" s="511"/>
      <c r="DD20" s="511"/>
      <c r="DE20" s="511"/>
      <c r="DF20" s="511"/>
      <c r="DG20" s="511"/>
      <c r="DH20" s="511"/>
      <c r="DI20" s="511"/>
      <c r="DJ20" s="511"/>
      <c r="DK20" s="511"/>
      <c r="DL20" s="511"/>
      <c r="DM20" s="511"/>
      <c r="DN20" s="511"/>
      <c r="DO20" s="511"/>
      <c r="DP20" s="511"/>
      <c r="DQ20" s="511"/>
      <c r="DR20" s="511"/>
      <c r="DS20" s="511"/>
      <c r="DT20" s="511"/>
      <c r="DU20" s="511"/>
      <c r="DV20" s="511"/>
      <c r="DW20" s="511"/>
      <c r="DX20" s="511"/>
      <c r="DY20" s="511"/>
      <c r="DZ20" s="511"/>
      <c r="EA20" s="511"/>
      <c r="EB20" s="511"/>
      <c r="EC20" s="511"/>
      <c r="ED20" s="511"/>
      <c r="EE20" s="511"/>
      <c r="EF20" s="511"/>
      <c r="EG20" s="511"/>
      <c r="EH20" s="511"/>
      <c r="EI20" s="511"/>
      <c r="EJ20" s="511"/>
      <c r="EK20" s="511"/>
      <c r="EL20" s="511"/>
      <c r="EM20" s="511"/>
      <c r="EN20" s="511"/>
      <c r="EO20" s="511"/>
      <c r="EP20" s="511"/>
      <c r="EQ20" s="511"/>
      <c r="ER20" s="511"/>
      <c r="ES20" s="511"/>
      <c r="ET20" s="511"/>
      <c r="EU20" s="511"/>
      <c r="EV20" s="511"/>
      <c r="EW20" s="511"/>
      <c r="EX20" s="511"/>
      <c r="EY20" s="511"/>
      <c r="EZ20" s="511"/>
      <c r="FA20" s="511"/>
      <c r="FB20" s="511"/>
      <c r="FC20" s="511"/>
      <c r="FD20" s="511"/>
      <c r="FE20" s="511"/>
      <c r="FF20" s="511"/>
      <c r="FG20" s="511"/>
      <c r="FH20" s="511"/>
      <c r="FI20" s="511"/>
      <c r="FJ20" s="511"/>
      <c r="FK20" s="511"/>
      <c r="FL20" s="511"/>
      <c r="FM20" s="511"/>
      <c r="FN20" s="511"/>
      <c r="FO20" s="511"/>
      <c r="FP20" s="511"/>
      <c r="FQ20" s="511"/>
      <c r="FR20" s="511"/>
      <c r="FS20" s="511"/>
      <c r="FT20" s="511"/>
      <c r="FU20" s="511"/>
      <c r="FV20" s="511"/>
      <c r="FW20" s="511"/>
      <c r="FX20" s="511"/>
      <c r="FY20" s="511"/>
      <c r="FZ20" s="511"/>
      <c r="GA20" s="511"/>
      <c r="GB20" s="511"/>
      <c r="GC20" s="511"/>
      <c r="GD20" s="511"/>
      <c r="GE20" s="511"/>
      <c r="GF20" s="511"/>
      <c r="GG20" s="511"/>
      <c r="GH20" s="511"/>
      <c r="GI20" s="511"/>
      <c r="GJ20" s="511"/>
      <c r="GK20" s="511"/>
      <c r="GL20" s="511"/>
      <c r="GM20" s="511"/>
      <c r="GN20" s="511"/>
      <c r="GO20" s="511"/>
      <c r="GP20" s="511"/>
      <c r="GQ20" s="511"/>
      <c r="GR20" s="511"/>
      <c r="GS20" s="511"/>
      <c r="GT20" s="511"/>
      <c r="GU20" s="511"/>
      <c r="GV20" s="511"/>
      <c r="GW20" s="511"/>
      <c r="GX20" s="511"/>
      <c r="GY20" s="511"/>
      <c r="GZ20" s="511"/>
      <c r="HA20" s="511"/>
      <c r="HB20" s="511"/>
      <c r="HC20" s="511"/>
      <c r="HD20" s="511"/>
      <c r="HE20" s="511"/>
      <c r="HF20" s="511"/>
      <c r="HG20" s="511"/>
      <c r="HH20" s="511"/>
      <c r="HI20" s="511"/>
      <c r="HJ20" s="511"/>
      <c r="HK20" s="511"/>
      <c r="HL20" s="511"/>
      <c r="HM20" s="511"/>
      <c r="HN20" s="511"/>
      <c r="HO20" s="511"/>
      <c r="HP20" s="511"/>
      <c r="HQ20" s="511"/>
      <c r="HR20" s="511"/>
      <c r="HS20" s="511"/>
      <c r="HT20" s="511"/>
      <c r="HU20" s="511"/>
      <c r="HV20" s="511"/>
      <c r="HW20" s="511"/>
      <c r="HX20" s="511"/>
      <c r="HY20" s="511"/>
      <c r="HZ20" s="511"/>
      <c r="IA20" s="511"/>
      <c r="IB20" s="511"/>
      <c r="IC20" s="511"/>
      <c r="ID20" s="511"/>
      <c r="IE20" s="511"/>
      <c r="IF20" s="511"/>
      <c r="IG20" s="511"/>
      <c r="IH20" s="511"/>
      <c r="II20" s="511"/>
      <c r="IJ20" s="511"/>
      <c r="IK20" s="511"/>
      <c r="IL20" s="511"/>
      <c r="IM20" s="511"/>
      <c r="IN20" s="511"/>
      <c r="IO20" s="511"/>
      <c r="IP20" s="511"/>
      <c r="IQ20" s="511"/>
      <c r="IR20" s="511"/>
      <c r="IS20" s="511"/>
      <c r="IT20" s="511"/>
      <c r="IU20" s="511"/>
      <c r="IV20" s="511"/>
      <c r="IW20" s="511"/>
    </row>
    <row r="21" customFormat="false" ht="28.5" hidden="false" customHeight="true" outlineLevel="0" collapsed="false">
      <c r="A21" s="548" t="s">
        <v>545</v>
      </c>
      <c r="B21" s="548"/>
      <c r="C21" s="548"/>
      <c r="D21" s="548"/>
      <c r="E21" s="548"/>
      <c r="F21" s="548"/>
      <c r="G21" s="548"/>
      <c r="H21" s="548"/>
      <c r="I21" s="548"/>
      <c r="J21" s="548"/>
      <c r="K21" s="548"/>
      <c r="L21" s="548"/>
      <c r="M21" s="548"/>
      <c r="N21" s="548"/>
      <c r="O21" s="548"/>
      <c r="P21" s="548"/>
      <c r="Q21" s="548"/>
      <c r="R21" s="548"/>
      <c r="S21" s="548"/>
      <c r="T21" s="548"/>
      <c r="U21" s="548"/>
      <c r="V21" s="548"/>
      <c r="W21" s="548"/>
      <c r="X21" s="511"/>
      <c r="Y21" s="511"/>
      <c r="Z21" s="511"/>
      <c r="AA21" s="511"/>
      <c r="AB21" s="511"/>
      <c r="AC21" s="511"/>
      <c r="AD21" s="511"/>
      <c r="AE21" s="511"/>
      <c r="AF21" s="511"/>
      <c r="AG21" s="511"/>
      <c r="AH21" s="511"/>
      <c r="AI21" s="511"/>
      <c r="AJ21" s="511"/>
      <c r="AK21" s="511"/>
      <c r="AL21" s="511"/>
      <c r="AM21" s="511"/>
      <c r="AN21" s="511"/>
      <c r="AO21" s="511"/>
      <c r="AP21" s="511"/>
      <c r="AQ21" s="511"/>
      <c r="AR21" s="511"/>
      <c r="AS21" s="511"/>
      <c r="AT21" s="511"/>
      <c r="AU21" s="511"/>
      <c r="AV21" s="511"/>
      <c r="AW21" s="511"/>
      <c r="AX21" s="511"/>
      <c r="AY21" s="511"/>
      <c r="AZ21" s="511"/>
      <c r="BA21" s="511"/>
      <c r="BB21" s="511"/>
      <c r="BC21" s="511"/>
      <c r="BD21" s="511"/>
      <c r="BE21" s="511"/>
      <c r="BF21" s="511"/>
      <c r="BG21" s="511"/>
      <c r="BH21" s="511"/>
      <c r="BI21" s="511"/>
      <c r="BJ21" s="511"/>
      <c r="BK21" s="511"/>
      <c r="BL21" s="511"/>
      <c r="BM21" s="511"/>
      <c r="BN21" s="511"/>
      <c r="BO21" s="511"/>
      <c r="BP21" s="511"/>
      <c r="BQ21" s="511"/>
      <c r="BR21" s="511"/>
      <c r="BS21" s="511"/>
      <c r="BT21" s="511"/>
      <c r="BU21" s="511"/>
      <c r="BV21" s="511"/>
      <c r="BW21" s="511"/>
      <c r="BX21" s="511"/>
      <c r="BY21" s="511"/>
      <c r="BZ21" s="511"/>
      <c r="CA21" s="511"/>
      <c r="CB21" s="511"/>
      <c r="CC21" s="511"/>
      <c r="CD21" s="511"/>
      <c r="CE21" s="511"/>
      <c r="CF21" s="511"/>
      <c r="CG21" s="511"/>
      <c r="CH21" s="511"/>
      <c r="CI21" s="511"/>
      <c r="CJ21" s="511"/>
      <c r="CK21" s="511"/>
      <c r="CL21" s="511"/>
      <c r="CM21" s="511"/>
      <c r="CN21" s="511"/>
      <c r="CO21" s="511"/>
      <c r="CP21" s="511"/>
      <c r="CQ21" s="511"/>
      <c r="CR21" s="511"/>
      <c r="CS21" s="511"/>
      <c r="CT21" s="511"/>
      <c r="CU21" s="511"/>
      <c r="CV21" s="511"/>
      <c r="CW21" s="511"/>
      <c r="CX21" s="511"/>
      <c r="CY21" s="511"/>
      <c r="CZ21" s="511"/>
      <c r="DA21" s="511"/>
      <c r="DB21" s="511"/>
      <c r="DC21" s="511"/>
      <c r="DD21" s="511"/>
      <c r="DE21" s="511"/>
      <c r="DF21" s="511"/>
      <c r="DG21" s="511"/>
      <c r="DH21" s="511"/>
      <c r="DI21" s="511"/>
      <c r="DJ21" s="511"/>
      <c r="DK21" s="511"/>
      <c r="DL21" s="511"/>
      <c r="DM21" s="511"/>
      <c r="DN21" s="511"/>
      <c r="DO21" s="511"/>
      <c r="DP21" s="511"/>
      <c r="DQ21" s="511"/>
      <c r="DR21" s="511"/>
      <c r="DS21" s="511"/>
      <c r="DT21" s="511"/>
      <c r="DU21" s="511"/>
      <c r="DV21" s="511"/>
      <c r="DW21" s="511"/>
      <c r="DX21" s="511"/>
      <c r="DY21" s="511"/>
      <c r="DZ21" s="511"/>
      <c r="EA21" s="511"/>
      <c r="EB21" s="511"/>
      <c r="EC21" s="511"/>
      <c r="ED21" s="511"/>
      <c r="EE21" s="511"/>
      <c r="EF21" s="511"/>
      <c r="EG21" s="511"/>
      <c r="EH21" s="511"/>
      <c r="EI21" s="511"/>
      <c r="EJ21" s="511"/>
      <c r="EK21" s="511"/>
      <c r="EL21" s="511"/>
      <c r="EM21" s="511"/>
      <c r="EN21" s="511"/>
      <c r="EO21" s="511"/>
      <c r="EP21" s="511"/>
      <c r="EQ21" s="511"/>
      <c r="ER21" s="511"/>
      <c r="ES21" s="511"/>
      <c r="ET21" s="511"/>
      <c r="EU21" s="511"/>
      <c r="EV21" s="511"/>
      <c r="EW21" s="511"/>
      <c r="EX21" s="511"/>
      <c r="EY21" s="511"/>
      <c r="EZ21" s="511"/>
      <c r="FA21" s="511"/>
      <c r="FB21" s="511"/>
      <c r="FC21" s="511"/>
      <c r="FD21" s="511"/>
      <c r="FE21" s="511"/>
      <c r="FF21" s="511"/>
      <c r="FG21" s="511"/>
      <c r="FH21" s="511"/>
      <c r="FI21" s="511"/>
      <c r="FJ21" s="511"/>
      <c r="FK21" s="511"/>
      <c r="FL21" s="511"/>
      <c r="FM21" s="511"/>
      <c r="FN21" s="511"/>
      <c r="FO21" s="511"/>
      <c r="FP21" s="511"/>
      <c r="FQ21" s="511"/>
      <c r="FR21" s="511"/>
      <c r="FS21" s="511"/>
      <c r="FT21" s="511"/>
      <c r="FU21" s="511"/>
      <c r="FV21" s="511"/>
      <c r="FW21" s="511"/>
      <c r="FX21" s="511"/>
      <c r="FY21" s="511"/>
      <c r="FZ21" s="511"/>
      <c r="GA21" s="511"/>
      <c r="GB21" s="511"/>
      <c r="GC21" s="511"/>
      <c r="GD21" s="511"/>
      <c r="GE21" s="511"/>
      <c r="GF21" s="511"/>
      <c r="GG21" s="511"/>
      <c r="GH21" s="511"/>
      <c r="GI21" s="511"/>
      <c r="GJ21" s="511"/>
      <c r="GK21" s="511"/>
      <c r="GL21" s="511"/>
      <c r="GM21" s="511"/>
      <c r="GN21" s="511"/>
      <c r="GO21" s="511"/>
      <c r="GP21" s="511"/>
      <c r="GQ21" s="511"/>
      <c r="GR21" s="511"/>
      <c r="GS21" s="511"/>
      <c r="GT21" s="511"/>
      <c r="GU21" s="511"/>
      <c r="GV21" s="511"/>
      <c r="GW21" s="511"/>
      <c r="GX21" s="511"/>
      <c r="GY21" s="511"/>
      <c r="GZ21" s="511"/>
      <c r="HA21" s="511"/>
      <c r="HB21" s="511"/>
      <c r="HC21" s="511"/>
      <c r="HD21" s="511"/>
      <c r="HE21" s="511"/>
      <c r="HF21" s="511"/>
      <c r="HG21" s="511"/>
      <c r="HH21" s="511"/>
      <c r="HI21" s="511"/>
      <c r="HJ21" s="511"/>
      <c r="HK21" s="511"/>
      <c r="HL21" s="511"/>
      <c r="HM21" s="511"/>
      <c r="HN21" s="511"/>
      <c r="HO21" s="511"/>
      <c r="HP21" s="511"/>
      <c r="HQ21" s="511"/>
      <c r="HR21" s="511"/>
      <c r="HS21" s="511"/>
      <c r="HT21" s="511"/>
      <c r="HU21" s="511"/>
      <c r="HV21" s="511"/>
      <c r="HW21" s="511"/>
      <c r="HX21" s="511"/>
      <c r="HY21" s="511"/>
      <c r="HZ21" s="511"/>
      <c r="IA21" s="511"/>
      <c r="IB21" s="511"/>
      <c r="IC21" s="511"/>
      <c r="ID21" s="511"/>
      <c r="IE21" s="511"/>
      <c r="IF21" s="511"/>
      <c r="IG21" s="511"/>
      <c r="IH21" s="511"/>
      <c r="II21" s="511"/>
      <c r="IJ21" s="511"/>
      <c r="IK21" s="511"/>
      <c r="IL21" s="511"/>
      <c r="IM21" s="511"/>
      <c r="IN21" s="511"/>
      <c r="IO21" s="511"/>
      <c r="IP21" s="511"/>
      <c r="IQ21" s="511"/>
      <c r="IR21" s="511"/>
      <c r="IS21" s="511"/>
      <c r="IT21" s="511"/>
      <c r="IU21" s="511"/>
      <c r="IV21" s="511"/>
      <c r="IW21" s="511"/>
    </row>
    <row r="22" customFormat="false" ht="39.75" hidden="false" customHeight="true" outlineLevel="0" collapsed="false">
      <c r="A22" s="549" t="s">
        <v>546</v>
      </c>
      <c r="B22" s="549"/>
      <c r="C22" s="549"/>
      <c r="D22" s="549"/>
      <c r="E22" s="549"/>
      <c r="F22" s="549"/>
      <c r="G22" s="549"/>
      <c r="H22" s="549"/>
      <c r="I22" s="549"/>
      <c r="J22" s="549"/>
      <c r="K22" s="549"/>
      <c r="L22" s="549"/>
      <c r="M22" s="549"/>
      <c r="N22" s="549"/>
      <c r="O22" s="549"/>
      <c r="P22" s="549"/>
      <c r="Q22" s="549"/>
      <c r="R22" s="549"/>
      <c r="S22" s="549"/>
      <c r="T22" s="549"/>
      <c r="U22" s="549"/>
      <c r="V22" s="549"/>
      <c r="W22" s="549"/>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1"/>
      <c r="BD22" s="511"/>
      <c r="BE22" s="511"/>
      <c r="BF22" s="511"/>
      <c r="BG22" s="511"/>
      <c r="BH22" s="511"/>
      <c r="BI22" s="511"/>
      <c r="BJ22" s="511"/>
      <c r="BK22" s="511"/>
      <c r="BL22" s="511"/>
      <c r="BM22" s="511"/>
      <c r="BN22" s="511"/>
      <c r="BO22" s="511"/>
      <c r="BP22" s="511"/>
      <c r="BQ22" s="511"/>
      <c r="BR22" s="511"/>
      <c r="BS22" s="511"/>
      <c r="BT22" s="511"/>
      <c r="BU22" s="511"/>
      <c r="BV22" s="511"/>
      <c r="BW22" s="511"/>
      <c r="BX22" s="511"/>
      <c r="BY22" s="511"/>
      <c r="BZ22" s="511"/>
      <c r="CA22" s="511"/>
      <c r="CB22" s="511"/>
      <c r="CC22" s="511"/>
      <c r="CD22" s="511"/>
      <c r="CE22" s="511"/>
      <c r="CF22" s="511"/>
      <c r="CG22" s="511"/>
      <c r="CH22" s="511"/>
      <c r="CI22" s="511"/>
      <c r="CJ22" s="511"/>
      <c r="CK22" s="511"/>
      <c r="CL22" s="511"/>
      <c r="CM22" s="511"/>
      <c r="CN22" s="511"/>
      <c r="CO22" s="511"/>
      <c r="CP22" s="511"/>
      <c r="CQ22" s="511"/>
      <c r="CR22" s="511"/>
      <c r="CS22" s="511"/>
      <c r="CT22" s="511"/>
      <c r="CU22" s="511"/>
      <c r="CV22" s="511"/>
      <c r="CW22" s="511"/>
      <c r="CX22" s="511"/>
      <c r="CY22" s="511"/>
      <c r="CZ22" s="511"/>
      <c r="DA22" s="511"/>
      <c r="DB22" s="511"/>
      <c r="DC22" s="511"/>
      <c r="DD22" s="511"/>
      <c r="DE22" s="511"/>
      <c r="DF22" s="511"/>
      <c r="DG22" s="511"/>
      <c r="DH22" s="511"/>
      <c r="DI22" s="511"/>
      <c r="DJ22" s="511"/>
      <c r="DK22" s="511"/>
      <c r="DL22" s="511"/>
      <c r="DM22" s="511"/>
      <c r="DN22" s="511"/>
      <c r="DO22" s="511"/>
      <c r="DP22" s="511"/>
      <c r="DQ22" s="511"/>
      <c r="DR22" s="511"/>
      <c r="DS22" s="511"/>
      <c r="DT22" s="511"/>
      <c r="DU22" s="511"/>
      <c r="DV22" s="511"/>
      <c r="DW22" s="511"/>
      <c r="DX22" s="511"/>
      <c r="DY22" s="511"/>
      <c r="DZ22" s="511"/>
      <c r="EA22" s="511"/>
      <c r="EB22" s="511"/>
      <c r="EC22" s="511"/>
      <c r="ED22" s="511"/>
      <c r="EE22" s="511"/>
      <c r="EF22" s="511"/>
      <c r="EG22" s="511"/>
      <c r="EH22" s="511"/>
      <c r="EI22" s="511"/>
      <c r="EJ22" s="511"/>
      <c r="EK22" s="511"/>
      <c r="EL22" s="511"/>
      <c r="EM22" s="511"/>
      <c r="EN22" s="511"/>
      <c r="EO22" s="511"/>
      <c r="EP22" s="511"/>
      <c r="EQ22" s="511"/>
      <c r="ER22" s="511"/>
      <c r="ES22" s="511"/>
      <c r="ET22" s="511"/>
      <c r="EU22" s="511"/>
      <c r="EV22" s="511"/>
      <c r="EW22" s="511"/>
      <c r="EX22" s="511"/>
      <c r="EY22" s="511"/>
      <c r="EZ22" s="511"/>
      <c r="FA22" s="511"/>
      <c r="FB22" s="511"/>
      <c r="FC22" s="511"/>
      <c r="FD22" s="511"/>
      <c r="FE22" s="511"/>
      <c r="FF22" s="511"/>
      <c r="FG22" s="511"/>
      <c r="FH22" s="511"/>
      <c r="FI22" s="511"/>
      <c r="FJ22" s="511"/>
      <c r="FK22" s="511"/>
      <c r="FL22" s="511"/>
      <c r="FM22" s="511"/>
      <c r="FN22" s="511"/>
      <c r="FO22" s="511"/>
      <c r="FP22" s="511"/>
      <c r="FQ22" s="511"/>
      <c r="FR22" s="511"/>
      <c r="FS22" s="511"/>
      <c r="FT22" s="511"/>
      <c r="FU22" s="511"/>
      <c r="FV22" s="511"/>
      <c r="FW22" s="511"/>
      <c r="FX22" s="511"/>
      <c r="FY22" s="511"/>
      <c r="FZ22" s="511"/>
      <c r="GA22" s="511"/>
      <c r="GB22" s="511"/>
      <c r="GC22" s="511"/>
      <c r="GD22" s="511"/>
      <c r="GE22" s="511"/>
      <c r="GF22" s="511"/>
      <c r="GG22" s="511"/>
      <c r="GH22" s="511"/>
      <c r="GI22" s="511"/>
      <c r="GJ22" s="511"/>
      <c r="GK22" s="511"/>
      <c r="GL22" s="511"/>
      <c r="GM22" s="511"/>
      <c r="GN22" s="511"/>
      <c r="GO22" s="511"/>
      <c r="GP22" s="511"/>
      <c r="GQ22" s="511"/>
      <c r="GR22" s="511"/>
      <c r="GS22" s="511"/>
      <c r="GT22" s="511"/>
      <c r="GU22" s="511"/>
      <c r="GV22" s="511"/>
      <c r="GW22" s="511"/>
      <c r="GX22" s="511"/>
      <c r="GY22" s="511"/>
      <c r="GZ22" s="511"/>
      <c r="HA22" s="511"/>
      <c r="HB22" s="511"/>
      <c r="HC22" s="511"/>
      <c r="HD22" s="511"/>
      <c r="HE22" s="511"/>
      <c r="HF22" s="511"/>
      <c r="HG22" s="511"/>
      <c r="HH22" s="511"/>
      <c r="HI22" s="511"/>
      <c r="HJ22" s="511"/>
      <c r="HK22" s="511"/>
      <c r="HL22" s="511"/>
      <c r="HM22" s="511"/>
      <c r="HN22" s="511"/>
      <c r="HO22" s="511"/>
      <c r="HP22" s="511"/>
      <c r="HQ22" s="511"/>
      <c r="HR22" s="511"/>
      <c r="HS22" s="511"/>
      <c r="HT22" s="511"/>
      <c r="HU22" s="511"/>
      <c r="HV22" s="511"/>
      <c r="HW22" s="511"/>
      <c r="HX22" s="511"/>
      <c r="HY22" s="511"/>
      <c r="HZ22" s="511"/>
      <c r="IA22" s="511"/>
      <c r="IB22" s="511"/>
      <c r="IC22" s="511"/>
      <c r="ID22" s="511"/>
      <c r="IE22" s="511"/>
      <c r="IF22" s="511"/>
      <c r="IG22" s="511"/>
      <c r="IH22" s="511"/>
      <c r="II22" s="511"/>
      <c r="IJ22" s="511"/>
      <c r="IK22" s="511"/>
      <c r="IL22" s="511"/>
      <c r="IM22" s="511"/>
      <c r="IN22" s="511"/>
      <c r="IO22" s="511"/>
      <c r="IP22" s="511"/>
      <c r="IQ22" s="511"/>
      <c r="IR22" s="511"/>
      <c r="IS22" s="511"/>
      <c r="IT22" s="511"/>
      <c r="IU22" s="511"/>
      <c r="IV22" s="511"/>
      <c r="IW22" s="511"/>
    </row>
    <row r="23" customFormat="false" ht="39.75" hidden="false" customHeight="true" outlineLevel="0" collapsed="false">
      <c r="A23" s="550" t="s">
        <v>547</v>
      </c>
      <c r="B23" s="550"/>
      <c r="C23" s="550"/>
      <c r="D23" s="550"/>
      <c r="E23" s="550"/>
      <c r="F23" s="550"/>
      <c r="G23" s="550"/>
      <c r="H23" s="550"/>
      <c r="I23" s="550"/>
      <c r="J23" s="550"/>
      <c r="K23" s="550"/>
      <c r="L23" s="550"/>
      <c r="M23" s="550"/>
      <c r="N23" s="550"/>
      <c r="O23" s="550"/>
      <c r="P23" s="550"/>
      <c r="Q23" s="550"/>
      <c r="R23" s="550"/>
      <c r="S23" s="550"/>
      <c r="T23" s="550"/>
      <c r="U23" s="550"/>
      <c r="V23" s="550"/>
      <c r="W23" s="550"/>
      <c r="X23" s="511"/>
      <c r="Y23" s="511"/>
      <c r="Z23" s="511"/>
      <c r="AA23" s="511"/>
      <c r="AB23" s="511"/>
      <c r="AC23" s="511"/>
      <c r="AD23" s="511"/>
      <c r="AE23" s="511"/>
      <c r="AF23" s="511"/>
      <c r="AG23" s="511"/>
      <c r="AH23" s="511"/>
      <c r="AI23" s="511"/>
      <c r="AJ23" s="511"/>
      <c r="AK23" s="511"/>
      <c r="AL23" s="511"/>
      <c r="AM23" s="511"/>
      <c r="AN23" s="511"/>
      <c r="AO23" s="511"/>
      <c r="AP23" s="511"/>
      <c r="AQ23" s="511"/>
      <c r="AR23" s="511"/>
      <c r="AS23" s="511"/>
      <c r="AT23" s="511"/>
      <c r="AU23" s="511"/>
      <c r="AV23" s="511"/>
      <c r="AW23" s="511"/>
      <c r="AX23" s="511"/>
      <c r="AY23" s="511"/>
      <c r="AZ23" s="511"/>
      <c r="BA23" s="511"/>
      <c r="BB23" s="511"/>
      <c r="BC23" s="511"/>
      <c r="BD23" s="511"/>
      <c r="BE23" s="511"/>
      <c r="BF23" s="511"/>
      <c r="BG23" s="511"/>
      <c r="BH23" s="511"/>
      <c r="BI23" s="511"/>
      <c r="BJ23" s="511"/>
      <c r="BK23" s="511"/>
      <c r="BL23" s="511"/>
      <c r="BM23" s="511"/>
      <c r="BN23" s="511"/>
      <c r="BO23" s="511"/>
      <c r="BP23" s="511"/>
      <c r="BQ23" s="511"/>
      <c r="BR23" s="511"/>
      <c r="BS23" s="511"/>
      <c r="BT23" s="511"/>
      <c r="BU23" s="511"/>
      <c r="BV23" s="511"/>
      <c r="BW23" s="511"/>
      <c r="BX23" s="511"/>
      <c r="BY23" s="511"/>
      <c r="BZ23" s="511"/>
      <c r="CA23" s="511"/>
      <c r="CB23" s="511"/>
      <c r="CC23" s="511"/>
      <c r="CD23" s="511"/>
      <c r="CE23" s="511"/>
      <c r="CF23" s="511"/>
      <c r="CG23" s="511"/>
      <c r="CH23" s="511"/>
      <c r="CI23" s="511"/>
      <c r="CJ23" s="511"/>
      <c r="CK23" s="511"/>
      <c r="CL23" s="511"/>
      <c r="CM23" s="511"/>
      <c r="CN23" s="511"/>
      <c r="CO23" s="511"/>
      <c r="CP23" s="511"/>
      <c r="CQ23" s="511"/>
      <c r="CR23" s="511"/>
      <c r="CS23" s="511"/>
      <c r="CT23" s="511"/>
      <c r="CU23" s="511"/>
      <c r="CV23" s="511"/>
      <c r="CW23" s="511"/>
      <c r="CX23" s="511"/>
      <c r="CY23" s="511"/>
      <c r="CZ23" s="511"/>
      <c r="DA23" s="511"/>
      <c r="DB23" s="511"/>
      <c r="DC23" s="511"/>
      <c r="DD23" s="511"/>
      <c r="DE23" s="511"/>
      <c r="DF23" s="511"/>
      <c r="DG23" s="511"/>
      <c r="DH23" s="511"/>
      <c r="DI23" s="511"/>
      <c r="DJ23" s="511"/>
      <c r="DK23" s="511"/>
      <c r="DL23" s="511"/>
      <c r="DM23" s="511"/>
      <c r="DN23" s="511"/>
      <c r="DO23" s="511"/>
      <c r="DP23" s="511"/>
      <c r="DQ23" s="511"/>
      <c r="DR23" s="511"/>
      <c r="DS23" s="511"/>
      <c r="DT23" s="511"/>
      <c r="DU23" s="511"/>
      <c r="DV23" s="511"/>
      <c r="DW23" s="511"/>
      <c r="DX23" s="511"/>
      <c r="DY23" s="511"/>
      <c r="DZ23" s="511"/>
      <c r="EA23" s="511"/>
      <c r="EB23" s="511"/>
      <c r="EC23" s="511"/>
      <c r="ED23" s="511"/>
      <c r="EE23" s="511"/>
      <c r="EF23" s="511"/>
      <c r="EG23" s="511"/>
      <c r="EH23" s="511"/>
      <c r="EI23" s="511"/>
      <c r="EJ23" s="511"/>
      <c r="EK23" s="511"/>
      <c r="EL23" s="511"/>
      <c r="EM23" s="511"/>
      <c r="EN23" s="511"/>
      <c r="EO23" s="511"/>
      <c r="EP23" s="511"/>
      <c r="EQ23" s="511"/>
      <c r="ER23" s="511"/>
      <c r="ES23" s="511"/>
      <c r="ET23" s="511"/>
      <c r="EU23" s="511"/>
      <c r="EV23" s="511"/>
      <c r="EW23" s="511"/>
      <c r="EX23" s="511"/>
      <c r="EY23" s="511"/>
      <c r="EZ23" s="511"/>
      <c r="FA23" s="511"/>
      <c r="FB23" s="511"/>
      <c r="FC23" s="511"/>
      <c r="FD23" s="511"/>
      <c r="FE23" s="511"/>
      <c r="FF23" s="511"/>
      <c r="FG23" s="511"/>
      <c r="FH23" s="511"/>
      <c r="FI23" s="511"/>
      <c r="FJ23" s="511"/>
      <c r="FK23" s="511"/>
      <c r="FL23" s="511"/>
      <c r="FM23" s="511"/>
      <c r="FN23" s="511"/>
      <c r="FO23" s="511"/>
      <c r="FP23" s="511"/>
      <c r="FQ23" s="511"/>
      <c r="FR23" s="511"/>
      <c r="FS23" s="511"/>
      <c r="FT23" s="511"/>
      <c r="FU23" s="511"/>
      <c r="FV23" s="511"/>
      <c r="FW23" s="511"/>
      <c r="FX23" s="511"/>
      <c r="FY23" s="511"/>
      <c r="FZ23" s="511"/>
      <c r="GA23" s="511"/>
      <c r="GB23" s="511"/>
      <c r="GC23" s="511"/>
      <c r="GD23" s="511"/>
      <c r="GE23" s="511"/>
      <c r="GF23" s="511"/>
      <c r="GG23" s="511"/>
      <c r="GH23" s="511"/>
      <c r="GI23" s="511"/>
      <c r="GJ23" s="511"/>
      <c r="GK23" s="511"/>
      <c r="GL23" s="511"/>
      <c r="GM23" s="511"/>
      <c r="GN23" s="511"/>
      <c r="GO23" s="511"/>
      <c r="GP23" s="511"/>
      <c r="GQ23" s="511"/>
      <c r="GR23" s="511"/>
      <c r="GS23" s="511"/>
      <c r="GT23" s="511"/>
      <c r="GU23" s="511"/>
      <c r="GV23" s="511"/>
      <c r="GW23" s="511"/>
      <c r="GX23" s="511"/>
      <c r="GY23" s="511"/>
      <c r="GZ23" s="511"/>
      <c r="HA23" s="511"/>
      <c r="HB23" s="511"/>
      <c r="HC23" s="511"/>
      <c r="HD23" s="511"/>
      <c r="HE23" s="511"/>
      <c r="HF23" s="511"/>
      <c r="HG23" s="511"/>
      <c r="HH23" s="511"/>
      <c r="HI23" s="511"/>
      <c r="HJ23" s="511"/>
      <c r="HK23" s="511"/>
      <c r="HL23" s="511"/>
      <c r="HM23" s="511"/>
      <c r="HN23" s="511"/>
      <c r="HO23" s="511"/>
      <c r="HP23" s="511"/>
      <c r="HQ23" s="511"/>
      <c r="HR23" s="511"/>
      <c r="HS23" s="511"/>
      <c r="HT23" s="511"/>
      <c r="HU23" s="511"/>
      <c r="HV23" s="511"/>
      <c r="HW23" s="511"/>
      <c r="HX23" s="511"/>
      <c r="HY23" s="511"/>
      <c r="HZ23" s="511"/>
      <c r="IA23" s="511"/>
      <c r="IB23" s="511"/>
      <c r="IC23" s="511"/>
      <c r="ID23" s="511"/>
      <c r="IE23" s="511"/>
      <c r="IF23" s="511"/>
      <c r="IG23" s="511"/>
      <c r="IH23" s="511"/>
      <c r="II23" s="511"/>
      <c r="IJ23" s="511"/>
      <c r="IK23" s="511"/>
      <c r="IL23" s="511"/>
      <c r="IM23" s="511"/>
      <c r="IN23" s="511"/>
      <c r="IO23" s="511"/>
      <c r="IP23" s="511"/>
      <c r="IQ23" s="511"/>
      <c r="IR23" s="511"/>
      <c r="IS23" s="511"/>
      <c r="IT23" s="511"/>
      <c r="IU23" s="511"/>
      <c r="IV23" s="511"/>
      <c r="IW23" s="511"/>
    </row>
    <row r="24" customFormat="false" ht="12.75" hidden="false" customHeight="true" outlineLevel="0" collapsed="false">
      <c r="A24" s="551" t="s">
        <v>548</v>
      </c>
      <c r="B24" s="551"/>
      <c r="C24" s="551"/>
      <c r="D24" s="551"/>
      <c r="E24" s="551"/>
      <c r="F24" s="551"/>
      <c r="G24" s="551"/>
      <c r="H24" s="551"/>
      <c r="I24" s="551"/>
      <c r="J24" s="551"/>
      <c r="K24" s="551"/>
      <c r="L24" s="551"/>
      <c r="M24" s="551"/>
      <c r="N24" s="551"/>
      <c r="O24" s="551"/>
      <c r="P24" s="551"/>
      <c r="Q24" s="551"/>
      <c r="R24" s="551"/>
      <c r="S24" s="551"/>
      <c r="T24" s="551"/>
      <c r="U24" s="551"/>
      <c r="V24" s="551"/>
      <c r="W24" s="551"/>
      <c r="X24" s="511"/>
      <c r="Y24" s="511"/>
      <c r="Z24" s="511"/>
      <c r="AA24" s="511"/>
      <c r="AB24" s="511"/>
      <c r="AC24" s="511"/>
      <c r="AD24" s="511"/>
      <c r="AE24" s="511"/>
      <c r="AF24" s="511"/>
      <c r="AG24" s="511"/>
      <c r="AH24" s="511"/>
      <c r="AI24" s="511"/>
      <c r="AJ24" s="511"/>
      <c r="AK24" s="511"/>
      <c r="AL24" s="511"/>
      <c r="AM24" s="511"/>
      <c r="AN24" s="511"/>
      <c r="AO24" s="511"/>
      <c r="AP24" s="511"/>
      <c r="AQ24" s="511"/>
      <c r="AR24" s="511"/>
      <c r="AS24" s="511"/>
      <c r="AT24" s="511"/>
      <c r="AU24" s="511"/>
      <c r="AV24" s="511"/>
      <c r="AW24" s="511"/>
      <c r="AX24" s="511"/>
      <c r="AY24" s="511"/>
      <c r="AZ24" s="511"/>
      <c r="BA24" s="511"/>
      <c r="BB24" s="511"/>
      <c r="BC24" s="511"/>
      <c r="BD24" s="511"/>
      <c r="BE24" s="511"/>
      <c r="BF24" s="511"/>
      <c r="BG24" s="511"/>
      <c r="BH24" s="511"/>
      <c r="BI24" s="511"/>
      <c r="BJ24" s="511"/>
      <c r="BK24" s="511"/>
      <c r="BL24" s="511"/>
      <c r="BM24" s="511"/>
      <c r="BN24" s="511"/>
      <c r="BO24" s="511"/>
      <c r="BP24" s="511"/>
      <c r="BQ24" s="511"/>
      <c r="BR24" s="511"/>
      <c r="BS24" s="511"/>
      <c r="BT24" s="511"/>
      <c r="BU24" s="511"/>
      <c r="BV24" s="511"/>
      <c r="BW24" s="511"/>
      <c r="BX24" s="511"/>
      <c r="BY24" s="511"/>
      <c r="BZ24" s="511"/>
      <c r="CA24" s="511"/>
      <c r="CB24" s="511"/>
      <c r="CC24" s="511"/>
      <c r="CD24" s="511"/>
      <c r="CE24" s="511"/>
      <c r="CF24" s="511"/>
      <c r="CG24" s="511"/>
      <c r="CH24" s="511"/>
      <c r="CI24" s="511"/>
      <c r="CJ24" s="511"/>
      <c r="CK24" s="511"/>
      <c r="CL24" s="511"/>
      <c r="CM24" s="511"/>
      <c r="CN24" s="511"/>
      <c r="CO24" s="511"/>
      <c r="CP24" s="511"/>
      <c r="CQ24" s="511"/>
      <c r="CR24" s="511"/>
      <c r="CS24" s="511"/>
      <c r="CT24" s="511"/>
      <c r="CU24" s="511"/>
      <c r="CV24" s="511"/>
      <c r="CW24" s="511"/>
      <c r="CX24" s="511"/>
      <c r="CY24" s="511"/>
      <c r="CZ24" s="511"/>
      <c r="DA24" s="511"/>
      <c r="DB24" s="511"/>
      <c r="DC24" s="511"/>
      <c r="DD24" s="511"/>
      <c r="DE24" s="511"/>
      <c r="DF24" s="511"/>
      <c r="DG24" s="511"/>
      <c r="DH24" s="511"/>
      <c r="DI24" s="511"/>
      <c r="DJ24" s="511"/>
      <c r="DK24" s="511"/>
      <c r="DL24" s="511"/>
      <c r="DM24" s="511"/>
      <c r="DN24" s="511"/>
      <c r="DO24" s="511"/>
      <c r="DP24" s="511"/>
      <c r="DQ24" s="511"/>
      <c r="DR24" s="511"/>
      <c r="DS24" s="511"/>
      <c r="DT24" s="511"/>
      <c r="DU24" s="511"/>
      <c r="DV24" s="511"/>
      <c r="DW24" s="511"/>
      <c r="DX24" s="511"/>
      <c r="DY24" s="511"/>
      <c r="DZ24" s="511"/>
      <c r="EA24" s="511"/>
      <c r="EB24" s="511"/>
      <c r="EC24" s="511"/>
      <c r="ED24" s="511"/>
      <c r="EE24" s="511"/>
      <c r="EF24" s="511"/>
      <c r="EG24" s="511"/>
      <c r="EH24" s="511"/>
      <c r="EI24" s="511"/>
      <c r="EJ24" s="511"/>
      <c r="EK24" s="511"/>
      <c r="EL24" s="511"/>
      <c r="EM24" s="511"/>
      <c r="EN24" s="511"/>
      <c r="EO24" s="511"/>
      <c r="EP24" s="511"/>
      <c r="EQ24" s="511"/>
      <c r="ER24" s="511"/>
      <c r="ES24" s="511"/>
      <c r="ET24" s="511"/>
      <c r="EU24" s="511"/>
      <c r="EV24" s="511"/>
      <c r="EW24" s="511"/>
      <c r="EX24" s="511"/>
      <c r="EY24" s="511"/>
      <c r="EZ24" s="511"/>
      <c r="FA24" s="511"/>
      <c r="FB24" s="511"/>
      <c r="FC24" s="511"/>
      <c r="FD24" s="511"/>
      <c r="FE24" s="511"/>
      <c r="FF24" s="511"/>
      <c r="FG24" s="511"/>
      <c r="FH24" s="511"/>
      <c r="FI24" s="511"/>
      <c r="FJ24" s="511"/>
      <c r="FK24" s="511"/>
      <c r="FL24" s="511"/>
      <c r="FM24" s="511"/>
      <c r="FN24" s="511"/>
      <c r="FO24" s="511"/>
      <c r="FP24" s="511"/>
      <c r="FQ24" s="511"/>
      <c r="FR24" s="511"/>
      <c r="FS24" s="511"/>
      <c r="FT24" s="511"/>
      <c r="FU24" s="511"/>
      <c r="FV24" s="511"/>
      <c r="FW24" s="511"/>
      <c r="FX24" s="511"/>
      <c r="FY24" s="511"/>
      <c r="FZ24" s="511"/>
      <c r="GA24" s="511"/>
      <c r="GB24" s="511"/>
      <c r="GC24" s="511"/>
      <c r="GD24" s="511"/>
      <c r="GE24" s="511"/>
      <c r="GF24" s="511"/>
      <c r="GG24" s="511"/>
      <c r="GH24" s="511"/>
      <c r="GI24" s="511"/>
      <c r="GJ24" s="511"/>
      <c r="GK24" s="511"/>
      <c r="GL24" s="511"/>
      <c r="GM24" s="511"/>
      <c r="GN24" s="511"/>
      <c r="GO24" s="511"/>
      <c r="GP24" s="511"/>
      <c r="GQ24" s="511"/>
      <c r="GR24" s="511"/>
      <c r="GS24" s="511"/>
      <c r="GT24" s="511"/>
      <c r="GU24" s="511"/>
      <c r="GV24" s="511"/>
      <c r="GW24" s="511"/>
      <c r="GX24" s="511"/>
      <c r="GY24" s="511"/>
      <c r="GZ24" s="511"/>
      <c r="HA24" s="511"/>
      <c r="HB24" s="511"/>
      <c r="HC24" s="511"/>
      <c r="HD24" s="511"/>
      <c r="HE24" s="511"/>
      <c r="HF24" s="511"/>
      <c r="HG24" s="511"/>
      <c r="HH24" s="511"/>
      <c r="HI24" s="511"/>
      <c r="HJ24" s="511"/>
      <c r="HK24" s="511"/>
      <c r="HL24" s="511"/>
      <c r="HM24" s="511"/>
      <c r="HN24" s="511"/>
      <c r="HO24" s="511"/>
      <c r="HP24" s="511"/>
      <c r="HQ24" s="511"/>
      <c r="HR24" s="511"/>
      <c r="HS24" s="511"/>
      <c r="HT24" s="511"/>
      <c r="HU24" s="511"/>
      <c r="HV24" s="511"/>
      <c r="HW24" s="511"/>
      <c r="HX24" s="511"/>
      <c r="HY24" s="511"/>
      <c r="HZ24" s="511"/>
      <c r="IA24" s="511"/>
      <c r="IB24" s="511"/>
      <c r="IC24" s="511"/>
      <c r="ID24" s="511"/>
      <c r="IE24" s="511"/>
      <c r="IF24" s="511"/>
      <c r="IG24" s="511"/>
      <c r="IH24" s="511"/>
      <c r="II24" s="511"/>
      <c r="IJ24" s="511"/>
      <c r="IK24" s="511"/>
      <c r="IL24" s="511"/>
      <c r="IM24" s="511"/>
      <c r="IN24" s="511"/>
      <c r="IO24" s="511"/>
      <c r="IP24" s="511"/>
      <c r="IQ24" s="511"/>
      <c r="IR24" s="511"/>
      <c r="IS24" s="511"/>
      <c r="IT24" s="511"/>
      <c r="IU24" s="511"/>
      <c r="IV24" s="511"/>
      <c r="IW24" s="511"/>
    </row>
    <row r="25" customFormat="false" ht="16.5" hidden="false" customHeight="false" outlineLevel="0" collapsed="false">
      <c r="A25" s="552"/>
    </row>
  </sheetData>
  <mergeCells count="47">
    <mergeCell ref="A1:C3"/>
    <mergeCell ref="D1:F1"/>
    <mergeCell ref="G1:J1"/>
    <mergeCell ref="K1:V3"/>
    <mergeCell ref="D2:F2"/>
    <mergeCell ref="G2:J2"/>
    <mergeCell ref="D3:F3"/>
    <mergeCell ref="G3:J3"/>
    <mergeCell ref="A4:W4"/>
    <mergeCell ref="A5:J5"/>
    <mergeCell ref="K5:W5"/>
    <mergeCell ref="A6:B6"/>
    <mergeCell ref="C6:J6"/>
    <mergeCell ref="K6:M6"/>
    <mergeCell ref="N6:W6"/>
    <mergeCell ref="A7:B7"/>
    <mergeCell ref="C7:J7"/>
    <mergeCell ref="K7:M7"/>
    <mergeCell ref="N7:W7"/>
    <mergeCell ref="A8:B8"/>
    <mergeCell ref="C8:J8"/>
    <mergeCell ref="K8:M8"/>
    <mergeCell ref="N8:W8"/>
    <mergeCell ref="A9:B9"/>
    <mergeCell ref="C9:J9"/>
    <mergeCell ref="K9:M9"/>
    <mergeCell ref="N9:W9"/>
    <mergeCell ref="A10:B10"/>
    <mergeCell ref="C10:Q10"/>
    <mergeCell ref="T10:V10"/>
    <mergeCell ref="A11:W11"/>
    <mergeCell ref="A12:W12"/>
    <mergeCell ref="A13:W13"/>
    <mergeCell ref="A14:W14"/>
    <mergeCell ref="P15:W15"/>
    <mergeCell ref="A16:W16"/>
    <mergeCell ref="L17:N17"/>
    <mergeCell ref="O17:S17"/>
    <mergeCell ref="T17:W17"/>
    <mergeCell ref="A18:W18"/>
    <mergeCell ref="P19:R19"/>
    <mergeCell ref="S19:W19"/>
    <mergeCell ref="B20:W20"/>
    <mergeCell ref="A21:W21"/>
    <mergeCell ref="A22:W22"/>
    <mergeCell ref="A23:W23"/>
    <mergeCell ref="A24:W24"/>
  </mergeCells>
  <printOptions headings="false" gridLines="false" gridLinesSet="true" horizontalCentered="false" verticalCentered="false"/>
  <pageMargins left="0.48" right="0.41" top="0.75" bottom="0.75"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IW42"/>
  <sheetViews>
    <sheetView showFormulas="false" showGridLines="false" showRowColHeaders="true" showZeros="false" rightToLeft="false" tabSelected="false" showOutlineSymbols="true" defaultGridColor="true" view="normal" topLeftCell="A10" colorId="64" zoomScale="100" zoomScaleNormal="100" zoomScalePageLayoutView="100" workbookViewId="0">
      <selection pane="topLeft" activeCell="L31" activeCellId="0" sqref="L31:O31"/>
    </sheetView>
  </sheetViews>
  <sheetFormatPr defaultColWidth="8.88671875" defaultRowHeight="16.5" customHeight="false" zeroHeight="false" outlineLevelRow="0" outlineLevelCol="0"/>
  <cols>
    <col collapsed="false" customWidth="true" hidden="false" outlineLevel="0" max="1" min="1" style="506" width="10.44"/>
    <col collapsed="false" customWidth="true" hidden="false" outlineLevel="0" max="2" min="2" style="506" width="4.99"/>
    <col collapsed="false" customWidth="true" hidden="false" outlineLevel="0" max="3" min="3" style="506" width="4.66"/>
    <col collapsed="false" customWidth="true" hidden="false" outlineLevel="0" max="4" min="4" style="506" width="2.99"/>
    <col collapsed="false" customWidth="true" hidden="false" outlineLevel="0" max="7" min="5" style="506" width="2.77"/>
    <col collapsed="false" customWidth="true" hidden="false" outlineLevel="0" max="8" min="8" style="506" width="7.21"/>
    <col collapsed="false" customWidth="true" hidden="false" outlineLevel="0" max="9" min="9" style="506" width="5.66"/>
    <col collapsed="false" customWidth="true" hidden="false" outlineLevel="0" max="10" min="10" style="506" width="2.55"/>
    <col collapsed="false" customWidth="true" hidden="false" outlineLevel="0" max="11" min="11" style="506" width="3.99"/>
    <col collapsed="false" customWidth="true" hidden="false" outlineLevel="0" max="12" min="12" style="506" width="1.66"/>
    <col collapsed="false" customWidth="true" hidden="false" outlineLevel="0" max="13" min="13" style="506" width="5.78"/>
    <col collapsed="false" customWidth="true" hidden="false" outlineLevel="0" max="14" min="14" style="506" width="4.33"/>
    <col collapsed="false" customWidth="true" hidden="false" outlineLevel="0" max="15" min="15" style="506" width="3.44"/>
    <col collapsed="false" customWidth="true" hidden="false" outlineLevel="0" max="16" min="16" style="506" width="4.44"/>
    <col collapsed="false" customWidth="true" hidden="false" outlineLevel="0" max="17" min="17" style="506" width="5.44"/>
    <col collapsed="false" customWidth="true" hidden="false" outlineLevel="0" max="18" min="18" style="506" width="3.77"/>
    <col collapsed="false" customWidth="true" hidden="false" outlineLevel="0" max="19" min="19" style="506" width="1.33"/>
    <col collapsed="false" customWidth="true" hidden="false" outlineLevel="0" max="21" min="20" style="506" width="3.66"/>
    <col collapsed="false" customWidth="false" hidden="false" outlineLevel="0" max="257" min="22" style="506" width="8.88"/>
  </cols>
  <sheetData>
    <row r="1" customFormat="false" ht="20.25" hidden="false" customHeight="true" outlineLevel="0" collapsed="false">
      <c r="A1" s="553" t="s">
        <v>549</v>
      </c>
      <c r="B1" s="553"/>
      <c r="C1" s="553"/>
      <c r="D1" s="553"/>
      <c r="E1" s="553"/>
      <c r="F1" s="553"/>
      <c r="G1" s="553"/>
      <c r="H1" s="553"/>
      <c r="I1" s="553"/>
      <c r="J1" s="553"/>
      <c r="K1" s="554"/>
      <c r="L1" s="554"/>
      <c r="M1" s="554"/>
      <c r="N1" s="554"/>
      <c r="O1" s="554"/>
      <c r="P1" s="554"/>
      <c r="Q1" s="554"/>
      <c r="R1" s="554"/>
      <c r="S1" s="554"/>
      <c r="T1" s="555"/>
      <c r="U1" s="555"/>
      <c r="V1" s="555"/>
      <c r="W1" s="555"/>
      <c r="X1" s="555"/>
      <c r="Y1" s="555"/>
      <c r="Z1" s="555"/>
      <c r="AA1" s="555"/>
      <c r="AB1" s="555"/>
      <c r="AC1" s="555"/>
      <c r="AD1" s="555"/>
      <c r="AE1" s="555"/>
      <c r="AF1" s="555"/>
      <c r="AG1" s="555"/>
      <c r="AH1" s="555"/>
      <c r="AI1" s="555"/>
      <c r="AJ1" s="555"/>
      <c r="AK1" s="555"/>
      <c r="AL1" s="555"/>
      <c r="AM1" s="555"/>
      <c r="AN1" s="555"/>
      <c r="AO1" s="555"/>
      <c r="AP1" s="555"/>
      <c r="AQ1" s="555"/>
      <c r="AR1" s="555"/>
      <c r="AS1" s="555"/>
      <c r="AT1" s="555"/>
      <c r="AU1" s="555"/>
      <c r="AV1" s="555"/>
      <c r="AW1" s="555"/>
      <c r="AX1" s="555"/>
      <c r="AY1" s="555"/>
      <c r="AZ1" s="555"/>
      <c r="BA1" s="555"/>
      <c r="BB1" s="555"/>
      <c r="BC1" s="555"/>
      <c r="BD1" s="555"/>
      <c r="BE1" s="555"/>
      <c r="BF1" s="555"/>
      <c r="BG1" s="555"/>
      <c r="BH1" s="555"/>
      <c r="BI1" s="555"/>
      <c r="BJ1" s="555"/>
      <c r="BK1" s="555"/>
      <c r="BL1" s="555"/>
      <c r="BM1" s="555"/>
      <c r="BN1" s="555"/>
      <c r="BO1" s="555"/>
      <c r="BP1" s="555"/>
      <c r="BQ1" s="555"/>
      <c r="BR1" s="555"/>
      <c r="BS1" s="555"/>
      <c r="BT1" s="555"/>
      <c r="BU1" s="555"/>
      <c r="BV1" s="555"/>
      <c r="BW1" s="555"/>
      <c r="BX1" s="555"/>
      <c r="BY1" s="555"/>
      <c r="BZ1" s="555"/>
      <c r="CA1" s="555"/>
      <c r="CB1" s="555"/>
      <c r="CC1" s="555"/>
      <c r="CD1" s="555"/>
      <c r="CE1" s="555"/>
      <c r="CF1" s="555"/>
      <c r="CG1" s="555"/>
      <c r="CH1" s="555"/>
      <c r="CI1" s="555"/>
      <c r="CJ1" s="555"/>
      <c r="CK1" s="555"/>
      <c r="CL1" s="555"/>
      <c r="CM1" s="555"/>
      <c r="CN1" s="555"/>
      <c r="CO1" s="555"/>
      <c r="CP1" s="555"/>
      <c r="CQ1" s="555"/>
      <c r="CR1" s="555"/>
      <c r="CS1" s="555"/>
      <c r="CT1" s="555"/>
      <c r="CU1" s="555"/>
      <c r="CV1" s="555"/>
      <c r="CW1" s="555"/>
      <c r="CX1" s="555"/>
      <c r="CY1" s="555"/>
      <c r="CZ1" s="555"/>
      <c r="DA1" s="555"/>
      <c r="DB1" s="555"/>
      <c r="DC1" s="555"/>
      <c r="DD1" s="555"/>
      <c r="DE1" s="555"/>
      <c r="DF1" s="555"/>
      <c r="DG1" s="555"/>
      <c r="DH1" s="555"/>
      <c r="DI1" s="555"/>
      <c r="DJ1" s="555"/>
      <c r="DK1" s="555"/>
      <c r="DL1" s="555"/>
      <c r="DM1" s="555"/>
      <c r="DN1" s="555"/>
      <c r="DO1" s="555"/>
      <c r="DP1" s="555"/>
      <c r="DQ1" s="555"/>
      <c r="DR1" s="555"/>
      <c r="DS1" s="555"/>
      <c r="DT1" s="555"/>
      <c r="DU1" s="555"/>
      <c r="DV1" s="555"/>
      <c r="DW1" s="555"/>
      <c r="DX1" s="555"/>
      <c r="DY1" s="555"/>
      <c r="DZ1" s="555"/>
      <c r="EA1" s="555"/>
      <c r="EB1" s="555"/>
      <c r="EC1" s="555"/>
      <c r="ED1" s="555"/>
      <c r="EE1" s="555"/>
      <c r="EF1" s="555"/>
      <c r="EG1" s="555"/>
      <c r="EH1" s="555"/>
      <c r="EI1" s="555"/>
      <c r="EJ1" s="555"/>
      <c r="EK1" s="555"/>
      <c r="EL1" s="555"/>
      <c r="EM1" s="555"/>
      <c r="EN1" s="555"/>
      <c r="EO1" s="555"/>
      <c r="EP1" s="555"/>
      <c r="EQ1" s="555"/>
      <c r="ER1" s="555"/>
      <c r="ES1" s="555"/>
      <c r="ET1" s="555"/>
      <c r="EU1" s="555"/>
      <c r="EV1" s="555"/>
      <c r="EW1" s="555"/>
      <c r="EX1" s="555"/>
      <c r="EY1" s="555"/>
      <c r="EZ1" s="555"/>
      <c r="FA1" s="555"/>
      <c r="FB1" s="555"/>
      <c r="FC1" s="555"/>
      <c r="FD1" s="555"/>
      <c r="FE1" s="555"/>
      <c r="FF1" s="555"/>
      <c r="FG1" s="555"/>
      <c r="FH1" s="555"/>
      <c r="FI1" s="555"/>
      <c r="FJ1" s="555"/>
      <c r="FK1" s="555"/>
      <c r="FL1" s="555"/>
      <c r="FM1" s="555"/>
      <c r="FN1" s="555"/>
      <c r="FO1" s="555"/>
      <c r="FP1" s="555"/>
      <c r="FQ1" s="555"/>
      <c r="FR1" s="555"/>
      <c r="FS1" s="555"/>
      <c r="FT1" s="555"/>
      <c r="FU1" s="555"/>
      <c r="FV1" s="555"/>
      <c r="FW1" s="555"/>
      <c r="FX1" s="555"/>
      <c r="FY1" s="555"/>
      <c r="FZ1" s="555"/>
      <c r="GA1" s="555"/>
      <c r="GB1" s="555"/>
      <c r="GC1" s="555"/>
      <c r="GD1" s="555"/>
      <c r="GE1" s="555"/>
      <c r="GF1" s="555"/>
      <c r="GG1" s="555"/>
      <c r="GH1" s="555"/>
      <c r="GI1" s="555"/>
      <c r="GJ1" s="555"/>
      <c r="GK1" s="555"/>
      <c r="GL1" s="555"/>
      <c r="GM1" s="555"/>
      <c r="GN1" s="555"/>
      <c r="GO1" s="555"/>
      <c r="GP1" s="555"/>
      <c r="GQ1" s="555"/>
      <c r="GR1" s="555"/>
      <c r="GS1" s="555"/>
      <c r="GT1" s="555"/>
      <c r="GU1" s="555"/>
      <c r="GV1" s="555"/>
      <c r="GW1" s="555"/>
      <c r="GX1" s="555"/>
      <c r="GY1" s="555"/>
      <c r="GZ1" s="555"/>
      <c r="HA1" s="555"/>
      <c r="HB1" s="555"/>
      <c r="HC1" s="555"/>
      <c r="HD1" s="555"/>
      <c r="HE1" s="555"/>
      <c r="HF1" s="555"/>
      <c r="HG1" s="555"/>
      <c r="HH1" s="555"/>
      <c r="HI1" s="555"/>
      <c r="HJ1" s="555"/>
      <c r="HK1" s="555"/>
      <c r="HL1" s="555"/>
      <c r="HM1" s="555"/>
      <c r="HN1" s="555"/>
      <c r="HO1" s="555"/>
      <c r="HP1" s="555"/>
      <c r="HQ1" s="555"/>
      <c r="HR1" s="555"/>
      <c r="HS1" s="555"/>
      <c r="HT1" s="555"/>
      <c r="HU1" s="555"/>
      <c r="HV1" s="555"/>
      <c r="HW1" s="555"/>
      <c r="HX1" s="555"/>
      <c r="HY1" s="555"/>
      <c r="HZ1" s="555"/>
      <c r="IA1" s="555"/>
      <c r="IB1" s="555"/>
      <c r="IC1" s="555"/>
      <c r="ID1" s="555"/>
      <c r="IE1" s="555"/>
      <c r="IF1" s="555"/>
      <c r="IG1" s="555"/>
      <c r="IH1" s="555"/>
      <c r="II1" s="555"/>
      <c r="IJ1" s="555"/>
      <c r="IK1" s="555"/>
      <c r="IL1" s="555"/>
      <c r="IM1" s="555"/>
      <c r="IN1" s="555"/>
      <c r="IO1" s="555"/>
      <c r="IP1" s="555"/>
      <c r="IQ1" s="555"/>
      <c r="IR1" s="555"/>
      <c r="IS1" s="555"/>
      <c r="IT1" s="555"/>
      <c r="IU1" s="555"/>
      <c r="IV1" s="555"/>
      <c r="IW1" s="555"/>
    </row>
    <row r="2" customFormat="false" ht="39.75" hidden="false" customHeight="true" outlineLevel="0" collapsed="false">
      <c r="A2" s="509" t="s">
        <v>550</v>
      </c>
      <c r="B2" s="509"/>
      <c r="C2" s="509"/>
      <c r="D2" s="509"/>
      <c r="E2" s="509"/>
      <c r="F2" s="509"/>
      <c r="G2" s="509"/>
      <c r="H2" s="509"/>
      <c r="I2" s="509"/>
      <c r="J2" s="509"/>
      <c r="K2" s="509"/>
      <c r="L2" s="509"/>
      <c r="M2" s="509"/>
      <c r="N2" s="509"/>
      <c r="O2" s="509"/>
      <c r="P2" s="509"/>
      <c r="Q2" s="509"/>
      <c r="R2" s="509"/>
      <c r="S2" s="509"/>
      <c r="T2" s="555"/>
      <c r="U2" s="555"/>
      <c r="V2" s="555"/>
      <c r="W2" s="555"/>
      <c r="X2" s="555"/>
      <c r="Y2" s="555"/>
      <c r="Z2" s="555"/>
      <c r="AA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c r="BA2" s="555"/>
      <c r="BB2" s="555"/>
      <c r="BC2" s="555"/>
      <c r="BD2" s="555"/>
      <c r="BE2" s="555"/>
      <c r="BF2" s="555"/>
      <c r="BG2" s="555"/>
      <c r="BH2" s="555"/>
      <c r="BI2" s="555"/>
      <c r="BJ2" s="555"/>
      <c r="BK2" s="555"/>
      <c r="BL2" s="555"/>
      <c r="BM2" s="555"/>
      <c r="BN2" s="555"/>
      <c r="BO2" s="555"/>
      <c r="BP2" s="555"/>
      <c r="BQ2" s="555"/>
      <c r="BR2" s="555"/>
      <c r="BS2" s="555"/>
      <c r="BT2" s="555"/>
      <c r="BU2" s="555"/>
      <c r="BV2" s="555"/>
      <c r="BW2" s="555"/>
      <c r="BX2" s="555"/>
      <c r="BY2" s="555"/>
      <c r="BZ2" s="555"/>
      <c r="CA2" s="555"/>
      <c r="CB2" s="555"/>
      <c r="CC2" s="555"/>
      <c r="CD2" s="555"/>
      <c r="CE2" s="555"/>
      <c r="CF2" s="555"/>
      <c r="CG2" s="555"/>
      <c r="CH2" s="555"/>
      <c r="CI2" s="555"/>
      <c r="CJ2" s="555"/>
      <c r="CK2" s="555"/>
      <c r="CL2" s="555"/>
      <c r="CM2" s="555"/>
      <c r="CN2" s="555"/>
      <c r="CO2" s="555"/>
      <c r="CP2" s="555"/>
      <c r="CQ2" s="555"/>
      <c r="CR2" s="555"/>
      <c r="CS2" s="555"/>
      <c r="CT2" s="555"/>
      <c r="CU2" s="555"/>
      <c r="CV2" s="555"/>
      <c r="CW2" s="555"/>
      <c r="CX2" s="555"/>
      <c r="CY2" s="555"/>
      <c r="CZ2" s="555"/>
      <c r="DA2" s="555"/>
      <c r="DB2" s="555"/>
      <c r="DC2" s="555"/>
      <c r="DD2" s="555"/>
      <c r="DE2" s="555"/>
      <c r="DF2" s="555"/>
      <c r="DG2" s="555"/>
      <c r="DH2" s="555"/>
      <c r="DI2" s="555"/>
      <c r="DJ2" s="555"/>
      <c r="DK2" s="555"/>
      <c r="DL2" s="555"/>
      <c r="DM2" s="555"/>
      <c r="DN2" s="555"/>
      <c r="DO2" s="555"/>
      <c r="DP2" s="555"/>
      <c r="DQ2" s="555"/>
      <c r="DR2" s="555"/>
      <c r="DS2" s="555"/>
      <c r="DT2" s="555"/>
      <c r="DU2" s="555"/>
      <c r="DV2" s="555"/>
      <c r="DW2" s="555"/>
      <c r="DX2" s="555"/>
      <c r="DY2" s="555"/>
      <c r="DZ2" s="555"/>
      <c r="EA2" s="555"/>
      <c r="EB2" s="555"/>
      <c r="EC2" s="555"/>
      <c r="ED2" s="555"/>
      <c r="EE2" s="555"/>
      <c r="EF2" s="555"/>
      <c r="EG2" s="555"/>
      <c r="EH2" s="555"/>
      <c r="EI2" s="555"/>
      <c r="EJ2" s="555"/>
      <c r="EK2" s="555"/>
      <c r="EL2" s="555"/>
      <c r="EM2" s="555"/>
      <c r="EN2" s="555"/>
      <c r="EO2" s="555"/>
      <c r="EP2" s="555"/>
      <c r="EQ2" s="555"/>
      <c r="ER2" s="555"/>
      <c r="ES2" s="555"/>
      <c r="ET2" s="555"/>
      <c r="EU2" s="555"/>
      <c r="EV2" s="555"/>
      <c r="EW2" s="555"/>
      <c r="EX2" s="555"/>
      <c r="EY2" s="555"/>
      <c r="EZ2" s="555"/>
      <c r="FA2" s="555"/>
      <c r="FB2" s="555"/>
      <c r="FC2" s="555"/>
      <c r="FD2" s="555"/>
      <c r="FE2" s="555"/>
      <c r="FF2" s="555"/>
      <c r="FG2" s="555"/>
      <c r="FH2" s="555"/>
      <c r="FI2" s="555"/>
      <c r="FJ2" s="555"/>
      <c r="FK2" s="555"/>
      <c r="FL2" s="555"/>
      <c r="FM2" s="555"/>
      <c r="FN2" s="555"/>
      <c r="FO2" s="555"/>
      <c r="FP2" s="555"/>
      <c r="FQ2" s="555"/>
      <c r="FR2" s="555"/>
      <c r="FS2" s="555"/>
      <c r="FT2" s="555"/>
      <c r="FU2" s="555"/>
      <c r="FV2" s="555"/>
      <c r="FW2" s="555"/>
      <c r="FX2" s="555"/>
      <c r="FY2" s="555"/>
      <c r="FZ2" s="555"/>
      <c r="GA2" s="555"/>
      <c r="GB2" s="555"/>
      <c r="GC2" s="555"/>
      <c r="GD2" s="555"/>
      <c r="GE2" s="555"/>
      <c r="GF2" s="555"/>
      <c r="GG2" s="555"/>
      <c r="GH2" s="555"/>
      <c r="GI2" s="555"/>
      <c r="GJ2" s="555"/>
      <c r="GK2" s="555"/>
      <c r="GL2" s="555"/>
      <c r="GM2" s="555"/>
      <c r="GN2" s="555"/>
      <c r="GO2" s="555"/>
      <c r="GP2" s="555"/>
      <c r="GQ2" s="555"/>
      <c r="GR2" s="555"/>
      <c r="GS2" s="555"/>
      <c r="GT2" s="555"/>
      <c r="GU2" s="555"/>
      <c r="GV2" s="555"/>
      <c r="GW2" s="555"/>
      <c r="GX2" s="555"/>
      <c r="GY2" s="555"/>
      <c r="GZ2" s="555"/>
      <c r="HA2" s="555"/>
      <c r="HB2" s="555"/>
      <c r="HC2" s="555"/>
      <c r="HD2" s="555"/>
      <c r="HE2" s="555"/>
      <c r="HF2" s="555"/>
      <c r="HG2" s="555"/>
      <c r="HH2" s="555"/>
      <c r="HI2" s="555"/>
      <c r="HJ2" s="555"/>
      <c r="HK2" s="555"/>
      <c r="HL2" s="555"/>
      <c r="HM2" s="555"/>
      <c r="HN2" s="555"/>
      <c r="HO2" s="555"/>
      <c r="HP2" s="555"/>
      <c r="HQ2" s="555"/>
      <c r="HR2" s="555"/>
      <c r="HS2" s="555"/>
      <c r="HT2" s="555"/>
      <c r="HU2" s="555"/>
      <c r="HV2" s="555"/>
      <c r="HW2" s="555"/>
      <c r="HX2" s="555"/>
      <c r="HY2" s="555"/>
      <c r="HZ2" s="555"/>
      <c r="IA2" s="555"/>
      <c r="IB2" s="555"/>
      <c r="IC2" s="555"/>
      <c r="ID2" s="555"/>
      <c r="IE2" s="555"/>
      <c r="IF2" s="555"/>
      <c r="IG2" s="555"/>
      <c r="IH2" s="555"/>
      <c r="II2" s="555"/>
      <c r="IJ2" s="555"/>
      <c r="IK2" s="555"/>
      <c r="IL2" s="555"/>
      <c r="IM2" s="555"/>
      <c r="IN2" s="555"/>
      <c r="IO2" s="555"/>
      <c r="IP2" s="555"/>
      <c r="IQ2" s="555"/>
      <c r="IR2" s="555"/>
      <c r="IS2" s="555"/>
      <c r="IT2" s="555"/>
      <c r="IU2" s="555"/>
      <c r="IV2" s="555"/>
      <c r="IW2" s="555"/>
    </row>
    <row r="3" customFormat="false" ht="23.25" hidden="false" customHeight="true" outlineLevel="0" collapsed="false">
      <c r="A3" s="556"/>
      <c r="B3" s="556"/>
      <c r="C3" s="556"/>
      <c r="D3" s="556"/>
      <c r="E3" s="556"/>
      <c r="F3" s="556"/>
      <c r="G3" s="556"/>
      <c r="H3" s="556"/>
      <c r="I3" s="556"/>
      <c r="J3" s="557"/>
      <c r="K3" s="557"/>
      <c r="L3" s="558"/>
      <c r="M3" s="558"/>
      <c r="N3" s="558"/>
      <c r="O3" s="558"/>
      <c r="P3" s="558"/>
      <c r="Q3" s="558"/>
      <c r="R3" s="558"/>
      <c r="S3" s="558"/>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c r="BS3" s="555"/>
      <c r="BT3" s="555"/>
      <c r="BU3" s="555"/>
      <c r="BV3" s="555"/>
      <c r="BW3" s="555"/>
      <c r="BX3" s="555"/>
      <c r="BY3" s="555"/>
      <c r="BZ3" s="555"/>
      <c r="CA3" s="555"/>
      <c r="CB3" s="555"/>
      <c r="CC3" s="555"/>
      <c r="CD3" s="555"/>
      <c r="CE3" s="555"/>
      <c r="CF3" s="555"/>
      <c r="CG3" s="555"/>
      <c r="CH3" s="555"/>
      <c r="CI3" s="555"/>
      <c r="CJ3" s="555"/>
      <c r="CK3" s="555"/>
      <c r="CL3" s="555"/>
      <c r="CM3" s="555"/>
      <c r="CN3" s="555"/>
      <c r="CO3" s="555"/>
      <c r="CP3" s="555"/>
      <c r="CQ3" s="555"/>
      <c r="CR3" s="555"/>
      <c r="CS3" s="555"/>
      <c r="CT3" s="555"/>
      <c r="CU3" s="555"/>
      <c r="CV3" s="555"/>
      <c r="CW3" s="555"/>
      <c r="CX3" s="555"/>
      <c r="CY3" s="555"/>
      <c r="CZ3" s="555"/>
      <c r="DA3" s="555"/>
      <c r="DB3" s="555"/>
      <c r="DC3" s="555"/>
      <c r="DD3" s="555"/>
      <c r="DE3" s="555"/>
      <c r="DF3" s="555"/>
      <c r="DG3" s="555"/>
      <c r="DH3" s="555"/>
      <c r="DI3" s="555"/>
      <c r="DJ3" s="555"/>
      <c r="DK3" s="555"/>
      <c r="DL3" s="555"/>
      <c r="DM3" s="555"/>
      <c r="DN3" s="555"/>
      <c r="DO3" s="555"/>
      <c r="DP3" s="555"/>
      <c r="DQ3" s="555"/>
      <c r="DR3" s="555"/>
      <c r="DS3" s="555"/>
      <c r="DT3" s="555"/>
      <c r="DU3" s="555"/>
      <c r="DV3" s="555"/>
      <c r="DW3" s="555"/>
      <c r="DX3" s="555"/>
      <c r="DY3" s="555"/>
      <c r="DZ3" s="555"/>
      <c r="EA3" s="555"/>
      <c r="EB3" s="555"/>
      <c r="EC3" s="555"/>
      <c r="ED3" s="555"/>
      <c r="EE3" s="555"/>
      <c r="EF3" s="555"/>
      <c r="EG3" s="555"/>
      <c r="EH3" s="555"/>
      <c r="EI3" s="555"/>
      <c r="EJ3" s="555"/>
      <c r="EK3" s="555"/>
      <c r="EL3" s="555"/>
      <c r="EM3" s="555"/>
      <c r="EN3" s="555"/>
      <c r="EO3" s="555"/>
      <c r="EP3" s="555"/>
      <c r="EQ3" s="555"/>
      <c r="ER3" s="555"/>
      <c r="ES3" s="555"/>
      <c r="ET3" s="555"/>
      <c r="EU3" s="555"/>
      <c r="EV3" s="555"/>
      <c r="EW3" s="555"/>
      <c r="EX3" s="555"/>
      <c r="EY3" s="555"/>
      <c r="EZ3" s="555"/>
      <c r="FA3" s="555"/>
      <c r="FB3" s="555"/>
      <c r="FC3" s="555"/>
      <c r="FD3" s="555"/>
      <c r="FE3" s="555"/>
      <c r="FF3" s="555"/>
      <c r="FG3" s="555"/>
      <c r="FH3" s="555"/>
      <c r="FI3" s="555"/>
      <c r="FJ3" s="555"/>
      <c r="FK3" s="555"/>
      <c r="FL3" s="555"/>
      <c r="FM3" s="555"/>
      <c r="FN3" s="555"/>
      <c r="FO3" s="555"/>
      <c r="FP3" s="555"/>
      <c r="FQ3" s="555"/>
      <c r="FR3" s="555"/>
      <c r="FS3" s="555"/>
      <c r="FT3" s="555"/>
      <c r="FU3" s="555"/>
      <c r="FV3" s="555"/>
      <c r="FW3" s="555"/>
      <c r="FX3" s="555"/>
      <c r="FY3" s="555"/>
      <c r="FZ3" s="555"/>
      <c r="GA3" s="555"/>
      <c r="GB3" s="555"/>
      <c r="GC3" s="555"/>
      <c r="GD3" s="555"/>
      <c r="GE3" s="555"/>
      <c r="GF3" s="555"/>
      <c r="GG3" s="555"/>
      <c r="GH3" s="555"/>
      <c r="GI3" s="555"/>
      <c r="GJ3" s="555"/>
      <c r="GK3" s="555"/>
      <c r="GL3" s="555"/>
      <c r="GM3" s="555"/>
      <c r="GN3" s="555"/>
      <c r="GO3" s="555"/>
      <c r="GP3" s="555"/>
      <c r="GQ3" s="555"/>
      <c r="GR3" s="555"/>
      <c r="GS3" s="555"/>
      <c r="GT3" s="555"/>
      <c r="GU3" s="555"/>
      <c r="GV3" s="555"/>
      <c r="GW3" s="555"/>
      <c r="GX3" s="555"/>
      <c r="GY3" s="555"/>
      <c r="GZ3" s="555"/>
      <c r="HA3" s="555"/>
      <c r="HB3" s="555"/>
      <c r="HC3" s="555"/>
      <c r="HD3" s="555"/>
      <c r="HE3" s="555"/>
      <c r="HF3" s="555"/>
      <c r="HG3" s="555"/>
      <c r="HH3" s="555"/>
      <c r="HI3" s="555"/>
      <c r="HJ3" s="555"/>
      <c r="HK3" s="555"/>
      <c r="HL3" s="555"/>
      <c r="HM3" s="555"/>
      <c r="HN3" s="555"/>
      <c r="HO3" s="555"/>
      <c r="HP3" s="555"/>
      <c r="HQ3" s="555"/>
      <c r="HR3" s="555"/>
      <c r="HS3" s="555"/>
      <c r="HT3" s="555"/>
      <c r="HU3" s="555"/>
      <c r="HV3" s="555"/>
      <c r="HW3" s="555"/>
      <c r="HX3" s="555"/>
      <c r="HY3" s="555"/>
      <c r="HZ3" s="555"/>
      <c r="IA3" s="555"/>
      <c r="IB3" s="555"/>
      <c r="IC3" s="555"/>
      <c r="ID3" s="555"/>
      <c r="IE3" s="555"/>
      <c r="IF3" s="555"/>
      <c r="IG3" s="555"/>
      <c r="IH3" s="555"/>
      <c r="II3" s="555"/>
      <c r="IJ3" s="555"/>
      <c r="IK3" s="555"/>
      <c r="IL3" s="555"/>
      <c r="IM3" s="555"/>
      <c r="IN3" s="555"/>
      <c r="IO3" s="555"/>
      <c r="IP3" s="555"/>
      <c r="IQ3" s="555"/>
      <c r="IR3" s="555"/>
      <c r="IS3" s="555"/>
      <c r="IT3" s="555"/>
      <c r="IU3" s="555"/>
      <c r="IV3" s="555"/>
      <c r="IW3" s="555"/>
    </row>
    <row r="4" customFormat="false" ht="15.75" hidden="false" customHeight="true" outlineLevel="0" collapsed="false">
      <c r="A4" s="559" t="s">
        <v>551</v>
      </c>
      <c r="B4" s="560" t="s">
        <v>552</v>
      </c>
      <c r="C4" s="560"/>
      <c r="D4" s="560"/>
      <c r="E4" s="560"/>
      <c r="F4" s="560"/>
      <c r="G4" s="560"/>
      <c r="H4" s="560"/>
      <c r="I4" s="560"/>
      <c r="J4" s="560"/>
      <c r="K4" s="561" t="s">
        <v>553</v>
      </c>
      <c r="L4" s="561"/>
      <c r="M4" s="561"/>
      <c r="N4" s="561"/>
      <c r="O4" s="561"/>
      <c r="P4" s="561"/>
      <c r="Q4" s="561"/>
      <c r="R4" s="561"/>
      <c r="S4" s="561"/>
      <c r="T4" s="555"/>
      <c r="U4" s="555"/>
      <c r="V4" s="555"/>
      <c r="W4" s="555"/>
      <c r="X4" s="555"/>
      <c r="Y4" s="555"/>
      <c r="Z4" s="555"/>
      <c r="AA4" s="555"/>
      <c r="AB4" s="555"/>
      <c r="AC4" s="555"/>
      <c r="AD4" s="555"/>
      <c r="AE4" s="555"/>
      <c r="AF4" s="555"/>
      <c r="AG4" s="555"/>
      <c r="AH4" s="555"/>
      <c r="AI4" s="555"/>
      <c r="AJ4" s="555"/>
      <c r="AK4" s="555"/>
      <c r="AL4" s="555"/>
      <c r="AM4" s="555"/>
      <c r="AN4" s="555"/>
      <c r="AO4" s="555"/>
      <c r="AP4" s="555"/>
      <c r="AQ4" s="555"/>
      <c r="AR4" s="555"/>
      <c r="AS4" s="555"/>
      <c r="AT4" s="555"/>
      <c r="AU4" s="555"/>
      <c r="AV4" s="555"/>
      <c r="AW4" s="555"/>
      <c r="AX4" s="555"/>
      <c r="AY4" s="555"/>
      <c r="AZ4" s="555"/>
      <c r="BA4" s="555"/>
      <c r="BB4" s="555"/>
      <c r="BC4" s="555"/>
      <c r="BD4" s="555"/>
      <c r="BE4" s="555"/>
      <c r="BF4" s="555"/>
      <c r="BG4" s="555"/>
      <c r="BH4" s="555"/>
      <c r="BI4" s="555"/>
      <c r="BJ4" s="555"/>
      <c r="BK4" s="555"/>
      <c r="BL4" s="555"/>
      <c r="BM4" s="555"/>
      <c r="BN4" s="555"/>
      <c r="BO4" s="555"/>
      <c r="BP4" s="555"/>
      <c r="BQ4" s="555"/>
      <c r="BR4" s="555"/>
      <c r="BS4" s="555"/>
      <c r="BT4" s="555"/>
      <c r="BU4" s="555"/>
      <c r="BV4" s="555"/>
      <c r="BW4" s="555"/>
      <c r="BX4" s="555"/>
      <c r="BY4" s="555"/>
      <c r="BZ4" s="555"/>
      <c r="CA4" s="555"/>
      <c r="CB4" s="555"/>
      <c r="CC4" s="555"/>
      <c r="CD4" s="555"/>
      <c r="CE4" s="555"/>
      <c r="CF4" s="555"/>
      <c r="CG4" s="555"/>
      <c r="CH4" s="555"/>
      <c r="CI4" s="555"/>
      <c r="CJ4" s="555"/>
      <c r="CK4" s="555"/>
      <c r="CL4" s="555"/>
      <c r="CM4" s="555"/>
      <c r="CN4" s="555"/>
      <c r="CO4" s="555"/>
      <c r="CP4" s="555"/>
      <c r="CQ4" s="555"/>
      <c r="CR4" s="555"/>
      <c r="CS4" s="555"/>
      <c r="CT4" s="555"/>
      <c r="CU4" s="555"/>
      <c r="CV4" s="555"/>
      <c r="CW4" s="555"/>
      <c r="CX4" s="555"/>
      <c r="CY4" s="555"/>
      <c r="CZ4" s="555"/>
      <c r="DA4" s="555"/>
      <c r="DB4" s="555"/>
      <c r="DC4" s="555"/>
      <c r="DD4" s="555"/>
      <c r="DE4" s="555"/>
      <c r="DF4" s="555"/>
      <c r="DG4" s="555"/>
      <c r="DH4" s="555"/>
      <c r="DI4" s="555"/>
      <c r="DJ4" s="555"/>
      <c r="DK4" s="555"/>
      <c r="DL4" s="555"/>
      <c r="DM4" s="555"/>
      <c r="DN4" s="555"/>
      <c r="DO4" s="555"/>
      <c r="DP4" s="555"/>
      <c r="DQ4" s="555"/>
      <c r="DR4" s="555"/>
      <c r="DS4" s="555"/>
      <c r="DT4" s="555"/>
      <c r="DU4" s="555"/>
      <c r="DV4" s="555"/>
      <c r="DW4" s="555"/>
      <c r="DX4" s="555"/>
      <c r="DY4" s="555"/>
      <c r="DZ4" s="555"/>
      <c r="EA4" s="555"/>
      <c r="EB4" s="555"/>
      <c r="EC4" s="555"/>
      <c r="ED4" s="555"/>
      <c r="EE4" s="555"/>
      <c r="EF4" s="555"/>
      <c r="EG4" s="555"/>
      <c r="EH4" s="555"/>
      <c r="EI4" s="555"/>
      <c r="EJ4" s="555"/>
      <c r="EK4" s="555"/>
      <c r="EL4" s="555"/>
      <c r="EM4" s="555"/>
      <c r="EN4" s="555"/>
      <c r="EO4" s="555"/>
      <c r="EP4" s="555"/>
      <c r="EQ4" s="555"/>
      <c r="ER4" s="555"/>
      <c r="ES4" s="555"/>
      <c r="ET4" s="555"/>
      <c r="EU4" s="555"/>
      <c r="EV4" s="555"/>
      <c r="EW4" s="555"/>
      <c r="EX4" s="555"/>
      <c r="EY4" s="555"/>
      <c r="EZ4" s="555"/>
      <c r="FA4" s="555"/>
      <c r="FB4" s="555"/>
      <c r="FC4" s="555"/>
      <c r="FD4" s="555"/>
      <c r="FE4" s="555"/>
      <c r="FF4" s="555"/>
      <c r="FG4" s="555"/>
      <c r="FH4" s="555"/>
      <c r="FI4" s="555"/>
      <c r="FJ4" s="555"/>
      <c r="FK4" s="555"/>
      <c r="FL4" s="555"/>
      <c r="FM4" s="555"/>
      <c r="FN4" s="555"/>
      <c r="FO4" s="555"/>
      <c r="FP4" s="555"/>
      <c r="FQ4" s="555"/>
      <c r="FR4" s="555"/>
      <c r="FS4" s="555"/>
      <c r="FT4" s="555"/>
      <c r="FU4" s="555"/>
      <c r="FV4" s="555"/>
      <c r="FW4" s="555"/>
      <c r="FX4" s="555"/>
      <c r="FY4" s="555"/>
      <c r="FZ4" s="555"/>
      <c r="GA4" s="555"/>
      <c r="GB4" s="555"/>
      <c r="GC4" s="555"/>
      <c r="GD4" s="555"/>
      <c r="GE4" s="555"/>
      <c r="GF4" s="555"/>
      <c r="GG4" s="555"/>
      <c r="GH4" s="555"/>
      <c r="GI4" s="555"/>
      <c r="GJ4" s="555"/>
      <c r="GK4" s="555"/>
      <c r="GL4" s="555"/>
      <c r="GM4" s="555"/>
      <c r="GN4" s="555"/>
      <c r="GO4" s="555"/>
      <c r="GP4" s="555"/>
      <c r="GQ4" s="555"/>
      <c r="GR4" s="555"/>
      <c r="GS4" s="555"/>
      <c r="GT4" s="555"/>
      <c r="GU4" s="555"/>
      <c r="GV4" s="555"/>
      <c r="GW4" s="555"/>
      <c r="GX4" s="555"/>
      <c r="GY4" s="555"/>
      <c r="GZ4" s="555"/>
      <c r="HA4" s="555"/>
      <c r="HB4" s="555"/>
      <c r="HC4" s="555"/>
      <c r="HD4" s="555"/>
      <c r="HE4" s="555"/>
      <c r="HF4" s="555"/>
      <c r="HG4" s="555"/>
      <c r="HH4" s="555"/>
      <c r="HI4" s="555"/>
      <c r="HJ4" s="555"/>
      <c r="HK4" s="555"/>
      <c r="HL4" s="555"/>
      <c r="HM4" s="555"/>
      <c r="HN4" s="555"/>
      <c r="HO4" s="555"/>
      <c r="HP4" s="555"/>
      <c r="HQ4" s="555"/>
      <c r="HR4" s="555"/>
      <c r="HS4" s="555"/>
      <c r="HT4" s="555"/>
      <c r="HU4" s="555"/>
      <c r="HV4" s="555"/>
      <c r="HW4" s="555"/>
      <c r="HX4" s="555"/>
      <c r="HY4" s="555"/>
      <c r="HZ4" s="555"/>
      <c r="IA4" s="555"/>
      <c r="IB4" s="555"/>
      <c r="IC4" s="555"/>
      <c r="ID4" s="555"/>
      <c r="IE4" s="555"/>
      <c r="IF4" s="555"/>
      <c r="IG4" s="555"/>
      <c r="IH4" s="555"/>
      <c r="II4" s="555"/>
      <c r="IJ4" s="555"/>
      <c r="IK4" s="555"/>
      <c r="IL4" s="555"/>
      <c r="IM4" s="555"/>
      <c r="IN4" s="555"/>
      <c r="IO4" s="555"/>
      <c r="IP4" s="555"/>
      <c r="IQ4" s="555"/>
      <c r="IR4" s="555"/>
      <c r="IS4" s="555"/>
      <c r="IT4" s="555"/>
      <c r="IU4" s="555"/>
      <c r="IV4" s="555"/>
      <c r="IW4" s="555"/>
    </row>
    <row r="5" customFormat="false" ht="16.5" hidden="false" customHeight="true" outlineLevel="0" collapsed="false">
      <c r="A5" s="559"/>
      <c r="B5" s="562">
        <f aca="false">개요!B14</f>
      </c>
      <c r="C5" s="562"/>
      <c r="D5" s="562"/>
      <c r="E5" s="562"/>
      <c r="F5" s="562"/>
      <c r="G5" s="562"/>
      <c r="H5" s="562"/>
      <c r="I5" s="562"/>
      <c r="J5" s="562"/>
      <c r="K5" s="563">
        <f aca="false">개요!B15</f>
      </c>
      <c r="L5" s="563"/>
      <c r="M5" s="563"/>
      <c r="N5" s="563"/>
      <c r="O5" s="563"/>
      <c r="P5" s="563"/>
      <c r="Q5" s="563"/>
      <c r="R5" s="563"/>
      <c r="S5" s="563"/>
      <c r="T5" s="555"/>
      <c r="U5" s="555"/>
      <c r="V5" s="555"/>
      <c r="W5" s="555"/>
      <c r="X5" s="555"/>
      <c r="Y5" s="555"/>
      <c r="Z5" s="555"/>
      <c r="AA5" s="555"/>
      <c r="AB5" s="555"/>
      <c r="AC5" s="555"/>
      <c r="AD5" s="555"/>
      <c r="AE5" s="555"/>
      <c r="AF5" s="555"/>
      <c r="AG5" s="555"/>
      <c r="AH5" s="555"/>
      <c r="AI5" s="555"/>
      <c r="AJ5" s="555"/>
      <c r="AK5" s="555"/>
      <c r="AL5" s="555"/>
      <c r="AM5" s="555"/>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5"/>
      <c r="BS5" s="555"/>
      <c r="BT5" s="555"/>
      <c r="BU5" s="555"/>
      <c r="BV5" s="555"/>
      <c r="BW5" s="555"/>
      <c r="BX5" s="555"/>
      <c r="BY5" s="555"/>
      <c r="BZ5" s="555"/>
      <c r="CA5" s="555"/>
      <c r="CB5" s="555"/>
      <c r="CC5" s="555"/>
      <c r="CD5" s="555"/>
      <c r="CE5" s="555"/>
      <c r="CF5" s="555"/>
      <c r="CG5" s="555"/>
      <c r="CH5" s="555"/>
      <c r="CI5" s="555"/>
      <c r="CJ5" s="555"/>
      <c r="CK5" s="555"/>
      <c r="CL5" s="555"/>
      <c r="CM5" s="555"/>
      <c r="CN5" s="555"/>
      <c r="CO5" s="555"/>
      <c r="CP5" s="555"/>
      <c r="CQ5" s="555"/>
      <c r="CR5" s="555"/>
      <c r="CS5" s="555"/>
      <c r="CT5" s="555"/>
      <c r="CU5" s="555"/>
      <c r="CV5" s="555"/>
      <c r="CW5" s="555"/>
      <c r="CX5" s="555"/>
      <c r="CY5" s="555"/>
      <c r="CZ5" s="555"/>
      <c r="DA5" s="555"/>
      <c r="DB5" s="555"/>
      <c r="DC5" s="555"/>
      <c r="DD5" s="555"/>
      <c r="DE5" s="555"/>
      <c r="DF5" s="555"/>
      <c r="DG5" s="555"/>
      <c r="DH5" s="555"/>
      <c r="DI5" s="555"/>
      <c r="DJ5" s="555"/>
      <c r="DK5" s="555"/>
      <c r="DL5" s="555"/>
      <c r="DM5" s="555"/>
      <c r="DN5" s="555"/>
      <c r="DO5" s="555"/>
      <c r="DP5" s="555"/>
      <c r="DQ5" s="555"/>
      <c r="DR5" s="555"/>
      <c r="DS5" s="555"/>
      <c r="DT5" s="555"/>
      <c r="DU5" s="555"/>
      <c r="DV5" s="555"/>
      <c r="DW5" s="555"/>
      <c r="DX5" s="555"/>
      <c r="DY5" s="555"/>
      <c r="DZ5" s="555"/>
      <c r="EA5" s="555"/>
      <c r="EB5" s="555"/>
      <c r="EC5" s="555"/>
      <c r="ED5" s="555"/>
      <c r="EE5" s="555"/>
      <c r="EF5" s="555"/>
      <c r="EG5" s="555"/>
      <c r="EH5" s="555"/>
      <c r="EI5" s="555"/>
      <c r="EJ5" s="555"/>
      <c r="EK5" s="555"/>
      <c r="EL5" s="555"/>
      <c r="EM5" s="555"/>
      <c r="EN5" s="555"/>
      <c r="EO5" s="555"/>
      <c r="EP5" s="555"/>
      <c r="EQ5" s="555"/>
      <c r="ER5" s="555"/>
      <c r="ES5" s="555"/>
      <c r="ET5" s="555"/>
      <c r="EU5" s="555"/>
      <c r="EV5" s="555"/>
      <c r="EW5" s="555"/>
      <c r="EX5" s="555"/>
      <c r="EY5" s="555"/>
      <c r="EZ5" s="555"/>
      <c r="FA5" s="555"/>
      <c r="FB5" s="555"/>
      <c r="FC5" s="555"/>
      <c r="FD5" s="555"/>
      <c r="FE5" s="555"/>
      <c r="FF5" s="555"/>
      <c r="FG5" s="555"/>
      <c r="FH5" s="555"/>
      <c r="FI5" s="555"/>
      <c r="FJ5" s="555"/>
      <c r="FK5" s="555"/>
      <c r="FL5" s="555"/>
      <c r="FM5" s="555"/>
      <c r="FN5" s="555"/>
      <c r="FO5" s="555"/>
      <c r="FP5" s="555"/>
      <c r="FQ5" s="555"/>
      <c r="FR5" s="555"/>
      <c r="FS5" s="555"/>
      <c r="FT5" s="555"/>
      <c r="FU5" s="555"/>
      <c r="FV5" s="555"/>
      <c r="FW5" s="555"/>
      <c r="FX5" s="555"/>
      <c r="FY5" s="555"/>
      <c r="FZ5" s="555"/>
      <c r="GA5" s="555"/>
      <c r="GB5" s="555"/>
      <c r="GC5" s="555"/>
      <c r="GD5" s="555"/>
      <c r="GE5" s="555"/>
      <c r="GF5" s="555"/>
      <c r="GG5" s="555"/>
      <c r="GH5" s="555"/>
      <c r="GI5" s="555"/>
      <c r="GJ5" s="555"/>
      <c r="GK5" s="555"/>
      <c r="GL5" s="555"/>
      <c r="GM5" s="555"/>
      <c r="GN5" s="555"/>
      <c r="GO5" s="555"/>
      <c r="GP5" s="555"/>
      <c r="GQ5" s="555"/>
      <c r="GR5" s="555"/>
      <c r="GS5" s="555"/>
      <c r="GT5" s="555"/>
      <c r="GU5" s="555"/>
      <c r="GV5" s="555"/>
      <c r="GW5" s="555"/>
      <c r="GX5" s="555"/>
      <c r="GY5" s="555"/>
      <c r="GZ5" s="555"/>
      <c r="HA5" s="555"/>
      <c r="HB5" s="555"/>
      <c r="HC5" s="555"/>
      <c r="HD5" s="555"/>
      <c r="HE5" s="555"/>
      <c r="HF5" s="555"/>
      <c r="HG5" s="555"/>
      <c r="HH5" s="555"/>
      <c r="HI5" s="555"/>
      <c r="HJ5" s="555"/>
      <c r="HK5" s="555"/>
      <c r="HL5" s="555"/>
      <c r="HM5" s="555"/>
      <c r="HN5" s="555"/>
      <c r="HO5" s="555"/>
      <c r="HP5" s="555"/>
      <c r="HQ5" s="555"/>
      <c r="HR5" s="555"/>
      <c r="HS5" s="555"/>
      <c r="HT5" s="555"/>
      <c r="HU5" s="555"/>
      <c r="HV5" s="555"/>
      <c r="HW5" s="555"/>
      <c r="HX5" s="555"/>
      <c r="HY5" s="555"/>
      <c r="HZ5" s="555"/>
      <c r="IA5" s="555"/>
      <c r="IB5" s="555"/>
      <c r="IC5" s="555"/>
      <c r="ID5" s="555"/>
      <c r="IE5" s="555"/>
      <c r="IF5" s="555"/>
      <c r="IG5" s="555"/>
      <c r="IH5" s="555"/>
      <c r="II5" s="555"/>
      <c r="IJ5" s="555"/>
      <c r="IK5" s="555"/>
      <c r="IL5" s="555"/>
      <c r="IM5" s="555"/>
      <c r="IN5" s="555"/>
      <c r="IO5" s="555"/>
      <c r="IP5" s="555"/>
      <c r="IQ5" s="555"/>
      <c r="IR5" s="555"/>
      <c r="IS5" s="555"/>
      <c r="IT5" s="555"/>
      <c r="IU5" s="555"/>
      <c r="IV5" s="555"/>
      <c r="IW5" s="555"/>
    </row>
    <row r="6" customFormat="false" ht="16.5" hidden="false" customHeight="true" outlineLevel="0" collapsed="false">
      <c r="A6" s="559"/>
      <c r="B6" s="564" t="s">
        <v>554</v>
      </c>
      <c r="C6" s="564"/>
      <c r="D6" s="564"/>
      <c r="E6" s="564"/>
      <c r="F6" s="564"/>
      <c r="G6" s="564"/>
      <c r="H6" s="564"/>
      <c r="I6" s="564"/>
      <c r="J6" s="564"/>
      <c r="K6" s="565" t="s">
        <v>555</v>
      </c>
      <c r="L6" s="565"/>
      <c r="M6" s="565"/>
      <c r="N6" s="565"/>
      <c r="O6" s="565"/>
      <c r="P6" s="565"/>
      <c r="Q6" s="565"/>
      <c r="R6" s="565"/>
      <c r="S6" s="565"/>
      <c r="T6" s="555"/>
      <c r="U6" s="555"/>
      <c r="V6" s="555"/>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5"/>
      <c r="AW6" s="555"/>
      <c r="AX6" s="555"/>
      <c r="AY6" s="555"/>
      <c r="AZ6" s="555"/>
      <c r="BA6" s="555"/>
      <c r="BB6" s="555"/>
      <c r="BC6" s="555"/>
      <c r="BD6" s="555"/>
      <c r="BE6" s="555"/>
      <c r="BF6" s="555"/>
      <c r="BG6" s="555"/>
      <c r="BH6" s="555"/>
      <c r="BI6" s="555"/>
      <c r="BJ6" s="555"/>
      <c r="BK6" s="555"/>
      <c r="BL6" s="555"/>
      <c r="BM6" s="555"/>
      <c r="BN6" s="555"/>
      <c r="BO6" s="555"/>
      <c r="BP6" s="555"/>
      <c r="BQ6" s="555"/>
      <c r="BR6" s="555"/>
      <c r="BS6" s="555"/>
      <c r="BT6" s="555"/>
      <c r="BU6" s="555"/>
      <c r="BV6" s="555"/>
      <c r="BW6" s="555"/>
      <c r="BX6" s="555"/>
      <c r="BY6" s="555"/>
      <c r="BZ6" s="555"/>
      <c r="CA6" s="555"/>
      <c r="CB6" s="555"/>
      <c r="CC6" s="555"/>
      <c r="CD6" s="555"/>
      <c r="CE6" s="555"/>
      <c r="CF6" s="555"/>
      <c r="CG6" s="555"/>
      <c r="CH6" s="555"/>
      <c r="CI6" s="555"/>
      <c r="CJ6" s="555"/>
      <c r="CK6" s="555"/>
      <c r="CL6" s="555"/>
      <c r="CM6" s="555"/>
      <c r="CN6" s="555"/>
      <c r="CO6" s="555"/>
      <c r="CP6" s="555"/>
      <c r="CQ6" s="555"/>
      <c r="CR6" s="555"/>
      <c r="CS6" s="555"/>
      <c r="CT6" s="555"/>
      <c r="CU6" s="555"/>
      <c r="CV6" s="555"/>
      <c r="CW6" s="555"/>
      <c r="CX6" s="555"/>
      <c r="CY6" s="555"/>
      <c r="CZ6" s="555"/>
      <c r="DA6" s="555"/>
      <c r="DB6" s="555"/>
      <c r="DC6" s="555"/>
      <c r="DD6" s="555"/>
      <c r="DE6" s="555"/>
      <c r="DF6" s="555"/>
      <c r="DG6" s="555"/>
      <c r="DH6" s="555"/>
      <c r="DI6" s="555"/>
      <c r="DJ6" s="555"/>
      <c r="DK6" s="555"/>
      <c r="DL6" s="555"/>
      <c r="DM6" s="555"/>
      <c r="DN6" s="555"/>
      <c r="DO6" s="555"/>
      <c r="DP6" s="555"/>
      <c r="DQ6" s="555"/>
      <c r="DR6" s="555"/>
      <c r="DS6" s="555"/>
      <c r="DT6" s="555"/>
      <c r="DU6" s="555"/>
      <c r="DV6" s="555"/>
      <c r="DW6" s="555"/>
      <c r="DX6" s="555"/>
      <c r="DY6" s="555"/>
      <c r="DZ6" s="555"/>
      <c r="EA6" s="555"/>
      <c r="EB6" s="555"/>
      <c r="EC6" s="555"/>
      <c r="ED6" s="555"/>
      <c r="EE6" s="555"/>
      <c r="EF6" s="555"/>
      <c r="EG6" s="555"/>
      <c r="EH6" s="555"/>
      <c r="EI6" s="555"/>
      <c r="EJ6" s="555"/>
      <c r="EK6" s="555"/>
      <c r="EL6" s="555"/>
      <c r="EM6" s="555"/>
      <c r="EN6" s="555"/>
      <c r="EO6" s="555"/>
      <c r="EP6" s="555"/>
      <c r="EQ6" s="555"/>
      <c r="ER6" s="555"/>
      <c r="ES6" s="555"/>
      <c r="ET6" s="555"/>
      <c r="EU6" s="555"/>
      <c r="EV6" s="555"/>
      <c r="EW6" s="555"/>
      <c r="EX6" s="555"/>
      <c r="EY6" s="555"/>
      <c r="EZ6" s="555"/>
      <c r="FA6" s="555"/>
      <c r="FB6" s="555"/>
      <c r="FC6" s="555"/>
      <c r="FD6" s="555"/>
      <c r="FE6" s="555"/>
      <c r="FF6" s="555"/>
      <c r="FG6" s="555"/>
      <c r="FH6" s="555"/>
      <c r="FI6" s="555"/>
      <c r="FJ6" s="555"/>
      <c r="FK6" s="555"/>
      <c r="FL6" s="555"/>
      <c r="FM6" s="555"/>
      <c r="FN6" s="555"/>
      <c r="FO6" s="555"/>
      <c r="FP6" s="555"/>
      <c r="FQ6" s="555"/>
      <c r="FR6" s="555"/>
      <c r="FS6" s="555"/>
      <c r="FT6" s="555"/>
      <c r="FU6" s="555"/>
      <c r="FV6" s="555"/>
      <c r="FW6" s="555"/>
      <c r="FX6" s="555"/>
      <c r="FY6" s="555"/>
      <c r="FZ6" s="555"/>
      <c r="GA6" s="555"/>
      <c r="GB6" s="555"/>
      <c r="GC6" s="555"/>
      <c r="GD6" s="555"/>
      <c r="GE6" s="555"/>
      <c r="GF6" s="555"/>
      <c r="GG6" s="555"/>
      <c r="GH6" s="555"/>
      <c r="GI6" s="555"/>
      <c r="GJ6" s="555"/>
      <c r="GK6" s="555"/>
      <c r="GL6" s="555"/>
      <c r="GM6" s="555"/>
      <c r="GN6" s="555"/>
      <c r="GO6" s="555"/>
      <c r="GP6" s="555"/>
      <c r="GQ6" s="555"/>
      <c r="GR6" s="555"/>
      <c r="GS6" s="555"/>
      <c r="GT6" s="555"/>
      <c r="GU6" s="555"/>
      <c r="GV6" s="555"/>
      <c r="GW6" s="555"/>
      <c r="GX6" s="555"/>
      <c r="GY6" s="555"/>
      <c r="GZ6" s="555"/>
      <c r="HA6" s="555"/>
      <c r="HB6" s="555"/>
      <c r="HC6" s="555"/>
      <c r="HD6" s="555"/>
      <c r="HE6" s="555"/>
      <c r="HF6" s="555"/>
      <c r="HG6" s="555"/>
      <c r="HH6" s="555"/>
      <c r="HI6" s="555"/>
      <c r="HJ6" s="555"/>
      <c r="HK6" s="555"/>
      <c r="HL6" s="555"/>
      <c r="HM6" s="555"/>
      <c r="HN6" s="555"/>
      <c r="HO6" s="555"/>
      <c r="HP6" s="555"/>
      <c r="HQ6" s="555"/>
      <c r="HR6" s="555"/>
      <c r="HS6" s="555"/>
      <c r="HT6" s="555"/>
      <c r="HU6" s="555"/>
      <c r="HV6" s="555"/>
      <c r="HW6" s="555"/>
      <c r="HX6" s="555"/>
      <c r="HY6" s="555"/>
      <c r="HZ6" s="555"/>
      <c r="IA6" s="555"/>
      <c r="IB6" s="555"/>
      <c r="IC6" s="555"/>
      <c r="ID6" s="555"/>
      <c r="IE6" s="555"/>
      <c r="IF6" s="555"/>
      <c r="IG6" s="555"/>
      <c r="IH6" s="555"/>
      <c r="II6" s="555"/>
      <c r="IJ6" s="555"/>
      <c r="IK6" s="555"/>
      <c r="IL6" s="555"/>
      <c r="IM6" s="555"/>
      <c r="IN6" s="555"/>
      <c r="IO6" s="555"/>
      <c r="IP6" s="555"/>
      <c r="IQ6" s="555"/>
      <c r="IR6" s="555"/>
      <c r="IS6" s="555"/>
      <c r="IT6" s="555"/>
      <c r="IU6" s="555"/>
      <c r="IV6" s="555"/>
      <c r="IW6" s="555"/>
    </row>
    <row r="7" customFormat="false" ht="24" hidden="false" customHeight="true" outlineLevel="0" collapsed="false">
      <c r="A7" s="559"/>
      <c r="B7" s="566" t="s">
        <v>556</v>
      </c>
      <c r="C7" s="567">
        <f aca="false">개요!B17</f>
      </c>
      <c r="D7" s="567"/>
      <c r="E7" s="568" t="s">
        <v>112</v>
      </c>
      <c r="F7" s="568"/>
      <c r="G7" s="568"/>
      <c r="H7" s="567">
        <f aca="false">개요!B19</f>
      </c>
      <c r="I7" s="567"/>
      <c r="J7" s="569" t="s">
        <v>557</v>
      </c>
      <c r="K7" s="570" t="s">
        <v>556</v>
      </c>
      <c r="L7" s="570"/>
      <c r="M7" s="568">
        <f aca="false">개요!B17</f>
      </c>
      <c r="N7" s="571" t="s">
        <v>558</v>
      </c>
      <c r="O7" s="571"/>
      <c r="P7" s="572">
        <f aca="false">개요!B19</f>
      </c>
      <c r="Q7" s="572"/>
      <c r="R7" s="572"/>
      <c r="S7" s="573" t="s">
        <v>557</v>
      </c>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c r="BA7" s="555"/>
      <c r="BB7" s="555"/>
      <c r="BC7" s="555"/>
      <c r="BD7" s="555"/>
      <c r="BE7" s="555"/>
      <c r="BF7" s="555"/>
      <c r="BG7" s="555"/>
      <c r="BH7" s="555"/>
      <c r="BI7" s="555"/>
      <c r="BJ7" s="555"/>
      <c r="BK7" s="555"/>
      <c r="BL7" s="555"/>
      <c r="BM7" s="555"/>
      <c r="BN7" s="555"/>
      <c r="BO7" s="555"/>
      <c r="BP7" s="555"/>
      <c r="BQ7" s="555"/>
      <c r="BR7" s="555"/>
      <c r="BS7" s="555"/>
      <c r="BT7" s="555"/>
      <c r="BU7" s="555"/>
      <c r="BV7" s="555"/>
      <c r="BW7" s="555"/>
      <c r="BX7" s="555"/>
      <c r="BY7" s="555"/>
      <c r="BZ7" s="555"/>
      <c r="CA7" s="555"/>
      <c r="CB7" s="555"/>
      <c r="CC7" s="555"/>
      <c r="CD7" s="555"/>
      <c r="CE7" s="555"/>
      <c r="CF7" s="555"/>
      <c r="CG7" s="555"/>
      <c r="CH7" s="555"/>
      <c r="CI7" s="555"/>
      <c r="CJ7" s="555"/>
      <c r="CK7" s="555"/>
      <c r="CL7" s="555"/>
      <c r="CM7" s="555"/>
      <c r="CN7" s="555"/>
      <c r="CO7" s="555"/>
      <c r="CP7" s="555"/>
      <c r="CQ7" s="555"/>
      <c r="CR7" s="555"/>
      <c r="CS7" s="555"/>
      <c r="CT7" s="555"/>
      <c r="CU7" s="555"/>
      <c r="CV7" s="555"/>
      <c r="CW7" s="555"/>
      <c r="CX7" s="555"/>
      <c r="CY7" s="555"/>
      <c r="CZ7" s="555"/>
      <c r="DA7" s="555"/>
      <c r="DB7" s="555"/>
      <c r="DC7" s="555"/>
      <c r="DD7" s="555"/>
      <c r="DE7" s="555"/>
      <c r="DF7" s="555"/>
      <c r="DG7" s="555"/>
      <c r="DH7" s="555"/>
      <c r="DI7" s="555"/>
      <c r="DJ7" s="555"/>
      <c r="DK7" s="555"/>
      <c r="DL7" s="555"/>
      <c r="DM7" s="555"/>
      <c r="DN7" s="555"/>
      <c r="DO7" s="555"/>
      <c r="DP7" s="555"/>
      <c r="DQ7" s="555"/>
      <c r="DR7" s="555"/>
      <c r="DS7" s="555"/>
      <c r="DT7" s="555"/>
      <c r="DU7" s="555"/>
      <c r="DV7" s="555"/>
      <c r="DW7" s="555"/>
      <c r="DX7" s="555"/>
      <c r="DY7" s="555"/>
      <c r="DZ7" s="555"/>
      <c r="EA7" s="555"/>
      <c r="EB7" s="555"/>
      <c r="EC7" s="555"/>
      <c r="ED7" s="555"/>
      <c r="EE7" s="555"/>
      <c r="EF7" s="555"/>
      <c r="EG7" s="555"/>
      <c r="EH7" s="555"/>
      <c r="EI7" s="555"/>
      <c r="EJ7" s="555"/>
      <c r="EK7" s="555"/>
      <c r="EL7" s="555"/>
      <c r="EM7" s="555"/>
      <c r="EN7" s="555"/>
      <c r="EO7" s="555"/>
      <c r="EP7" s="555"/>
      <c r="EQ7" s="555"/>
      <c r="ER7" s="555"/>
      <c r="ES7" s="555"/>
      <c r="ET7" s="555"/>
      <c r="EU7" s="555"/>
      <c r="EV7" s="555"/>
      <c r="EW7" s="555"/>
      <c r="EX7" s="555"/>
      <c r="EY7" s="555"/>
      <c r="EZ7" s="555"/>
      <c r="FA7" s="555"/>
      <c r="FB7" s="555"/>
      <c r="FC7" s="555"/>
      <c r="FD7" s="555"/>
      <c r="FE7" s="555"/>
      <c r="FF7" s="555"/>
      <c r="FG7" s="555"/>
      <c r="FH7" s="555"/>
      <c r="FI7" s="555"/>
      <c r="FJ7" s="555"/>
      <c r="FK7" s="555"/>
      <c r="FL7" s="555"/>
      <c r="FM7" s="555"/>
      <c r="FN7" s="555"/>
      <c r="FO7" s="555"/>
      <c r="FP7" s="555"/>
      <c r="FQ7" s="555"/>
      <c r="FR7" s="555"/>
      <c r="FS7" s="555"/>
      <c r="FT7" s="555"/>
      <c r="FU7" s="555"/>
      <c r="FV7" s="555"/>
      <c r="FW7" s="555"/>
      <c r="FX7" s="555"/>
      <c r="FY7" s="555"/>
      <c r="FZ7" s="555"/>
      <c r="GA7" s="555"/>
      <c r="GB7" s="555"/>
      <c r="GC7" s="555"/>
      <c r="GD7" s="555"/>
      <c r="GE7" s="555"/>
      <c r="GF7" s="555"/>
      <c r="GG7" s="555"/>
      <c r="GH7" s="555"/>
      <c r="GI7" s="555"/>
      <c r="GJ7" s="555"/>
      <c r="GK7" s="555"/>
      <c r="GL7" s="555"/>
      <c r="GM7" s="555"/>
      <c r="GN7" s="555"/>
      <c r="GO7" s="555"/>
      <c r="GP7" s="555"/>
      <c r="GQ7" s="555"/>
      <c r="GR7" s="555"/>
      <c r="GS7" s="555"/>
      <c r="GT7" s="555"/>
      <c r="GU7" s="555"/>
      <c r="GV7" s="555"/>
      <c r="GW7" s="555"/>
      <c r="GX7" s="555"/>
      <c r="GY7" s="555"/>
      <c r="GZ7" s="555"/>
      <c r="HA7" s="555"/>
      <c r="HB7" s="555"/>
      <c r="HC7" s="555"/>
      <c r="HD7" s="555"/>
      <c r="HE7" s="555"/>
      <c r="HF7" s="555"/>
      <c r="HG7" s="555"/>
      <c r="HH7" s="555"/>
      <c r="HI7" s="555"/>
      <c r="HJ7" s="555"/>
      <c r="HK7" s="555"/>
      <c r="HL7" s="555"/>
      <c r="HM7" s="555"/>
      <c r="HN7" s="555"/>
      <c r="HO7" s="555"/>
      <c r="HP7" s="555"/>
      <c r="HQ7" s="555"/>
      <c r="HR7" s="555"/>
      <c r="HS7" s="555"/>
      <c r="HT7" s="555"/>
      <c r="HU7" s="555"/>
      <c r="HV7" s="555"/>
      <c r="HW7" s="555"/>
      <c r="HX7" s="555"/>
      <c r="HY7" s="555"/>
      <c r="HZ7" s="555"/>
      <c r="IA7" s="555"/>
      <c r="IB7" s="555"/>
      <c r="IC7" s="555"/>
      <c r="ID7" s="555"/>
      <c r="IE7" s="555"/>
      <c r="IF7" s="555"/>
      <c r="IG7" s="555"/>
      <c r="IH7" s="555"/>
      <c r="II7" s="555"/>
      <c r="IJ7" s="555"/>
      <c r="IK7" s="555"/>
      <c r="IL7" s="555"/>
      <c r="IM7" s="555"/>
      <c r="IN7" s="555"/>
      <c r="IO7" s="555"/>
      <c r="IP7" s="555"/>
      <c r="IQ7" s="555"/>
      <c r="IR7" s="555"/>
      <c r="IS7" s="555"/>
      <c r="IT7" s="555"/>
      <c r="IU7" s="555"/>
      <c r="IV7" s="555"/>
      <c r="IW7" s="555"/>
    </row>
    <row r="8" customFormat="false" ht="18" hidden="false" customHeight="true" outlineLevel="0" collapsed="false">
      <c r="A8" s="559"/>
      <c r="B8" s="565" t="s">
        <v>559</v>
      </c>
      <c r="C8" s="565"/>
      <c r="D8" s="565"/>
      <c r="E8" s="565"/>
      <c r="F8" s="565"/>
      <c r="G8" s="565"/>
      <c r="H8" s="565"/>
      <c r="I8" s="574"/>
      <c r="J8" s="574"/>
      <c r="K8" s="574"/>
      <c r="L8" s="574"/>
      <c r="M8" s="574"/>
      <c r="N8" s="574"/>
      <c r="O8" s="574"/>
      <c r="P8" s="574"/>
      <c r="Q8" s="574"/>
      <c r="R8" s="574"/>
      <c r="S8" s="574"/>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c r="CZ8" s="555"/>
      <c r="DA8" s="555"/>
      <c r="DB8" s="555"/>
      <c r="DC8" s="555"/>
      <c r="DD8" s="555"/>
      <c r="DE8" s="555"/>
      <c r="DF8" s="555"/>
      <c r="DG8" s="555"/>
      <c r="DH8" s="555"/>
      <c r="DI8" s="555"/>
      <c r="DJ8" s="555"/>
      <c r="DK8" s="555"/>
      <c r="DL8" s="555"/>
      <c r="DM8" s="555"/>
      <c r="DN8" s="555"/>
      <c r="DO8" s="555"/>
      <c r="DP8" s="555"/>
      <c r="DQ8" s="555"/>
      <c r="DR8" s="555"/>
      <c r="DS8" s="555"/>
      <c r="DT8" s="555"/>
      <c r="DU8" s="555"/>
      <c r="DV8" s="555"/>
      <c r="DW8" s="555"/>
      <c r="DX8" s="555"/>
      <c r="DY8" s="555"/>
      <c r="DZ8" s="555"/>
      <c r="EA8" s="555"/>
      <c r="EB8" s="555"/>
      <c r="EC8" s="555"/>
      <c r="ED8" s="555"/>
      <c r="EE8" s="555"/>
      <c r="EF8" s="555"/>
      <c r="EG8" s="555"/>
      <c r="EH8" s="555"/>
      <c r="EI8" s="555"/>
      <c r="EJ8" s="555"/>
      <c r="EK8" s="555"/>
      <c r="EL8" s="555"/>
      <c r="EM8" s="555"/>
      <c r="EN8" s="555"/>
      <c r="EO8" s="555"/>
      <c r="EP8" s="555"/>
      <c r="EQ8" s="555"/>
      <c r="ER8" s="555"/>
      <c r="ES8" s="555"/>
      <c r="ET8" s="555"/>
      <c r="EU8" s="555"/>
      <c r="EV8" s="555"/>
      <c r="EW8" s="555"/>
      <c r="EX8" s="555"/>
      <c r="EY8" s="555"/>
      <c r="EZ8" s="555"/>
      <c r="FA8" s="555"/>
      <c r="FB8" s="555"/>
      <c r="FC8" s="555"/>
      <c r="FD8" s="555"/>
      <c r="FE8" s="555"/>
      <c r="FF8" s="555"/>
      <c r="FG8" s="555"/>
      <c r="FH8" s="555"/>
      <c r="FI8" s="555"/>
      <c r="FJ8" s="555"/>
      <c r="FK8" s="555"/>
      <c r="FL8" s="555"/>
      <c r="FM8" s="555"/>
      <c r="FN8" s="555"/>
      <c r="FO8" s="555"/>
      <c r="FP8" s="555"/>
      <c r="FQ8" s="555"/>
      <c r="FR8" s="555"/>
      <c r="FS8" s="555"/>
      <c r="FT8" s="555"/>
      <c r="FU8" s="555"/>
      <c r="FV8" s="555"/>
      <c r="FW8" s="555"/>
      <c r="FX8" s="555"/>
      <c r="FY8" s="555"/>
      <c r="FZ8" s="555"/>
      <c r="GA8" s="555"/>
      <c r="GB8" s="555"/>
      <c r="GC8" s="555"/>
      <c r="GD8" s="555"/>
      <c r="GE8" s="555"/>
      <c r="GF8" s="555"/>
      <c r="GG8" s="555"/>
      <c r="GH8" s="555"/>
      <c r="GI8" s="555"/>
      <c r="GJ8" s="555"/>
      <c r="GK8" s="555"/>
      <c r="GL8" s="555"/>
      <c r="GM8" s="555"/>
      <c r="GN8" s="555"/>
      <c r="GO8" s="555"/>
      <c r="GP8" s="555"/>
      <c r="GQ8" s="555"/>
      <c r="GR8" s="555"/>
      <c r="GS8" s="555"/>
      <c r="GT8" s="555"/>
      <c r="GU8" s="555"/>
      <c r="GV8" s="555"/>
      <c r="GW8" s="555"/>
      <c r="GX8" s="555"/>
      <c r="GY8" s="555"/>
      <c r="GZ8" s="555"/>
      <c r="HA8" s="555"/>
      <c r="HB8" s="555"/>
      <c r="HC8" s="555"/>
      <c r="HD8" s="555"/>
      <c r="HE8" s="555"/>
      <c r="HF8" s="555"/>
      <c r="HG8" s="555"/>
      <c r="HH8" s="555"/>
      <c r="HI8" s="555"/>
      <c r="HJ8" s="555"/>
      <c r="HK8" s="555"/>
      <c r="HL8" s="555"/>
      <c r="HM8" s="555"/>
      <c r="HN8" s="555"/>
      <c r="HO8" s="555"/>
      <c r="HP8" s="555"/>
      <c r="HQ8" s="555"/>
      <c r="HR8" s="555"/>
      <c r="HS8" s="555"/>
      <c r="HT8" s="555"/>
      <c r="HU8" s="555"/>
      <c r="HV8" s="555"/>
      <c r="HW8" s="555"/>
      <c r="HX8" s="555"/>
      <c r="HY8" s="555"/>
      <c r="HZ8" s="555"/>
      <c r="IA8" s="555"/>
      <c r="IB8" s="555"/>
      <c r="IC8" s="555"/>
      <c r="ID8" s="555"/>
      <c r="IE8" s="555"/>
      <c r="IF8" s="555"/>
      <c r="IG8" s="555"/>
      <c r="IH8" s="555"/>
      <c r="II8" s="555"/>
      <c r="IJ8" s="555"/>
      <c r="IK8" s="555"/>
      <c r="IL8" s="555"/>
      <c r="IM8" s="555"/>
      <c r="IN8" s="555"/>
      <c r="IO8" s="555"/>
      <c r="IP8" s="555"/>
      <c r="IQ8" s="555"/>
      <c r="IR8" s="555"/>
      <c r="IS8" s="555"/>
      <c r="IT8" s="555"/>
      <c r="IU8" s="555"/>
      <c r="IV8" s="555"/>
      <c r="IW8" s="555"/>
    </row>
    <row r="9" customFormat="false" ht="16.5" hidden="false" customHeight="true" outlineLevel="0" collapsed="false">
      <c r="A9" s="559"/>
      <c r="B9" s="575">
        <f aca="false">개요!B16</f>
      </c>
      <c r="C9" s="575"/>
      <c r="D9" s="575"/>
      <c r="E9" s="575"/>
      <c r="F9" s="575"/>
      <c r="G9" s="575"/>
      <c r="H9" s="575"/>
      <c r="I9" s="575"/>
      <c r="J9" s="575"/>
      <c r="K9" s="575"/>
      <c r="L9" s="575"/>
      <c r="M9" s="575"/>
      <c r="N9" s="575"/>
      <c r="O9" s="575"/>
      <c r="P9" s="575"/>
      <c r="Q9" s="575"/>
      <c r="R9" s="575"/>
      <c r="S9" s="575"/>
      <c r="T9" s="555"/>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5"/>
      <c r="AW9" s="555"/>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5"/>
      <c r="CE9" s="555"/>
      <c r="CF9" s="555"/>
      <c r="CG9" s="555"/>
      <c r="CH9" s="555"/>
      <c r="CI9" s="555"/>
      <c r="CJ9" s="555"/>
      <c r="CK9" s="555"/>
      <c r="CL9" s="555"/>
      <c r="CM9" s="555"/>
      <c r="CN9" s="555"/>
      <c r="CO9" s="555"/>
      <c r="CP9" s="555"/>
      <c r="CQ9" s="555"/>
      <c r="CR9" s="555"/>
      <c r="CS9" s="555"/>
      <c r="CT9" s="555"/>
      <c r="CU9" s="555"/>
      <c r="CV9" s="555"/>
      <c r="CW9" s="555"/>
      <c r="CX9" s="555"/>
      <c r="CY9" s="555"/>
      <c r="CZ9" s="555"/>
      <c r="DA9" s="555"/>
      <c r="DB9" s="555"/>
      <c r="DC9" s="555"/>
      <c r="DD9" s="555"/>
      <c r="DE9" s="555"/>
      <c r="DF9" s="555"/>
      <c r="DG9" s="555"/>
      <c r="DH9" s="555"/>
      <c r="DI9" s="555"/>
      <c r="DJ9" s="555"/>
      <c r="DK9" s="555"/>
      <c r="DL9" s="555"/>
      <c r="DM9" s="555"/>
      <c r="DN9" s="555"/>
      <c r="DO9" s="555"/>
      <c r="DP9" s="555"/>
      <c r="DQ9" s="555"/>
      <c r="DR9" s="555"/>
      <c r="DS9" s="555"/>
      <c r="DT9" s="555"/>
      <c r="DU9" s="555"/>
      <c r="DV9" s="555"/>
      <c r="DW9" s="555"/>
      <c r="DX9" s="555"/>
      <c r="DY9" s="555"/>
      <c r="DZ9" s="555"/>
      <c r="EA9" s="555"/>
      <c r="EB9" s="555"/>
      <c r="EC9" s="555"/>
      <c r="ED9" s="555"/>
      <c r="EE9" s="555"/>
      <c r="EF9" s="555"/>
      <c r="EG9" s="555"/>
      <c r="EH9" s="555"/>
      <c r="EI9" s="555"/>
      <c r="EJ9" s="555"/>
      <c r="EK9" s="555"/>
      <c r="EL9" s="555"/>
      <c r="EM9" s="555"/>
      <c r="EN9" s="555"/>
      <c r="EO9" s="555"/>
      <c r="EP9" s="555"/>
      <c r="EQ9" s="555"/>
      <c r="ER9" s="555"/>
      <c r="ES9" s="555"/>
      <c r="ET9" s="555"/>
      <c r="EU9" s="555"/>
      <c r="EV9" s="555"/>
      <c r="EW9" s="555"/>
      <c r="EX9" s="555"/>
      <c r="EY9" s="555"/>
      <c r="EZ9" s="555"/>
      <c r="FA9" s="555"/>
      <c r="FB9" s="555"/>
      <c r="FC9" s="555"/>
      <c r="FD9" s="555"/>
      <c r="FE9" s="555"/>
      <c r="FF9" s="555"/>
      <c r="FG9" s="555"/>
      <c r="FH9" s="555"/>
      <c r="FI9" s="555"/>
      <c r="FJ9" s="555"/>
      <c r="FK9" s="555"/>
      <c r="FL9" s="555"/>
      <c r="FM9" s="555"/>
      <c r="FN9" s="555"/>
      <c r="FO9" s="555"/>
      <c r="FP9" s="555"/>
      <c r="FQ9" s="555"/>
      <c r="FR9" s="555"/>
      <c r="FS9" s="555"/>
      <c r="FT9" s="555"/>
      <c r="FU9" s="555"/>
      <c r="FV9" s="555"/>
      <c r="FW9" s="555"/>
      <c r="FX9" s="555"/>
      <c r="FY9" s="555"/>
      <c r="FZ9" s="555"/>
      <c r="GA9" s="555"/>
      <c r="GB9" s="555"/>
      <c r="GC9" s="555"/>
      <c r="GD9" s="555"/>
      <c r="GE9" s="555"/>
      <c r="GF9" s="555"/>
      <c r="GG9" s="555"/>
      <c r="GH9" s="555"/>
      <c r="GI9" s="555"/>
      <c r="GJ9" s="555"/>
      <c r="GK9" s="555"/>
      <c r="GL9" s="555"/>
      <c r="GM9" s="555"/>
      <c r="GN9" s="555"/>
      <c r="GO9" s="555"/>
      <c r="GP9" s="555"/>
      <c r="GQ9" s="555"/>
      <c r="GR9" s="555"/>
      <c r="GS9" s="555"/>
      <c r="GT9" s="555"/>
      <c r="GU9" s="555"/>
      <c r="GV9" s="555"/>
      <c r="GW9" s="555"/>
      <c r="GX9" s="555"/>
      <c r="GY9" s="555"/>
      <c r="GZ9" s="555"/>
      <c r="HA9" s="555"/>
      <c r="HB9" s="555"/>
      <c r="HC9" s="555"/>
      <c r="HD9" s="555"/>
      <c r="HE9" s="555"/>
      <c r="HF9" s="555"/>
      <c r="HG9" s="555"/>
      <c r="HH9" s="555"/>
      <c r="HI9" s="555"/>
      <c r="HJ9" s="555"/>
      <c r="HK9" s="555"/>
      <c r="HL9" s="555"/>
      <c r="HM9" s="555"/>
      <c r="HN9" s="555"/>
      <c r="HO9" s="555"/>
      <c r="HP9" s="555"/>
      <c r="HQ9" s="555"/>
      <c r="HR9" s="555"/>
      <c r="HS9" s="555"/>
      <c r="HT9" s="555"/>
      <c r="HU9" s="555"/>
      <c r="HV9" s="555"/>
      <c r="HW9" s="555"/>
      <c r="HX9" s="555"/>
      <c r="HY9" s="555"/>
      <c r="HZ9" s="555"/>
      <c r="IA9" s="555"/>
      <c r="IB9" s="555"/>
      <c r="IC9" s="555"/>
      <c r="ID9" s="555"/>
      <c r="IE9" s="555"/>
      <c r="IF9" s="555"/>
      <c r="IG9" s="555"/>
      <c r="IH9" s="555"/>
      <c r="II9" s="555"/>
      <c r="IJ9" s="555"/>
      <c r="IK9" s="555"/>
      <c r="IL9" s="555"/>
      <c r="IM9" s="555"/>
      <c r="IN9" s="555"/>
      <c r="IO9" s="555"/>
      <c r="IP9" s="555"/>
      <c r="IQ9" s="555"/>
      <c r="IR9" s="555"/>
      <c r="IS9" s="555"/>
      <c r="IT9" s="555"/>
      <c r="IU9" s="555"/>
      <c r="IV9" s="555"/>
      <c r="IW9" s="555"/>
    </row>
    <row r="10" customFormat="false" ht="9.75" hidden="false" customHeight="true" outlineLevel="0" collapsed="false">
      <c r="A10" s="576"/>
      <c r="B10" s="576"/>
      <c r="C10" s="576"/>
      <c r="D10" s="576"/>
      <c r="E10" s="576"/>
      <c r="F10" s="576"/>
      <c r="G10" s="576"/>
      <c r="H10" s="576"/>
      <c r="I10" s="576"/>
      <c r="J10" s="576"/>
      <c r="K10" s="576"/>
      <c r="L10" s="577"/>
      <c r="M10" s="577"/>
      <c r="N10" s="577"/>
      <c r="O10" s="577"/>
      <c r="P10" s="577"/>
      <c r="Q10" s="577"/>
      <c r="R10" s="577"/>
      <c r="S10" s="577"/>
      <c r="T10" s="555"/>
      <c r="U10" s="555"/>
      <c r="V10" s="555"/>
      <c r="W10" s="555"/>
      <c r="X10" s="555"/>
      <c r="Y10" s="555"/>
      <c r="Z10" s="555"/>
      <c r="AA10" s="555"/>
      <c r="AB10" s="555"/>
      <c r="AC10" s="555"/>
      <c r="AD10" s="555"/>
      <c r="AE10" s="555"/>
      <c r="AF10" s="555"/>
      <c r="AG10" s="555"/>
      <c r="AH10" s="555"/>
      <c r="AI10" s="555"/>
      <c r="AJ10" s="555"/>
      <c r="AK10" s="555"/>
      <c r="AL10" s="555"/>
      <c r="AM10" s="555"/>
      <c r="AN10" s="555"/>
      <c r="AO10" s="555"/>
      <c r="AP10" s="555"/>
      <c r="AQ10" s="555"/>
      <c r="AR10" s="555"/>
      <c r="AS10" s="555"/>
      <c r="AT10" s="555"/>
      <c r="AU10" s="555"/>
      <c r="AV10" s="555"/>
      <c r="AW10" s="555"/>
      <c r="AX10" s="555"/>
      <c r="AY10" s="555"/>
      <c r="AZ10" s="555"/>
      <c r="BA10" s="555"/>
      <c r="BB10" s="555"/>
      <c r="BC10" s="555"/>
      <c r="BD10" s="555"/>
      <c r="BE10" s="555"/>
      <c r="BF10" s="555"/>
      <c r="BG10" s="555"/>
      <c r="BH10" s="555"/>
      <c r="BI10" s="555"/>
      <c r="BJ10" s="555"/>
      <c r="BK10" s="555"/>
      <c r="BL10" s="555"/>
      <c r="BM10" s="555"/>
      <c r="BN10" s="555"/>
      <c r="BO10" s="555"/>
      <c r="BP10" s="555"/>
      <c r="BQ10" s="555"/>
      <c r="BR10" s="555"/>
      <c r="BS10" s="555"/>
      <c r="BT10" s="555"/>
      <c r="BU10" s="555"/>
      <c r="BV10" s="555"/>
      <c r="BW10" s="555"/>
      <c r="BX10" s="555"/>
      <c r="BY10" s="555"/>
      <c r="BZ10" s="555"/>
      <c r="CA10" s="555"/>
      <c r="CB10" s="555"/>
      <c r="CC10" s="555"/>
      <c r="CD10" s="555"/>
      <c r="CE10" s="555"/>
      <c r="CF10" s="555"/>
      <c r="CG10" s="555"/>
      <c r="CH10" s="555"/>
      <c r="CI10" s="555"/>
      <c r="CJ10" s="555"/>
      <c r="CK10" s="555"/>
      <c r="CL10" s="555"/>
      <c r="CM10" s="555"/>
      <c r="CN10" s="555"/>
      <c r="CO10" s="555"/>
      <c r="CP10" s="555"/>
      <c r="CQ10" s="555"/>
      <c r="CR10" s="555"/>
      <c r="CS10" s="555"/>
      <c r="CT10" s="555"/>
      <c r="CU10" s="555"/>
      <c r="CV10" s="555"/>
      <c r="CW10" s="555"/>
      <c r="CX10" s="555"/>
      <c r="CY10" s="555"/>
      <c r="CZ10" s="555"/>
      <c r="DA10" s="555"/>
      <c r="DB10" s="555"/>
      <c r="DC10" s="555"/>
      <c r="DD10" s="555"/>
      <c r="DE10" s="555"/>
      <c r="DF10" s="555"/>
      <c r="DG10" s="555"/>
      <c r="DH10" s="555"/>
      <c r="DI10" s="555"/>
      <c r="DJ10" s="555"/>
      <c r="DK10" s="555"/>
      <c r="DL10" s="555"/>
      <c r="DM10" s="555"/>
      <c r="DN10" s="555"/>
      <c r="DO10" s="555"/>
      <c r="DP10" s="555"/>
      <c r="DQ10" s="555"/>
      <c r="DR10" s="555"/>
      <c r="DS10" s="555"/>
      <c r="DT10" s="555"/>
      <c r="DU10" s="555"/>
      <c r="DV10" s="555"/>
      <c r="DW10" s="555"/>
      <c r="DX10" s="555"/>
      <c r="DY10" s="555"/>
      <c r="DZ10" s="555"/>
      <c r="EA10" s="555"/>
      <c r="EB10" s="555"/>
      <c r="EC10" s="555"/>
      <c r="ED10" s="555"/>
      <c r="EE10" s="555"/>
      <c r="EF10" s="555"/>
      <c r="EG10" s="555"/>
      <c r="EH10" s="555"/>
      <c r="EI10" s="555"/>
      <c r="EJ10" s="555"/>
      <c r="EK10" s="555"/>
      <c r="EL10" s="555"/>
      <c r="EM10" s="555"/>
      <c r="EN10" s="555"/>
      <c r="EO10" s="555"/>
      <c r="EP10" s="555"/>
      <c r="EQ10" s="555"/>
      <c r="ER10" s="555"/>
      <c r="ES10" s="555"/>
      <c r="ET10" s="555"/>
      <c r="EU10" s="555"/>
      <c r="EV10" s="555"/>
      <c r="EW10" s="555"/>
      <c r="EX10" s="555"/>
      <c r="EY10" s="555"/>
      <c r="EZ10" s="555"/>
      <c r="FA10" s="555"/>
      <c r="FB10" s="555"/>
      <c r="FC10" s="555"/>
      <c r="FD10" s="555"/>
      <c r="FE10" s="555"/>
      <c r="FF10" s="555"/>
      <c r="FG10" s="555"/>
      <c r="FH10" s="555"/>
      <c r="FI10" s="555"/>
      <c r="FJ10" s="555"/>
      <c r="FK10" s="555"/>
      <c r="FL10" s="555"/>
      <c r="FM10" s="555"/>
      <c r="FN10" s="555"/>
      <c r="FO10" s="555"/>
      <c r="FP10" s="555"/>
      <c r="FQ10" s="555"/>
      <c r="FR10" s="555"/>
      <c r="FS10" s="555"/>
      <c r="FT10" s="555"/>
      <c r="FU10" s="555"/>
      <c r="FV10" s="555"/>
      <c r="FW10" s="555"/>
      <c r="FX10" s="555"/>
      <c r="FY10" s="555"/>
      <c r="FZ10" s="555"/>
      <c r="GA10" s="555"/>
      <c r="GB10" s="555"/>
      <c r="GC10" s="555"/>
      <c r="GD10" s="555"/>
      <c r="GE10" s="555"/>
      <c r="GF10" s="555"/>
      <c r="GG10" s="555"/>
      <c r="GH10" s="555"/>
      <c r="GI10" s="555"/>
      <c r="GJ10" s="555"/>
      <c r="GK10" s="555"/>
      <c r="GL10" s="555"/>
      <c r="GM10" s="555"/>
      <c r="GN10" s="555"/>
      <c r="GO10" s="555"/>
      <c r="GP10" s="555"/>
      <c r="GQ10" s="555"/>
      <c r="GR10" s="555"/>
      <c r="GS10" s="555"/>
      <c r="GT10" s="555"/>
      <c r="GU10" s="555"/>
      <c r="GV10" s="555"/>
      <c r="GW10" s="555"/>
      <c r="GX10" s="555"/>
      <c r="GY10" s="555"/>
      <c r="GZ10" s="555"/>
      <c r="HA10" s="555"/>
      <c r="HB10" s="555"/>
      <c r="HC10" s="555"/>
      <c r="HD10" s="555"/>
      <c r="HE10" s="555"/>
      <c r="HF10" s="555"/>
      <c r="HG10" s="555"/>
      <c r="HH10" s="555"/>
      <c r="HI10" s="555"/>
      <c r="HJ10" s="555"/>
      <c r="HK10" s="555"/>
      <c r="HL10" s="555"/>
      <c r="HM10" s="555"/>
      <c r="HN10" s="555"/>
      <c r="HO10" s="555"/>
      <c r="HP10" s="555"/>
      <c r="HQ10" s="555"/>
      <c r="HR10" s="555"/>
      <c r="HS10" s="555"/>
      <c r="HT10" s="555"/>
      <c r="HU10" s="555"/>
      <c r="HV10" s="555"/>
      <c r="HW10" s="555"/>
      <c r="HX10" s="555"/>
      <c r="HY10" s="555"/>
      <c r="HZ10" s="555"/>
      <c r="IA10" s="555"/>
      <c r="IB10" s="555"/>
      <c r="IC10" s="555"/>
      <c r="ID10" s="555"/>
      <c r="IE10" s="555"/>
      <c r="IF10" s="555"/>
      <c r="IG10" s="555"/>
      <c r="IH10" s="555"/>
      <c r="II10" s="555"/>
      <c r="IJ10" s="555"/>
      <c r="IK10" s="555"/>
      <c r="IL10" s="555"/>
      <c r="IM10" s="555"/>
      <c r="IN10" s="555"/>
      <c r="IO10" s="555"/>
      <c r="IP10" s="555"/>
      <c r="IQ10" s="555"/>
      <c r="IR10" s="555"/>
      <c r="IS10" s="555"/>
      <c r="IT10" s="555"/>
      <c r="IU10" s="555"/>
      <c r="IV10" s="555"/>
      <c r="IW10" s="555"/>
    </row>
    <row r="11" customFormat="false" ht="28.5" hidden="false" customHeight="true" outlineLevel="0" collapsed="false">
      <c r="A11" s="559" t="s">
        <v>560</v>
      </c>
      <c r="B11" s="578" t="s">
        <v>561</v>
      </c>
      <c r="C11" s="578"/>
      <c r="D11" s="578"/>
      <c r="E11" s="578"/>
      <c r="F11" s="578"/>
      <c r="G11" s="578"/>
      <c r="H11" s="578"/>
      <c r="I11" s="578"/>
      <c r="J11" s="578"/>
      <c r="K11" s="579" t="s">
        <v>562</v>
      </c>
      <c r="L11" s="579"/>
      <c r="M11" s="579"/>
      <c r="N11" s="579"/>
      <c r="O11" s="579"/>
      <c r="P11" s="579"/>
      <c r="Q11" s="579"/>
      <c r="R11" s="579"/>
      <c r="S11" s="579"/>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555"/>
      <c r="AU11" s="555"/>
      <c r="AV11" s="555"/>
      <c r="AW11" s="555"/>
      <c r="AX11" s="555"/>
      <c r="AY11" s="555"/>
      <c r="AZ11" s="555"/>
      <c r="BA11" s="555"/>
      <c r="BB11" s="555"/>
      <c r="BC11" s="555"/>
      <c r="BD11" s="555"/>
      <c r="BE11" s="555"/>
      <c r="BF11" s="555"/>
      <c r="BG11" s="555"/>
      <c r="BH11" s="555"/>
      <c r="BI11" s="555"/>
      <c r="BJ11" s="555"/>
      <c r="BK11" s="555"/>
      <c r="BL11" s="555"/>
      <c r="BM11" s="555"/>
      <c r="BN11" s="555"/>
      <c r="BO11" s="555"/>
      <c r="BP11" s="555"/>
      <c r="BQ11" s="555"/>
      <c r="BR11" s="555"/>
      <c r="BS11" s="555"/>
      <c r="BT11" s="555"/>
      <c r="BU11" s="555"/>
      <c r="BV11" s="555"/>
      <c r="BW11" s="555"/>
      <c r="BX11" s="555"/>
      <c r="BY11" s="555"/>
      <c r="BZ11" s="555"/>
      <c r="CA11" s="555"/>
      <c r="CB11" s="555"/>
      <c r="CC11" s="555"/>
      <c r="CD11" s="555"/>
      <c r="CE11" s="555"/>
      <c r="CF11" s="555"/>
      <c r="CG11" s="555"/>
      <c r="CH11" s="555"/>
      <c r="CI11" s="555"/>
      <c r="CJ11" s="555"/>
      <c r="CK11" s="555"/>
      <c r="CL11" s="555"/>
      <c r="CM11" s="555"/>
      <c r="CN11" s="555"/>
      <c r="CO11" s="555"/>
      <c r="CP11" s="555"/>
      <c r="CQ11" s="555"/>
      <c r="CR11" s="555"/>
      <c r="CS11" s="555"/>
      <c r="CT11" s="555"/>
      <c r="CU11" s="555"/>
      <c r="CV11" s="555"/>
      <c r="CW11" s="555"/>
      <c r="CX11" s="555"/>
      <c r="CY11" s="555"/>
      <c r="CZ11" s="555"/>
      <c r="DA11" s="555"/>
      <c r="DB11" s="555"/>
      <c r="DC11" s="555"/>
      <c r="DD11" s="555"/>
      <c r="DE11" s="555"/>
      <c r="DF11" s="555"/>
      <c r="DG11" s="555"/>
      <c r="DH11" s="555"/>
      <c r="DI11" s="555"/>
      <c r="DJ11" s="555"/>
      <c r="DK11" s="555"/>
      <c r="DL11" s="555"/>
      <c r="DM11" s="555"/>
      <c r="DN11" s="555"/>
      <c r="DO11" s="555"/>
      <c r="DP11" s="555"/>
      <c r="DQ11" s="555"/>
      <c r="DR11" s="555"/>
      <c r="DS11" s="555"/>
      <c r="DT11" s="555"/>
      <c r="DU11" s="555"/>
      <c r="DV11" s="555"/>
      <c r="DW11" s="555"/>
      <c r="DX11" s="555"/>
      <c r="DY11" s="555"/>
      <c r="DZ11" s="555"/>
      <c r="EA11" s="555"/>
      <c r="EB11" s="555"/>
      <c r="EC11" s="555"/>
      <c r="ED11" s="555"/>
      <c r="EE11" s="555"/>
      <c r="EF11" s="555"/>
      <c r="EG11" s="555"/>
      <c r="EH11" s="555"/>
      <c r="EI11" s="555"/>
      <c r="EJ11" s="555"/>
      <c r="EK11" s="555"/>
      <c r="EL11" s="555"/>
      <c r="EM11" s="555"/>
      <c r="EN11" s="555"/>
      <c r="EO11" s="555"/>
      <c r="EP11" s="555"/>
      <c r="EQ11" s="555"/>
      <c r="ER11" s="555"/>
      <c r="ES11" s="555"/>
      <c r="ET11" s="555"/>
      <c r="EU11" s="555"/>
      <c r="EV11" s="555"/>
      <c r="EW11" s="555"/>
      <c r="EX11" s="555"/>
      <c r="EY11" s="555"/>
      <c r="EZ11" s="555"/>
      <c r="FA11" s="555"/>
      <c r="FB11" s="555"/>
      <c r="FC11" s="555"/>
      <c r="FD11" s="555"/>
      <c r="FE11" s="555"/>
      <c r="FF11" s="555"/>
      <c r="FG11" s="555"/>
      <c r="FH11" s="555"/>
      <c r="FI11" s="555"/>
      <c r="FJ11" s="555"/>
      <c r="FK11" s="555"/>
      <c r="FL11" s="555"/>
      <c r="FM11" s="555"/>
      <c r="FN11" s="555"/>
      <c r="FO11" s="555"/>
      <c r="FP11" s="555"/>
      <c r="FQ11" s="555"/>
      <c r="FR11" s="555"/>
      <c r="FS11" s="555"/>
      <c r="FT11" s="555"/>
      <c r="FU11" s="555"/>
      <c r="FV11" s="555"/>
      <c r="FW11" s="555"/>
      <c r="FX11" s="555"/>
      <c r="FY11" s="555"/>
      <c r="FZ11" s="555"/>
      <c r="GA11" s="555"/>
      <c r="GB11" s="555"/>
      <c r="GC11" s="555"/>
      <c r="GD11" s="555"/>
      <c r="GE11" s="555"/>
      <c r="GF11" s="555"/>
      <c r="GG11" s="555"/>
      <c r="GH11" s="555"/>
      <c r="GI11" s="555"/>
      <c r="GJ11" s="555"/>
      <c r="GK11" s="555"/>
      <c r="GL11" s="555"/>
      <c r="GM11" s="555"/>
      <c r="GN11" s="555"/>
      <c r="GO11" s="555"/>
      <c r="GP11" s="555"/>
      <c r="GQ11" s="555"/>
      <c r="GR11" s="555"/>
      <c r="GS11" s="555"/>
      <c r="GT11" s="555"/>
      <c r="GU11" s="555"/>
      <c r="GV11" s="555"/>
      <c r="GW11" s="555"/>
      <c r="GX11" s="555"/>
      <c r="GY11" s="555"/>
      <c r="GZ11" s="555"/>
      <c r="HA11" s="555"/>
      <c r="HB11" s="555"/>
      <c r="HC11" s="555"/>
      <c r="HD11" s="555"/>
      <c r="HE11" s="555"/>
      <c r="HF11" s="555"/>
      <c r="HG11" s="555"/>
      <c r="HH11" s="555"/>
      <c r="HI11" s="555"/>
      <c r="HJ11" s="555"/>
      <c r="HK11" s="555"/>
      <c r="HL11" s="555"/>
      <c r="HM11" s="555"/>
      <c r="HN11" s="555"/>
      <c r="HO11" s="555"/>
      <c r="HP11" s="555"/>
      <c r="HQ11" s="555"/>
      <c r="HR11" s="555"/>
      <c r="HS11" s="555"/>
      <c r="HT11" s="555"/>
      <c r="HU11" s="555"/>
      <c r="HV11" s="555"/>
      <c r="HW11" s="555"/>
      <c r="HX11" s="555"/>
      <c r="HY11" s="555"/>
      <c r="HZ11" s="555"/>
      <c r="IA11" s="555"/>
      <c r="IB11" s="555"/>
      <c r="IC11" s="555"/>
      <c r="ID11" s="555"/>
      <c r="IE11" s="555"/>
      <c r="IF11" s="555"/>
      <c r="IG11" s="555"/>
      <c r="IH11" s="555"/>
      <c r="II11" s="555"/>
      <c r="IJ11" s="555"/>
      <c r="IK11" s="555"/>
      <c r="IL11" s="555"/>
      <c r="IM11" s="555"/>
      <c r="IN11" s="555"/>
      <c r="IO11" s="555"/>
      <c r="IP11" s="555"/>
      <c r="IQ11" s="555"/>
      <c r="IR11" s="555"/>
      <c r="IS11" s="555"/>
      <c r="IT11" s="555"/>
      <c r="IU11" s="555"/>
      <c r="IV11" s="555"/>
      <c r="IW11" s="555"/>
    </row>
    <row r="12" customFormat="false" ht="18" hidden="false" customHeight="true" outlineLevel="0" collapsed="false">
      <c r="A12" s="559"/>
      <c r="B12" s="580"/>
      <c r="C12" s="581" t="str">
        <f aca="false">현5!A4</f>
        <v>소화설비</v>
      </c>
      <c r="D12" s="581"/>
      <c r="E12" s="581"/>
      <c r="F12" s="581"/>
      <c r="G12" s="582" t="s">
        <v>563</v>
      </c>
      <c r="H12" s="581">
        <f aca="false">현5!C4</f>
      </c>
      <c r="I12" s="581"/>
      <c r="J12" s="583"/>
      <c r="K12" s="584">
        <f aca="false">B26</f>
      </c>
      <c r="L12" s="584"/>
      <c r="M12" s="584"/>
      <c r="N12" s="584"/>
      <c r="O12" s="585" t="s">
        <v>24</v>
      </c>
      <c r="P12" s="586">
        <f aca="false">J26</f>
      </c>
      <c r="Q12" s="586"/>
      <c r="R12" s="586"/>
      <c r="S12" s="586"/>
      <c r="T12" s="555"/>
      <c r="U12" s="555"/>
      <c r="V12" s="555"/>
      <c r="W12" s="555"/>
      <c r="X12" s="555"/>
      <c r="Y12" s="555"/>
      <c r="Z12" s="555"/>
      <c r="AA12" s="555"/>
      <c r="AB12" s="555"/>
      <c r="AC12" s="555"/>
      <c r="AD12" s="555"/>
      <c r="AE12" s="555"/>
      <c r="AF12" s="555"/>
      <c r="AG12" s="555"/>
      <c r="AH12" s="555"/>
      <c r="AI12" s="555"/>
      <c r="AJ12" s="555"/>
      <c r="AK12" s="555"/>
      <c r="AL12" s="555"/>
      <c r="AM12" s="555"/>
      <c r="AN12" s="555"/>
      <c r="AO12" s="555"/>
      <c r="AP12" s="555"/>
      <c r="AQ12" s="555"/>
      <c r="AR12" s="555"/>
      <c r="AS12" s="555"/>
      <c r="AT12" s="555"/>
      <c r="AU12" s="555"/>
      <c r="AV12" s="555"/>
      <c r="AW12" s="555"/>
      <c r="AX12" s="555"/>
      <c r="AY12" s="555"/>
      <c r="AZ12" s="555"/>
      <c r="BA12" s="555"/>
      <c r="BB12" s="555"/>
      <c r="BC12" s="555"/>
      <c r="BD12" s="555"/>
      <c r="BE12" s="555"/>
      <c r="BF12" s="555"/>
      <c r="BG12" s="555"/>
      <c r="BH12" s="555"/>
      <c r="BI12" s="555"/>
      <c r="BJ12" s="555"/>
      <c r="BK12" s="555"/>
      <c r="BL12" s="555"/>
      <c r="BM12" s="555"/>
      <c r="BN12" s="555"/>
      <c r="BO12" s="555"/>
      <c r="BP12" s="555"/>
      <c r="BQ12" s="555"/>
      <c r="BR12" s="555"/>
      <c r="BS12" s="555"/>
      <c r="BT12" s="555"/>
      <c r="BU12" s="555"/>
      <c r="BV12" s="555"/>
      <c r="BW12" s="555"/>
      <c r="BX12" s="555"/>
      <c r="BY12" s="555"/>
      <c r="BZ12" s="555"/>
      <c r="CA12" s="555"/>
      <c r="CB12" s="555"/>
      <c r="CC12" s="555"/>
      <c r="CD12" s="555"/>
      <c r="CE12" s="555"/>
      <c r="CF12" s="555"/>
      <c r="CG12" s="555"/>
      <c r="CH12" s="555"/>
      <c r="CI12" s="555"/>
      <c r="CJ12" s="555"/>
      <c r="CK12" s="555"/>
      <c r="CL12" s="555"/>
      <c r="CM12" s="555"/>
      <c r="CN12" s="555"/>
      <c r="CO12" s="555"/>
      <c r="CP12" s="555"/>
      <c r="CQ12" s="555"/>
      <c r="CR12" s="555"/>
      <c r="CS12" s="555"/>
      <c r="CT12" s="555"/>
      <c r="CU12" s="555"/>
      <c r="CV12" s="555"/>
      <c r="CW12" s="555"/>
      <c r="CX12" s="555"/>
      <c r="CY12" s="555"/>
      <c r="CZ12" s="555"/>
      <c r="DA12" s="555"/>
      <c r="DB12" s="555"/>
      <c r="DC12" s="555"/>
      <c r="DD12" s="555"/>
      <c r="DE12" s="555"/>
      <c r="DF12" s="555"/>
      <c r="DG12" s="555"/>
      <c r="DH12" s="555"/>
      <c r="DI12" s="555"/>
      <c r="DJ12" s="555"/>
      <c r="DK12" s="555"/>
      <c r="DL12" s="555"/>
      <c r="DM12" s="555"/>
      <c r="DN12" s="555"/>
      <c r="DO12" s="555"/>
      <c r="DP12" s="555"/>
      <c r="DQ12" s="555"/>
      <c r="DR12" s="555"/>
      <c r="DS12" s="555"/>
      <c r="DT12" s="555"/>
      <c r="DU12" s="555"/>
      <c r="DV12" s="555"/>
      <c r="DW12" s="555"/>
      <c r="DX12" s="555"/>
      <c r="DY12" s="555"/>
      <c r="DZ12" s="555"/>
      <c r="EA12" s="555"/>
      <c r="EB12" s="555"/>
      <c r="EC12" s="555"/>
      <c r="ED12" s="555"/>
      <c r="EE12" s="555"/>
      <c r="EF12" s="555"/>
      <c r="EG12" s="555"/>
      <c r="EH12" s="555"/>
      <c r="EI12" s="555"/>
      <c r="EJ12" s="555"/>
      <c r="EK12" s="555"/>
      <c r="EL12" s="555"/>
      <c r="EM12" s="555"/>
      <c r="EN12" s="555"/>
      <c r="EO12" s="555"/>
      <c r="EP12" s="555"/>
      <c r="EQ12" s="555"/>
      <c r="ER12" s="555"/>
      <c r="ES12" s="555"/>
      <c r="ET12" s="555"/>
      <c r="EU12" s="555"/>
      <c r="EV12" s="555"/>
      <c r="EW12" s="555"/>
      <c r="EX12" s="555"/>
      <c r="EY12" s="555"/>
      <c r="EZ12" s="555"/>
      <c r="FA12" s="555"/>
      <c r="FB12" s="555"/>
      <c r="FC12" s="555"/>
      <c r="FD12" s="555"/>
      <c r="FE12" s="555"/>
      <c r="FF12" s="555"/>
      <c r="FG12" s="555"/>
      <c r="FH12" s="555"/>
      <c r="FI12" s="555"/>
      <c r="FJ12" s="555"/>
      <c r="FK12" s="555"/>
      <c r="FL12" s="555"/>
      <c r="FM12" s="555"/>
      <c r="FN12" s="555"/>
      <c r="FO12" s="555"/>
      <c r="FP12" s="555"/>
      <c r="FQ12" s="555"/>
      <c r="FR12" s="555"/>
      <c r="FS12" s="555"/>
      <c r="FT12" s="555"/>
      <c r="FU12" s="555"/>
      <c r="FV12" s="555"/>
      <c r="FW12" s="555"/>
      <c r="FX12" s="555"/>
      <c r="FY12" s="555"/>
      <c r="FZ12" s="555"/>
      <c r="GA12" s="555"/>
      <c r="GB12" s="555"/>
      <c r="GC12" s="555"/>
      <c r="GD12" s="555"/>
      <c r="GE12" s="555"/>
      <c r="GF12" s="555"/>
      <c r="GG12" s="555"/>
      <c r="GH12" s="555"/>
      <c r="GI12" s="555"/>
      <c r="GJ12" s="555"/>
      <c r="GK12" s="555"/>
      <c r="GL12" s="555"/>
      <c r="GM12" s="555"/>
      <c r="GN12" s="555"/>
      <c r="GO12" s="555"/>
      <c r="GP12" s="555"/>
      <c r="GQ12" s="555"/>
      <c r="GR12" s="555"/>
      <c r="GS12" s="555"/>
      <c r="GT12" s="555"/>
      <c r="GU12" s="555"/>
      <c r="GV12" s="555"/>
      <c r="GW12" s="555"/>
      <c r="GX12" s="555"/>
      <c r="GY12" s="555"/>
      <c r="GZ12" s="555"/>
      <c r="HA12" s="555"/>
      <c r="HB12" s="555"/>
      <c r="HC12" s="555"/>
      <c r="HD12" s="555"/>
      <c r="HE12" s="555"/>
      <c r="HF12" s="555"/>
      <c r="HG12" s="555"/>
      <c r="HH12" s="555"/>
      <c r="HI12" s="555"/>
      <c r="HJ12" s="555"/>
      <c r="HK12" s="555"/>
      <c r="HL12" s="555"/>
      <c r="HM12" s="555"/>
      <c r="HN12" s="555"/>
      <c r="HO12" s="555"/>
      <c r="HP12" s="555"/>
      <c r="HQ12" s="555"/>
      <c r="HR12" s="555"/>
      <c r="HS12" s="555"/>
      <c r="HT12" s="555"/>
      <c r="HU12" s="555"/>
      <c r="HV12" s="555"/>
      <c r="HW12" s="555"/>
      <c r="HX12" s="555"/>
      <c r="HY12" s="555"/>
      <c r="HZ12" s="555"/>
      <c r="IA12" s="555"/>
      <c r="IB12" s="555"/>
      <c r="IC12" s="555"/>
      <c r="ID12" s="555"/>
      <c r="IE12" s="555"/>
      <c r="IF12" s="555"/>
      <c r="IG12" s="555"/>
      <c r="IH12" s="555"/>
      <c r="II12" s="555"/>
      <c r="IJ12" s="555"/>
      <c r="IK12" s="555"/>
      <c r="IL12" s="555"/>
      <c r="IM12" s="555"/>
      <c r="IN12" s="555"/>
      <c r="IO12" s="555"/>
      <c r="IP12" s="555"/>
      <c r="IQ12" s="555"/>
      <c r="IR12" s="555"/>
      <c r="IS12" s="555"/>
      <c r="IT12" s="555"/>
      <c r="IU12" s="555"/>
      <c r="IV12" s="555"/>
      <c r="IW12" s="555"/>
    </row>
    <row r="13" customFormat="false" ht="18" hidden="false" customHeight="true" outlineLevel="0" collapsed="false">
      <c r="A13" s="559"/>
      <c r="B13" s="587"/>
      <c r="C13" s="581"/>
      <c r="D13" s="581"/>
      <c r="E13" s="581"/>
      <c r="F13" s="581"/>
      <c r="G13" s="582"/>
      <c r="H13" s="581"/>
      <c r="I13" s="581"/>
      <c r="J13" s="588"/>
      <c r="K13" s="589"/>
      <c r="L13" s="590"/>
      <c r="M13" s="590"/>
      <c r="N13" s="591" t="s">
        <v>564</v>
      </c>
      <c r="O13" s="592">
        <f aca="false">P26</f>
      </c>
      <c r="P13" s="593" t="s">
        <v>565</v>
      </c>
      <c r="Q13" s="592"/>
      <c r="R13" s="592"/>
      <c r="S13" s="592"/>
      <c r="T13" s="555"/>
      <c r="U13" s="555"/>
      <c r="V13" s="555"/>
      <c r="W13" s="555"/>
      <c r="X13" s="555"/>
      <c r="Y13" s="555"/>
      <c r="Z13" s="555"/>
      <c r="AA13" s="555"/>
      <c r="AB13" s="555"/>
      <c r="AC13" s="555"/>
      <c r="AD13" s="555"/>
      <c r="AE13" s="555"/>
      <c r="AF13" s="555"/>
      <c r="AG13" s="555"/>
      <c r="AH13" s="555"/>
      <c r="AI13" s="555"/>
      <c r="AJ13" s="555"/>
      <c r="AK13" s="555"/>
      <c r="AL13" s="555"/>
      <c r="AM13" s="555"/>
      <c r="AN13" s="555"/>
      <c r="AO13" s="555"/>
      <c r="AP13" s="555"/>
      <c r="AQ13" s="555"/>
      <c r="AR13" s="555"/>
      <c r="AS13" s="555"/>
      <c r="AT13" s="555"/>
      <c r="AU13" s="555"/>
      <c r="AV13" s="555"/>
      <c r="AW13" s="555"/>
      <c r="AX13" s="555"/>
      <c r="AY13" s="555"/>
      <c r="AZ13" s="555"/>
      <c r="BA13" s="555"/>
      <c r="BB13" s="555"/>
      <c r="BC13" s="555"/>
      <c r="BD13" s="555"/>
      <c r="BE13" s="555"/>
      <c r="BF13" s="555"/>
      <c r="BG13" s="555"/>
      <c r="BH13" s="555"/>
      <c r="BI13" s="555"/>
      <c r="BJ13" s="555"/>
      <c r="BK13" s="555"/>
      <c r="BL13" s="555"/>
      <c r="BM13" s="555"/>
      <c r="BN13" s="555"/>
      <c r="BO13" s="555"/>
      <c r="BP13" s="555"/>
      <c r="BQ13" s="555"/>
      <c r="BR13" s="555"/>
      <c r="BS13" s="555"/>
      <c r="BT13" s="555"/>
      <c r="BU13" s="555"/>
      <c r="BV13" s="555"/>
      <c r="BW13" s="555"/>
      <c r="BX13" s="555"/>
      <c r="BY13" s="555"/>
      <c r="BZ13" s="555"/>
      <c r="CA13" s="555"/>
      <c r="CB13" s="555"/>
      <c r="CC13" s="555"/>
      <c r="CD13" s="555"/>
      <c r="CE13" s="555"/>
      <c r="CF13" s="555"/>
      <c r="CG13" s="555"/>
      <c r="CH13" s="555"/>
      <c r="CI13" s="555"/>
      <c r="CJ13" s="555"/>
      <c r="CK13" s="555"/>
      <c r="CL13" s="555"/>
      <c r="CM13" s="555"/>
      <c r="CN13" s="555"/>
      <c r="CO13" s="555"/>
      <c r="CP13" s="555"/>
      <c r="CQ13" s="555"/>
      <c r="CR13" s="555"/>
      <c r="CS13" s="555"/>
      <c r="CT13" s="555"/>
      <c r="CU13" s="555"/>
      <c r="CV13" s="555"/>
      <c r="CW13" s="555"/>
      <c r="CX13" s="555"/>
      <c r="CY13" s="555"/>
      <c r="CZ13" s="555"/>
      <c r="DA13" s="555"/>
      <c r="DB13" s="555"/>
      <c r="DC13" s="555"/>
      <c r="DD13" s="555"/>
      <c r="DE13" s="555"/>
      <c r="DF13" s="555"/>
      <c r="DG13" s="555"/>
      <c r="DH13" s="555"/>
      <c r="DI13" s="555"/>
      <c r="DJ13" s="555"/>
      <c r="DK13" s="555"/>
      <c r="DL13" s="555"/>
      <c r="DM13" s="555"/>
      <c r="DN13" s="555"/>
      <c r="DO13" s="555"/>
      <c r="DP13" s="555"/>
      <c r="DQ13" s="555"/>
      <c r="DR13" s="555"/>
      <c r="DS13" s="555"/>
      <c r="DT13" s="555"/>
      <c r="DU13" s="555"/>
      <c r="DV13" s="555"/>
      <c r="DW13" s="555"/>
      <c r="DX13" s="555"/>
      <c r="DY13" s="555"/>
      <c r="DZ13" s="555"/>
      <c r="EA13" s="555"/>
      <c r="EB13" s="555"/>
      <c r="EC13" s="555"/>
      <c r="ED13" s="555"/>
      <c r="EE13" s="555"/>
      <c r="EF13" s="555"/>
      <c r="EG13" s="555"/>
      <c r="EH13" s="555"/>
      <c r="EI13" s="555"/>
      <c r="EJ13" s="555"/>
      <c r="EK13" s="555"/>
      <c r="EL13" s="555"/>
      <c r="EM13" s="555"/>
      <c r="EN13" s="555"/>
      <c r="EO13" s="555"/>
      <c r="EP13" s="555"/>
      <c r="EQ13" s="555"/>
      <c r="ER13" s="555"/>
      <c r="ES13" s="555"/>
      <c r="ET13" s="555"/>
      <c r="EU13" s="555"/>
      <c r="EV13" s="555"/>
      <c r="EW13" s="555"/>
      <c r="EX13" s="555"/>
      <c r="EY13" s="555"/>
      <c r="EZ13" s="555"/>
      <c r="FA13" s="555"/>
      <c r="FB13" s="555"/>
      <c r="FC13" s="555"/>
      <c r="FD13" s="555"/>
      <c r="FE13" s="555"/>
      <c r="FF13" s="555"/>
      <c r="FG13" s="555"/>
      <c r="FH13" s="555"/>
      <c r="FI13" s="555"/>
      <c r="FJ13" s="555"/>
      <c r="FK13" s="555"/>
      <c r="FL13" s="555"/>
      <c r="FM13" s="555"/>
      <c r="FN13" s="555"/>
      <c r="FO13" s="555"/>
      <c r="FP13" s="555"/>
      <c r="FQ13" s="555"/>
      <c r="FR13" s="555"/>
      <c r="FS13" s="555"/>
      <c r="FT13" s="555"/>
      <c r="FU13" s="555"/>
      <c r="FV13" s="555"/>
      <c r="FW13" s="555"/>
      <c r="FX13" s="555"/>
      <c r="FY13" s="555"/>
      <c r="FZ13" s="555"/>
      <c r="GA13" s="555"/>
      <c r="GB13" s="555"/>
      <c r="GC13" s="555"/>
      <c r="GD13" s="555"/>
      <c r="GE13" s="555"/>
      <c r="GF13" s="555"/>
      <c r="GG13" s="555"/>
      <c r="GH13" s="555"/>
      <c r="GI13" s="555"/>
      <c r="GJ13" s="555"/>
      <c r="GK13" s="555"/>
      <c r="GL13" s="555"/>
      <c r="GM13" s="555"/>
      <c r="GN13" s="555"/>
      <c r="GO13" s="555"/>
      <c r="GP13" s="555"/>
      <c r="GQ13" s="555"/>
      <c r="GR13" s="555"/>
      <c r="GS13" s="555"/>
      <c r="GT13" s="555"/>
      <c r="GU13" s="555"/>
      <c r="GV13" s="555"/>
      <c r="GW13" s="555"/>
      <c r="GX13" s="555"/>
      <c r="GY13" s="555"/>
      <c r="GZ13" s="555"/>
      <c r="HA13" s="555"/>
      <c r="HB13" s="555"/>
      <c r="HC13" s="555"/>
      <c r="HD13" s="555"/>
      <c r="HE13" s="555"/>
      <c r="HF13" s="555"/>
      <c r="HG13" s="555"/>
      <c r="HH13" s="555"/>
      <c r="HI13" s="555"/>
      <c r="HJ13" s="555"/>
      <c r="HK13" s="555"/>
      <c r="HL13" s="555"/>
      <c r="HM13" s="555"/>
      <c r="HN13" s="555"/>
      <c r="HO13" s="555"/>
      <c r="HP13" s="555"/>
      <c r="HQ13" s="555"/>
      <c r="HR13" s="555"/>
      <c r="HS13" s="555"/>
      <c r="HT13" s="555"/>
      <c r="HU13" s="555"/>
      <c r="HV13" s="555"/>
      <c r="HW13" s="555"/>
      <c r="HX13" s="555"/>
      <c r="HY13" s="555"/>
      <c r="HZ13" s="555"/>
      <c r="IA13" s="555"/>
      <c r="IB13" s="555"/>
      <c r="IC13" s="555"/>
      <c r="ID13" s="555"/>
      <c r="IE13" s="555"/>
      <c r="IF13" s="555"/>
      <c r="IG13" s="555"/>
      <c r="IH13" s="555"/>
      <c r="II13" s="555"/>
      <c r="IJ13" s="555"/>
      <c r="IK13" s="555"/>
      <c r="IL13" s="555"/>
      <c r="IM13" s="555"/>
      <c r="IN13" s="555"/>
      <c r="IO13" s="555"/>
      <c r="IP13" s="555"/>
      <c r="IQ13" s="555"/>
      <c r="IR13" s="555"/>
      <c r="IS13" s="555"/>
      <c r="IT13" s="555"/>
      <c r="IU13" s="555"/>
      <c r="IV13" s="555"/>
      <c r="IW13" s="555"/>
    </row>
    <row r="14" customFormat="false" ht="18" hidden="false" customHeight="true" outlineLevel="0" collapsed="false">
      <c r="A14" s="559"/>
      <c r="B14" s="580"/>
      <c r="C14" s="581" t="str">
        <f aca="false">현5!A5</f>
        <v>경보설비</v>
      </c>
      <c r="D14" s="581"/>
      <c r="E14" s="581"/>
      <c r="F14" s="581"/>
      <c r="G14" s="582" t="s">
        <v>563</v>
      </c>
      <c r="H14" s="581">
        <f aca="false">현5!C5</f>
      </c>
      <c r="I14" s="581"/>
      <c r="J14" s="583"/>
      <c r="K14" s="584">
        <f aca="false">B26</f>
      </c>
      <c r="L14" s="584"/>
      <c r="M14" s="584"/>
      <c r="N14" s="584"/>
      <c r="O14" s="585" t="s">
        <v>24</v>
      </c>
      <c r="P14" s="586">
        <f aca="false">J26</f>
      </c>
      <c r="Q14" s="586"/>
      <c r="R14" s="586"/>
      <c r="S14" s="586"/>
      <c r="T14" s="555"/>
      <c r="U14" s="555"/>
      <c r="V14" s="555"/>
      <c r="W14" s="555"/>
      <c r="X14" s="555"/>
      <c r="Y14" s="555"/>
      <c r="Z14" s="555"/>
      <c r="AA14" s="555"/>
      <c r="AB14" s="555"/>
      <c r="AC14" s="555"/>
      <c r="AD14" s="555"/>
      <c r="AE14" s="555"/>
      <c r="AF14" s="555"/>
      <c r="AG14" s="555"/>
      <c r="AH14" s="555"/>
      <c r="AI14" s="555"/>
      <c r="AJ14" s="555"/>
      <c r="AK14" s="555"/>
      <c r="AL14" s="555"/>
      <c r="AM14" s="555"/>
      <c r="AN14" s="555"/>
      <c r="AO14" s="555"/>
      <c r="AP14" s="555"/>
      <c r="AQ14" s="555"/>
      <c r="AR14" s="555"/>
      <c r="AS14" s="555"/>
      <c r="AT14" s="555"/>
      <c r="AU14" s="555"/>
      <c r="AV14" s="555"/>
      <c r="AW14" s="555"/>
      <c r="AX14" s="555"/>
      <c r="AY14" s="555"/>
      <c r="AZ14" s="555"/>
      <c r="BA14" s="555"/>
      <c r="BB14" s="555"/>
      <c r="BC14" s="555"/>
      <c r="BD14" s="555"/>
      <c r="BE14" s="555"/>
      <c r="BF14" s="555"/>
      <c r="BG14" s="555"/>
      <c r="BH14" s="555"/>
      <c r="BI14" s="555"/>
      <c r="BJ14" s="555"/>
      <c r="BK14" s="555"/>
      <c r="BL14" s="555"/>
      <c r="BM14" s="555"/>
      <c r="BN14" s="555"/>
      <c r="BO14" s="555"/>
      <c r="BP14" s="555"/>
      <c r="BQ14" s="555"/>
      <c r="BR14" s="555"/>
      <c r="BS14" s="555"/>
      <c r="BT14" s="555"/>
      <c r="BU14" s="555"/>
      <c r="BV14" s="555"/>
      <c r="BW14" s="555"/>
      <c r="BX14" s="555"/>
      <c r="BY14" s="555"/>
      <c r="BZ14" s="555"/>
      <c r="CA14" s="555"/>
      <c r="CB14" s="555"/>
      <c r="CC14" s="555"/>
      <c r="CD14" s="555"/>
      <c r="CE14" s="555"/>
      <c r="CF14" s="555"/>
      <c r="CG14" s="555"/>
      <c r="CH14" s="555"/>
      <c r="CI14" s="555"/>
      <c r="CJ14" s="555"/>
      <c r="CK14" s="555"/>
      <c r="CL14" s="555"/>
      <c r="CM14" s="555"/>
      <c r="CN14" s="555"/>
      <c r="CO14" s="555"/>
      <c r="CP14" s="555"/>
      <c r="CQ14" s="555"/>
      <c r="CR14" s="555"/>
      <c r="CS14" s="555"/>
      <c r="CT14" s="555"/>
      <c r="CU14" s="555"/>
      <c r="CV14" s="555"/>
      <c r="CW14" s="555"/>
      <c r="CX14" s="555"/>
      <c r="CY14" s="555"/>
      <c r="CZ14" s="555"/>
      <c r="DA14" s="555"/>
      <c r="DB14" s="555"/>
      <c r="DC14" s="555"/>
      <c r="DD14" s="555"/>
      <c r="DE14" s="555"/>
      <c r="DF14" s="555"/>
      <c r="DG14" s="555"/>
      <c r="DH14" s="555"/>
      <c r="DI14" s="555"/>
      <c r="DJ14" s="555"/>
      <c r="DK14" s="555"/>
      <c r="DL14" s="555"/>
      <c r="DM14" s="555"/>
      <c r="DN14" s="555"/>
      <c r="DO14" s="555"/>
      <c r="DP14" s="555"/>
      <c r="DQ14" s="555"/>
      <c r="DR14" s="555"/>
      <c r="DS14" s="555"/>
      <c r="DT14" s="555"/>
      <c r="DU14" s="555"/>
      <c r="DV14" s="555"/>
      <c r="DW14" s="555"/>
      <c r="DX14" s="555"/>
      <c r="DY14" s="555"/>
      <c r="DZ14" s="555"/>
      <c r="EA14" s="555"/>
      <c r="EB14" s="555"/>
      <c r="EC14" s="555"/>
      <c r="ED14" s="555"/>
      <c r="EE14" s="555"/>
      <c r="EF14" s="555"/>
      <c r="EG14" s="555"/>
      <c r="EH14" s="555"/>
      <c r="EI14" s="555"/>
      <c r="EJ14" s="555"/>
      <c r="EK14" s="555"/>
      <c r="EL14" s="555"/>
      <c r="EM14" s="555"/>
      <c r="EN14" s="555"/>
      <c r="EO14" s="555"/>
      <c r="EP14" s="555"/>
      <c r="EQ14" s="555"/>
      <c r="ER14" s="555"/>
      <c r="ES14" s="555"/>
      <c r="ET14" s="555"/>
      <c r="EU14" s="555"/>
      <c r="EV14" s="555"/>
      <c r="EW14" s="555"/>
      <c r="EX14" s="555"/>
      <c r="EY14" s="555"/>
      <c r="EZ14" s="555"/>
      <c r="FA14" s="555"/>
      <c r="FB14" s="555"/>
      <c r="FC14" s="555"/>
      <c r="FD14" s="555"/>
      <c r="FE14" s="555"/>
      <c r="FF14" s="555"/>
      <c r="FG14" s="555"/>
      <c r="FH14" s="555"/>
      <c r="FI14" s="555"/>
      <c r="FJ14" s="555"/>
      <c r="FK14" s="555"/>
      <c r="FL14" s="555"/>
      <c r="FM14" s="555"/>
      <c r="FN14" s="555"/>
      <c r="FO14" s="555"/>
      <c r="FP14" s="555"/>
      <c r="FQ14" s="555"/>
      <c r="FR14" s="555"/>
      <c r="FS14" s="555"/>
      <c r="FT14" s="555"/>
      <c r="FU14" s="555"/>
      <c r="FV14" s="555"/>
      <c r="FW14" s="555"/>
      <c r="FX14" s="555"/>
      <c r="FY14" s="555"/>
      <c r="FZ14" s="555"/>
      <c r="GA14" s="555"/>
      <c r="GB14" s="555"/>
      <c r="GC14" s="555"/>
      <c r="GD14" s="555"/>
      <c r="GE14" s="555"/>
      <c r="GF14" s="555"/>
      <c r="GG14" s="555"/>
      <c r="GH14" s="555"/>
      <c r="GI14" s="555"/>
      <c r="GJ14" s="555"/>
      <c r="GK14" s="555"/>
      <c r="GL14" s="555"/>
      <c r="GM14" s="555"/>
      <c r="GN14" s="555"/>
      <c r="GO14" s="555"/>
      <c r="GP14" s="555"/>
      <c r="GQ14" s="555"/>
      <c r="GR14" s="555"/>
      <c r="GS14" s="555"/>
      <c r="GT14" s="555"/>
      <c r="GU14" s="555"/>
      <c r="GV14" s="555"/>
      <c r="GW14" s="555"/>
      <c r="GX14" s="555"/>
      <c r="GY14" s="555"/>
      <c r="GZ14" s="555"/>
      <c r="HA14" s="555"/>
      <c r="HB14" s="555"/>
      <c r="HC14" s="555"/>
      <c r="HD14" s="555"/>
      <c r="HE14" s="555"/>
      <c r="HF14" s="555"/>
      <c r="HG14" s="555"/>
      <c r="HH14" s="555"/>
      <c r="HI14" s="555"/>
      <c r="HJ14" s="555"/>
      <c r="HK14" s="555"/>
      <c r="HL14" s="555"/>
      <c r="HM14" s="555"/>
      <c r="HN14" s="555"/>
      <c r="HO14" s="555"/>
      <c r="HP14" s="555"/>
      <c r="HQ14" s="555"/>
      <c r="HR14" s="555"/>
      <c r="HS14" s="555"/>
      <c r="HT14" s="555"/>
      <c r="HU14" s="555"/>
      <c r="HV14" s="555"/>
      <c r="HW14" s="555"/>
      <c r="HX14" s="555"/>
      <c r="HY14" s="555"/>
      <c r="HZ14" s="555"/>
      <c r="IA14" s="555"/>
      <c r="IB14" s="555"/>
      <c r="IC14" s="555"/>
      <c r="ID14" s="555"/>
      <c r="IE14" s="555"/>
      <c r="IF14" s="555"/>
      <c r="IG14" s="555"/>
      <c r="IH14" s="555"/>
      <c r="II14" s="555"/>
      <c r="IJ14" s="555"/>
      <c r="IK14" s="555"/>
      <c r="IL14" s="555"/>
      <c r="IM14" s="555"/>
      <c r="IN14" s="555"/>
      <c r="IO14" s="555"/>
      <c r="IP14" s="555"/>
      <c r="IQ14" s="555"/>
      <c r="IR14" s="555"/>
      <c r="IS14" s="555"/>
      <c r="IT14" s="555"/>
      <c r="IU14" s="555"/>
      <c r="IV14" s="555"/>
      <c r="IW14" s="555"/>
    </row>
    <row r="15" customFormat="false" ht="18" hidden="false" customHeight="true" outlineLevel="0" collapsed="false">
      <c r="A15" s="559"/>
      <c r="B15" s="587"/>
      <c r="C15" s="581"/>
      <c r="D15" s="581"/>
      <c r="E15" s="581"/>
      <c r="F15" s="581"/>
      <c r="G15" s="582"/>
      <c r="H15" s="581"/>
      <c r="I15" s="581"/>
      <c r="J15" s="588"/>
      <c r="K15" s="589"/>
      <c r="L15" s="590"/>
      <c r="M15" s="590"/>
      <c r="N15" s="591" t="s">
        <v>564</v>
      </c>
      <c r="O15" s="592">
        <f aca="false">P26</f>
      </c>
      <c r="P15" s="593" t="s">
        <v>565</v>
      </c>
      <c r="Q15" s="592"/>
      <c r="R15" s="592"/>
      <c r="S15" s="592"/>
      <c r="T15" s="555"/>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55"/>
      <c r="BL15" s="555"/>
      <c r="BM15" s="555"/>
      <c r="BN15" s="555"/>
      <c r="BO15" s="555"/>
      <c r="BP15" s="555"/>
      <c r="BQ15" s="555"/>
      <c r="BR15" s="555"/>
      <c r="BS15" s="555"/>
      <c r="BT15" s="555"/>
      <c r="BU15" s="555"/>
      <c r="BV15" s="555"/>
      <c r="BW15" s="555"/>
      <c r="BX15" s="555"/>
      <c r="BY15" s="555"/>
      <c r="BZ15" s="555"/>
      <c r="CA15" s="555"/>
      <c r="CB15" s="555"/>
      <c r="CC15" s="555"/>
      <c r="CD15" s="555"/>
      <c r="CE15" s="555"/>
      <c r="CF15" s="555"/>
      <c r="CG15" s="555"/>
      <c r="CH15" s="555"/>
      <c r="CI15" s="555"/>
      <c r="CJ15" s="555"/>
      <c r="CK15" s="555"/>
      <c r="CL15" s="555"/>
      <c r="CM15" s="555"/>
      <c r="CN15" s="555"/>
      <c r="CO15" s="555"/>
      <c r="CP15" s="555"/>
      <c r="CQ15" s="555"/>
      <c r="CR15" s="555"/>
      <c r="CS15" s="555"/>
      <c r="CT15" s="555"/>
      <c r="CU15" s="555"/>
      <c r="CV15" s="555"/>
      <c r="CW15" s="555"/>
      <c r="CX15" s="555"/>
      <c r="CY15" s="555"/>
      <c r="CZ15" s="555"/>
      <c r="DA15" s="555"/>
      <c r="DB15" s="555"/>
      <c r="DC15" s="555"/>
      <c r="DD15" s="555"/>
      <c r="DE15" s="555"/>
      <c r="DF15" s="555"/>
      <c r="DG15" s="555"/>
      <c r="DH15" s="555"/>
      <c r="DI15" s="555"/>
      <c r="DJ15" s="555"/>
      <c r="DK15" s="555"/>
      <c r="DL15" s="555"/>
      <c r="DM15" s="555"/>
      <c r="DN15" s="555"/>
      <c r="DO15" s="555"/>
      <c r="DP15" s="555"/>
      <c r="DQ15" s="555"/>
      <c r="DR15" s="555"/>
      <c r="DS15" s="555"/>
      <c r="DT15" s="555"/>
      <c r="DU15" s="555"/>
      <c r="DV15" s="555"/>
      <c r="DW15" s="555"/>
      <c r="DX15" s="555"/>
      <c r="DY15" s="555"/>
      <c r="DZ15" s="555"/>
      <c r="EA15" s="555"/>
      <c r="EB15" s="555"/>
      <c r="EC15" s="555"/>
      <c r="ED15" s="555"/>
      <c r="EE15" s="555"/>
      <c r="EF15" s="555"/>
      <c r="EG15" s="555"/>
      <c r="EH15" s="555"/>
      <c r="EI15" s="555"/>
      <c r="EJ15" s="555"/>
      <c r="EK15" s="555"/>
      <c r="EL15" s="555"/>
      <c r="EM15" s="555"/>
      <c r="EN15" s="555"/>
      <c r="EO15" s="555"/>
      <c r="EP15" s="555"/>
      <c r="EQ15" s="555"/>
      <c r="ER15" s="555"/>
      <c r="ES15" s="555"/>
      <c r="ET15" s="555"/>
      <c r="EU15" s="555"/>
      <c r="EV15" s="555"/>
      <c r="EW15" s="555"/>
      <c r="EX15" s="555"/>
      <c r="EY15" s="555"/>
      <c r="EZ15" s="555"/>
      <c r="FA15" s="555"/>
      <c r="FB15" s="555"/>
      <c r="FC15" s="555"/>
      <c r="FD15" s="555"/>
      <c r="FE15" s="555"/>
      <c r="FF15" s="555"/>
      <c r="FG15" s="555"/>
      <c r="FH15" s="555"/>
      <c r="FI15" s="555"/>
      <c r="FJ15" s="555"/>
      <c r="FK15" s="555"/>
      <c r="FL15" s="555"/>
      <c r="FM15" s="555"/>
      <c r="FN15" s="555"/>
      <c r="FO15" s="555"/>
      <c r="FP15" s="555"/>
      <c r="FQ15" s="555"/>
      <c r="FR15" s="555"/>
      <c r="FS15" s="555"/>
      <c r="FT15" s="555"/>
      <c r="FU15" s="555"/>
      <c r="FV15" s="555"/>
      <c r="FW15" s="555"/>
      <c r="FX15" s="555"/>
      <c r="FY15" s="555"/>
      <c r="FZ15" s="555"/>
      <c r="GA15" s="555"/>
      <c r="GB15" s="555"/>
      <c r="GC15" s="555"/>
      <c r="GD15" s="555"/>
      <c r="GE15" s="555"/>
      <c r="GF15" s="555"/>
      <c r="GG15" s="555"/>
      <c r="GH15" s="555"/>
      <c r="GI15" s="555"/>
      <c r="GJ15" s="555"/>
      <c r="GK15" s="555"/>
      <c r="GL15" s="555"/>
      <c r="GM15" s="555"/>
      <c r="GN15" s="555"/>
      <c r="GO15" s="555"/>
      <c r="GP15" s="555"/>
      <c r="GQ15" s="555"/>
      <c r="GR15" s="555"/>
      <c r="GS15" s="555"/>
      <c r="GT15" s="555"/>
      <c r="GU15" s="555"/>
      <c r="GV15" s="555"/>
      <c r="GW15" s="555"/>
      <c r="GX15" s="555"/>
      <c r="GY15" s="555"/>
      <c r="GZ15" s="555"/>
      <c r="HA15" s="555"/>
      <c r="HB15" s="555"/>
      <c r="HC15" s="555"/>
      <c r="HD15" s="555"/>
      <c r="HE15" s="555"/>
      <c r="HF15" s="555"/>
      <c r="HG15" s="555"/>
      <c r="HH15" s="555"/>
      <c r="HI15" s="555"/>
      <c r="HJ15" s="555"/>
      <c r="HK15" s="555"/>
      <c r="HL15" s="555"/>
      <c r="HM15" s="555"/>
      <c r="HN15" s="555"/>
      <c r="HO15" s="555"/>
      <c r="HP15" s="555"/>
      <c r="HQ15" s="555"/>
      <c r="HR15" s="555"/>
      <c r="HS15" s="555"/>
      <c r="HT15" s="555"/>
      <c r="HU15" s="555"/>
      <c r="HV15" s="555"/>
      <c r="HW15" s="555"/>
      <c r="HX15" s="555"/>
      <c r="HY15" s="555"/>
      <c r="HZ15" s="555"/>
      <c r="IA15" s="555"/>
      <c r="IB15" s="555"/>
      <c r="IC15" s="555"/>
      <c r="ID15" s="555"/>
      <c r="IE15" s="555"/>
      <c r="IF15" s="555"/>
      <c r="IG15" s="555"/>
      <c r="IH15" s="555"/>
      <c r="II15" s="555"/>
      <c r="IJ15" s="555"/>
      <c r="IK15" s="555"/>
      <c r="IL15" s="555"/>
      <c r="IM15" s="555"/>
      <c r="IN15" s="555"/>
      <c r="IO15" s="555"/>
      <c r="IP15" s="555"/>
      <c r="IQ15" s="555"/>
      <c r="IR15" s="555"/>
      <c r="IS15" s="555"/>
      <c r="IT15" s="555"/>
      <c r="IU15" s="555"/>
      <c r="IV15" s="555"/>
      <c r="IW15" s="555"/>
    </row>
    <row r="16" customFormat="false" ht="18" hidden="false" customHeight="true" outlineLevel="0" collapsed="false">
      <c r="A16" s="559"/>
      <c r="B16" s="580"/>
      <c r="C16" s="581" t="str">
        <f aca="false">현5!A6</f>
        <v>피난구조설비</v>
      </c>
      <c r="D16" s="581"/>
      <c r="E16" s="581"/>
      <c r="F16" s="581"/>
      <c r="G16" s="582" t="s">
        <v>563</v>
      </c>
      <c r="H16" s="581">
        <f aca="false">현5!C6</f>
      </c>
      <c r="I16" s="581"/>
      <c r="J16" s="583"/>
      <c r="K16" s="584">
        <f aca="false">B26</f>
      </c>
      <c r="L16" s="584"/>
      <c r="M16" s="584"/>
      <c r="N16" s="584"/>
      <c r="O16" s="585" t="s">
        <v>24</v>
      </c>
      <c r="P16" s="586">
        <f aca="false">J26</f>
      </c>
      <c r="Q16" s="586"/>
      <c r="R16" s="586"/>
      <c r="S16" s="586"/>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c r="CX16" s="555"/>
      <c r="CY16" s="555"/>
      <c r="CZ16" s="555"/>
      <c r="DA16" s="555"/>
      <c r="DB16" s="555"/>
      <c r="DC16" s="555"/>
      <c r="DD16" s="555"/>
      <c r="DE16" s="555"/>
      <c r="DF16" s="555"/>
      <c r="DG16" s="555"/>
      <c r="DH16" s="555"/>
      <c r="DI16" s="555"/>
      <c r="DJ16" s="555"/>
      <c r="DK16" s="555"/>
      <c r="DL16" s="555"/>
      <c r="DM16" s="555"/>
      <c r="DN16" s="555"/>
      <c r="DO16" s="555"/>
      <c r="DP16" s="555"/>
      <c r="DQ16" s="555"/>
      <c r="DR16" s="555"/>
      <c r="DS16" s="555"/>
      <c r="DT16" s="555"/>
      <c r="DU16" s="555"/>
      <c r="DV16" s="555"/>
      <c r="DW16" s="555"/>
      <c r="DX16" s="555"/>
      <c r="DY16" s="555"/>
      <c r="DZ16" s="555"/>
      <c r="EA16" s="555"/>
      <c r="EB16" s="555"/>
      <c r="EC16" s="555"/>
      <c r="ED16" s="555"/>
      <c r="EE16" s="555"/>
      <c r="EF16" s="555"/>
      <c r="EG16" s="555"/>
      <c r="EH16" s="555"/>
      <c r="EI16" s="555"/>
      <c r="EJ16" s="555"/>
      <c r="EK16" s="555"/>
      <c r="EL16" s="555"/>
      <c r="EM16" s="555"/>
      <c r="EN16" s="555"/>
      <c r="EO16" s="555"/>
      <c r="EP16" s="555"/>
      <c r="EQ16" s="555"/>
      <c r="ER16" s="555"/>
      <c r="ES16" s="555"/>
      <c r="ET16" s="555"/>
      <c r="EU16" s="555"/>
      <c r="EV16" s="555"/>
      <c r="EW16" s="555"/>
      <c r="EX16" s="555"/>
      <c r="EY16" s="555"/>
      <c r="EZ16" s="555"/>
      <c r="FA16" s="555"/>
      <c r="FB16" s="555"/>
      <c r="FC16" s="555"/>
      <c r="FD16" s="555"/>
      <c r="FE16" s="555"/>
      <c r="FF16" s="555"/>
      <c r="FG16" s="555"/>
      <c r="FH16" s="555"/>
      <c r="FI16" s="555"/>
      <c r="FJ16" s="555"/>
      <c r="FK16" s="555"/>
      <c r="FL16" s="555"/>
      <c r="FM16" s="555"/>
      <c r="FN16" s="555"/>
      <c r="FO16" s="555"/>
      <c r="FP16" s="555"/>
      <c r="FQ16" s="555"/>
      <c r="FR16" s="555"/>
      <c r="FS16" s="555"/>
      <c r="FT16" s="555"/>
      <c r="FU16" s="555"/>
      <c r="FV16" s="555"/>
      <c r="FW16" s="555"/>
      <c r="FX16" s="555"/>
      <c r="FY16" s="555"/>
      <c r="FZ16" s="555"/>
      <c r="GA16" s="555"/>
      <c r="GB16" s="555"/>
      <c r="GC16" s="555"/>
      <c r="GD16" s="555"/>
      <c r="GE16" s="555"/>
      <c r="GF16" s="555"/>
      <c r="GG16" s="555"/>
      <c r="GH16" s="555"/>
      <c r="GI16" s="555"/>
      <c r="GJ16" s="555"/>
      <c r="GK16" s="555"/>
      <c r="GL16" s="555"/>
      <c r="GM16" s="555"/>
      <c r="GN16" s="555"/>
      <c r="GO16" s="555"/>
      <c r="GP16" s="555"/>
      <c r="GQ16" s="555"/>
      <c r="GR16" s="555"/>
      <c r="GS16" s="555"/>
      <c r="GT16" s="555"/>
      <c r="GU16" s="555"/>
      <c r="GV16" s="555"/>
      <c r="GW16" s="555"/>
      <c r="GX16" s="555"/>
      <c r="GY16" s="555"/>
      <c r="GZ16" s="555"/>
      <c r="HA16" s="555"/>
      <c r="HB16" s="555"/>
      <c r="HC16" s="555"/>
      <c r="HD16" s="555"/>
      <c r="HE16" s="555"/>
      <c r="HF16" s="555"/>
      <c r="HG16" s="555"/>
      <c r="HH16" s="555"/>
      <c r="HI16" s="555"/>
      <c r="HJ16" s="555"/>
      <c r="HK16" s="555"/>
      <c r="HL16" s="555"/>
      <c r="HM16" s="555"/>
      <c r="HN16" s="555"/>
      <c r="HO16" s="555"/>
      <c r="HP16" s="555"/>
      <c r="HQ16" s="555"/>
      <c r="HR16" s="555"/>
      <c r="HS16" s="555"/>
      <c r="HT16" s="555"/>
      <c r="HU16" s="555"/>
      <c r="HV16" s="555"/>
      <c r="HW16" s="555"/>
      <c r="HX16" s="555"/>
      <c r="HY16" s="555"/>
      <c r="HZ16" s="555"/>
      <c r="IA16" s="555"/>
      <c r="IB16" s="555"/>
      <c r="IC16" s="555"/>
      <c r="ID16" s="555"/>
      <c r="IE16" s="555"/>
      <c r="IF16" s="555"/>
      <c r="IG16" s="555"/>
      <c r="IH16" s="555"/>
      <c r="II16" s="555"/>
      <c r="IJ16" s="555"/>
      <c r="IK16" s="555"/>
      <c r="IL16" s="555"/>
      <c r="IM16" s="555"/>
      <c r="IN16" s="555"/>
      <c r="IO16" s="555"/>
      <c r="IP16" s="555"/>
      <c r="IQ16" s="555"/>
      <c r="IR16" s="555"/>
      <c r="IS16" s="555"/>
      <c r="IT16" s="555"/>
      <c r="IU16" s="555"/>
      <c r="IV16" s="555"/>
      <c r="IW16" s="555"/>
    </row>
    <row r="17" customFormat="false" ht="18" hidden="false" customHeight="true" outlineLevel="0" collapsed="false">
      <c r="A17" s="559"/>
      <c r="B17" s="587"/>
      <c r="C17" s="581"/>
      <c r="D17" s="581"/>
      <c r="E17" s="581"/>
      <c r="F17" s="581"/>
      <c r="G17" s="582"/>
      <c r="H17" s="581"/>
      <c r="I17" s="581"/>
      <c r="J17" s="588"/>
      <c r="K17" s="589"/>
      <c r="L17" s="590"/>
      <c r="M17" s="590"/>
      <c r="N17" s="591" t="s">
        <v>564</v>
      </c>
      <c r="O17" s="592">
        <f aca="false">P26</f>
      </c>
      <c r="P17" s="593" t="s">
        <v>565</v>
      </c>
      <c r="Q17" s="592"/>
      <c r="R17" s="592"/>
      <c r="S17" s="592"/>
      <c r="T17" s="555"/>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5"/>
      <c r="BO17" s="555"/>
      <c r="BP17" s="555"/>
      <c r="BQ17" s="555"/>
      <c r="BR17" s="555"/>
      <c r="BS17" s="555"/>
      <c r="BT17" s="555"/>
      <c r="BU17" s="555"/>
      <c r="BV17" s="555"/>
      <c r="BW17" s="555"/>
      <c r="BX17" s="555"/>
      <c r="BY17" s="555"/>
      <c r="BZ17" s="555"/>
      <c r="CA17" s="555"/>
      <c r="CB17" s="555"/>
      <c r="CC17" s="555"/>
      <c r="CD17" s="555"/>
      <c r="CE17" s="555"/>
      <c r="CF17" s="555"/>
      <c r="CG17" s="555"/>
      <c r="CH17" s="555"/>
      <c r="CI17" s="555"/>
      <c r="CJ17" s="555"/>
      <c r="CK17" s="555"/>
      <c r="CL17" s="555"/>
      <c r="CM17" s="555"/>
      <c r="CN17" s="555"/>
      <c r="CO17" s="555"/>
      <c r="CP17" s="555"/>
      <c r="CQ17" s="555"/>
      <c r="CR17" s="555"/>
      <c r="CS17" s="555"/>
      <c r="CT17" s="555"/>
      <c r="CU17" s="555"/>
      <c r="CV17" s="555"/>
      <c r="CW17" s="555"/>
      <c r="CX17" s="555"/>
      <c r="CY17" s="555"/>
      <c r="CZ17" s="555"/>
      <c r="DA17" s="555"/>
      <c r="DB17" s="555"/>
      <c r="DC17" s="555"/>
      <c r="DD17" s="555"/>
      <c r="DE17" s="555"/>
      <c r="DF17" s="555"/>
      <c r="DG17" s="555"/>
      <c r="DH17" s="555"/>
      <c r="DI17" s="555"/>
      <c r="DJ17" s="555"/>
      <c r="DK17" s="555"/>
      <c r="DL17" s="555"/>
      <c r="DM17" s="555"/>
      <c r="DN17" s="555"/>
      <c r="DO17" s="555"/>
      <c r="DP17" s="555"/>
      <c r="DQ17" s="555"/>
      <c r="DR17" s="555"/>
      <c r="DS17" s="555"/>
      <c r="DT17" s="555"/>
      <c r="DU17" s="555"/>
      <c r="DV17" s="555"/>
      <c r="DW17" s="555"/>
      <c r="DX17" s="555"/>
      <c r="DY17" s="555"/>
      <c r="DZ17" s="555"/>
      <c r="EA17" s="555"/>
      <c r="EB17" s="555"/>
      <c r="EC17" s="555"/>
      <c r="ED17" s="555"/>
      <c r="EE17" s="555"/>
      <c r="EF17" s="555"/>
      <c r="EG17" s="555"/>
      <c r="EH17" s="555"/>
      <c r="EI17" s="555"/>
      <c r="EJ17" s="555"/>
      <c r="EK17" s="555"/>
      <c r="EL17" s="555"/>
      <c r="EM17" s="555"/>
      <c r="EN17" s="555"/>
      <c r="EO17" s="555"/>
      <c r="EP17" s="555"/>
      <c r="EQ17" s="555"/>
      <c r="ER17" s="555"/>
      <c r="ES17" s="555"/>
      <c r="ET17" s="555"/>
      <c r="EU17" s="555"/>
      <c r="EV17" s="555"/>
      <c r="EW17" s="555"/>
      <c r="EX17" s="555"/>
      <c r="EY17" s="555"/>
      <c r="EZ17" s="555"/>
      <c r="FA17" s="555"/>
      <c r="FB17" s="555"/>
      <c r="FC17" s="555"/>
      <c r="FD17" s="555"/>
      <c r="FE17" s="555"/>
      <c r="FF17" s="555"/>
      <c r="FG17" s="555"/>
      <c r="FH17" s="555"/>
      <c r="FI17" s="555"/>
      <c r="FJ17" s="555"/>
      <c r="FK17" s="555"/>
      <c r="FL17" s="555"/>
      <c r="FM17" s="555"/>
      <c r="FN17" s="555"/>
      <c r="FO17" s="555"/>
      <c r="FP17" s="555"/>
      <c r="FQ17" s="555"/>
      <c r="FR17" s="555"/>
      <c r="FS17" s="555"/>
      <c r="FT17" s="555"/>
      <c r="FU17" s="555"/>
      <c r="FV17" s="555"/>
      <c r="FW17" s="555"/>
      <c r="FX17" s="555"/>
      <c r="FY17" s="555"/>
      <c r="FZ17" s="555"/>
      <c r="GA17" s="555"/>
      <c r="GB17" s="555"/>
      <c r="GC17" s="555"/>
      <c r="GD17" s="555"/>
      <c r="GE17" s="555"/>
      <c r="GF17" s="555"/>
      <c r="GG17" s="555"/>
      <c r="GH17" s="555"/>
      <c r="GI17" s="555"/>
      <c r="GJ17" s="555"/>
      <c r="GK17" s="555"/>
      <c r="GL17" s="555"/>
      <c r="GM17" s="555"/>
      <c r="GN17" s="555"/>
      <c r="GO17" s="555"/>
      <c r="GP17" s="555"/>
      <c r="GQ17" s="555"/>
      <c r="GR17" s="555"/>
      <c r="GS17" s="555"/>
      <c r="GT17" s="555"/>
      <c r="GU17" s="555"/>
      <c r="GV17" s="555"/>
      <c r="GW17" s="555"/>
      <c r="GX17" s="555"/>
      <c r="GY17" s="555"/>
      <c r="GZ17" s="555"/>
      <c r="HA17" s="555"/>
      <c r="HB17" s="555"/>
      <c r="HC17" s="555"/>
      <c r="HD17" s="555"/>
      <c r="HE17" s="555"/>
      <c r="HF17" s="555"/>
      <c r="HG17" s="555"/>
      <c r="HH17" s="555"/>
      <c r="HI17" s="555"/>
      <c r="HJ17" s="555"/>
      <c r="HK17" s="555"/>
      <c r="HL17" s="555"/>
      <c r="HM17" s="555"/>
      <c r="HN17" s="555"/>
      <c r="HO17" s="555"/>
      <c r="HP17" s="555"/>
      <c r="HQ17" s="555"/>
      <c r="HR17" s="555"/>
      <c r="HS17" s="555"/>
      <c r="HT17" s="555"/>
      <c r="HU17" s="555"/>
      <c r="HV17" s="555"/>
      <c r="HW17" s="555"/>
      <c r="HX17" s="555"/>
      <c r="HY17" s="555"/>
      <c r="HZ17" s="555"/>
      <c r="IA17" s="555"/>
      <c r="IB17" s="555"/>
      <c r="IC17" s="555"/>
      <c r="ID17" s="555"/>
      <c r="IE17" s="555"/>
      <c r="IF17" s="555"/>
      <c r="IG17" s="555"/>
      <c r="IH17" s="555"/>
      <c r="II17" s="555"/>
      <c r="IJ17" s="555"/>
      <c r="IK17" s="555"/>
      <c r="IL17" s="555"/>
      <c r="IM17" s="555"/>
      <c r="IN17" s="555"/>
      <c r="IO17" s="555"/>
      <c r="IP17" s="555"/>
      <c r="IQ17" s="555"/>
      <c r="IR17" s="555"/>
      <c r="IS17" s="555"/>
      <c r="IT17" s="555"/>
      <c r="IU17" s="555"/>
      <c r="IV17" s="555"/>
      <c r="IW17" s="555"/>
    </row>
    <row r="18" customFormat="false" ht="18" hidden="false" customHeight="true" outlineLevel="0" collapsed="false">
      <c r="A18" s="559"/>
      <c r="B18" s="580"/>
      <c r="C18" s="581" t="str">
        <f aca="false">현5!A7</f>
        <v>소화용수설비</v>
      </c>
      <c r="D18" s="581"/>
      <c r="E18" s="581"/>
      <c r="F18" s="581"/>
      <c r="G18" s="582" t="s">
        <v>563</v>
      </c>
      <c r="H18" s="581">
        <f aca="false">현5!C7</f>
      </c>
      <c r="I18" s="581"/>
      <c r="J18" s="583"/>
      <c r="K18" s="584">
        <f aca="false">B26</f>
      </c>
      <c r="L18" s="584"/>
      <c r="M18" s="584"/>
      <c r="N18" s="584"/>
      <c r="O18" s="585" t="s">
        <v>24</v>
      </c>
      <c r="P18" s="586">
        <f aca="false">J26</f>
      </c>
      <c r="Q18" s="586"/>
      <c r="R18" s="586"/>
      <c r="S18" s="586"/>
      <c r="T18" s="555"/>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5"/>
      <c r="BS18" s="555"/>
      <c r="BT18" s="555"/>
      <c r="BU18" s="555"/>
      <c r="BV18" s="555"/>
      <c r="BW18" s="555"/>
      <c r="BX18" s="555"/>
      <c r="BY18" s="555"/>
      <c r="BZ18" s="555"/>
      <c r="CA18" s="555"/>
      <c r="CB18" s="555"/>
      <c r="CC18" s="555"/>
      <c r="CD18" s="555"/>
      <c r="CE18" s="555"/>
      <c r="CF18" s="555"/>
      <c r="CG18" s="555"/>
      <c r="CH18" s="555"/>
      <c r="CI18" s="555"/>
      <c r="CJ18" s="555"/>
      <c r="CK18" s="555"/>
      <c r="CL18" s="555"/>
      <c r="CM18" s="555"/>
      <c r="CN18" s="555"/>
      <c r="CO18" s="555"/>
      <c r="CP18" s="555"/>
      <c r="CQ18" s="555"/>
      <c r="CR18" s="555"/>
      <c r="CS18" s="555"/>
      <c r="CT18" s="555"/>
      <c r="CU18" s="555"/>
      <c r="CV18" s="555"/>
      <c r="CW18" s="555"/>
      <c r="CX18" s="555"/>
      <c r="CY18" s="555"/>
      <c r="CZ18" s="555"/>
      <c r="DA18" s="555"/>
      <c r="DB18" s="555"/>
      <c r="DC18" s="555"/>
      <c r="DD18" s="555"/>
      <c r="DE18" s="555"/>
      <c r="DF18" s="555"/>
      <c r="DG18" s="555"/>
      <c r="DH18" s="555"/>
      <c r="DI18" s="555"/>
      <c r="DJ18" s="555"/>
      <c r="DK18" s="555"/>
      <c r="DL18" s="555"/>
      <c r="DM18" s="555"/>
      <c r="DN18" s="555"/>
      <c r="DO18" s="555"/>
      <c r="DP18" s="555"/>
      <c r="DQ18" s="555"/>
      <c r="DR18" s="555"/>
      <c r="DS18" s="555"/>
      <c r="DT18" s="555"/>
      <c r="DU18" s="555"/>
      <c r="DV18" s="555"/>
      <c r="DW18" s="555"/>
      <c r="DX18" s="555"/>
      <c r="DY18" s="555"/>
      <c r="DZ18" s="555"/>
      <c r="EA18" s="555"/>
      <c r="EB18" s="555"/>
      <c r="EC18" s="555"/>
      <c r="ED18" s="555"/>
      <c r="EE18" s="555"/>
      <c r="EF18" s="555"/>
      <c r="EG18" s="555"/>
      <c r="EH18" s="555"/>
      <c r="EI18" s="555"/>
      <c r="EJ18" s="555"/>
      <c r="EK18" s="555"/>
      <c r="EL18" s="555"/>
      <c r="EM18" s="555"/>
      <c r="EN18" s="555"/>
      <c r="EO18" s="555"/>
      <c r="EP18" s="555"/>
      <c r="EQ18" s="555"/>
      <c r="ER18" s="555"/>
      <c r="ES18" s="555"/>
      <c r="ET18" s="555"/>
      <c r="EU18" s="555"/>
      <c r="EV18" s="555"/>
      <c r="EW18" s="555"/>
      <c r="EX18" s="555"/>
      <c r="EY18" s="555"/>
      <c r="EZ18" s="555"/>
      <c r="FA18" s="555"/>
      <c r="FB18" s="555"/>
      <c r="FC18" s="555"/>
      <c r="FD18" s="555"/>
      <c r="FE18" s="555"/>
      <c r="FF18" s="555"/>
      <c r="FG18" s="555"/>
      <c r="FH18" s="555"/>
      <c r="FI18" s="555"/>
      <c r="FJ18" s="555"/>
      <c r="FK18" s="555"/>
      <c r="FL18" s="555"/>
      <c r="FM18" s="555"/>
      <c r="FN18" s="555"/>
      <c r="FO18" s="555"/>
      <c r="FP18" s="555"/>
      <c r="FQ18" s="555"/>
      <c r="FR18" s="555"/>
      <c r="FS18" s="555"/>
      <c r="FT18" s="555"/>
      <c r="FU18" s="555"/>
      <c r="FV18" s="555"/>
      <c r="FW18" s="555"/>
      <c r="FX18" s="555"/>
      <c r="FY18" s="555"/>
      <c r="FZ18" s="555"/>
      <c r="GA18" s="555"/>
      <c r="GB18" s="555"/>
      <c r="GC18" s="555"/>
      <c r="GD18" s="555"/>
      <c r="GE18" s="555"/>
      <c r="GF18" s="555"/>
      <c r="GG18" s="555"/>
      <c r="GH18" s="555"/>
      <c r="GI18" s="555"/>
      <c r="GJ18" s="555"/>
      <c r="GK18" s="555"/>
      <c r="GL18" s="555"/>
      <c r="GM18" s="555"/>
      <c r="GN18" s="555"/>
      <c r="GO18" s="555"/>
      <c r="GP18" s="555"/>
      <c r="GQ18" s="555"/>
      <c r="GR18" s="555"/>
      <c r="GS18" s="555"/>
      <c r="GT18" s="555"/>
      <c r="GU18" s="555"/>
      <c r="GV18" s="555"/>
      <c r="GW18" s="555"/>
      <c r="GX18" s="555"/>
      <c r="GY18" s="555"/>
      <c r="GZ18" s="555"/>
      <c r="HA18" s="555"/>
      <c r="HB18" s="555"/>
      <c r="HC18" s="555"/>
      <c r="HD18" s="555"/>
      <c r="HE18" s="555"/>
      <c r="HF18" s="555"/>
      <c r="HG18" s="555"/>
      <c r="HH18" s="555"/>
      <c r="HI18" s="555"/>
      <c r="HJ18" s="555"/>
      <c r="HK18" s="555"/>
      <c r="HL18" s="555"/>
      <c r="HM18" s="555"/>
      <c r="HN18" s="555"/>
      <c r="HO18" s="555"/>
      <c r="HP18" s="555"/>
      <c r="HQ18" s="555"/>
      <c r="HR18" s="555"/>
      <c r="HS18" s="555"/>
      <c r="HT18" s="555"/>
      <c r="HU18" s="555"/>
      <c r="HV18" s="555"/>
      <c r="HW18" s="555"/>
      <c r="HX18" s="555"/>
      <c r="HY18" s="555"/>
      <c r="HZ18" s="555"/>
      <c r="IA18" s="555"/>
      <c r="IB18" s="555"/>
      <c r="IC18" s="555"/>
      <c r="ID18" s="555"/>
      <c r="IE18" s="555"/>
      <c r="IF18" s="555"/>
      <c r="IG18" s="555"/>
      <c r="IH18" s="555"/>
      <c r="II18" s="555"/>
      <c r="IJ18" s="555"/>
      <c r="IK18" s="555"/>
      <c r="IL18" s="555"/>
      <c r="IM18" s="555"/>
      <c r="IN18" s="555"/>
      <c r="IO18" s="555"/>
      <c r="IP18" s="555"/>
      <c r="IQ18" s="555"/>
      <c r="IR18" s="555"/>
      <c r="IS18" s="555"/>
      <c r="IT18" s="555"/>
      <c r="IU18" s="555"/>
      <c r="IV18" s="555"/>
      <c r="IW18" s="555"/>
    </row>
    <row r="19" customFormat="false" ht="18" hidden="false" customHeight="true" outlineLevel="0" collapsed="false">
      <c r="A19" s="559"/>
      <c r="B19" s="587"/>
      <c r="C19" s="581"/>
      <c r="D19" s="581"/>
      <c r="E19" s="581"/>
      <c r="F19" s="581"/>
      <c r="G19" s="582"/>
      <c r="H19" s="581"/>
      <c r="I19" s="581"/>
      <c r="J19" s="588"/>
      <c r="K19" s="589"/>
      <c r="L19" s="590"/>
      <c r="M19" s="590"/>
      <c r="N19" s="591" t="s">
        <v>564</v>
      </c>
      <c r="O19" s="592">
        <f aca="false">P26</f>
      </c>
      <c r="P19" s="593" t="s">
        <v>565</v>
      </c>
      <c r="Q19" s="592"/>
      <c r="R19" s="592"/>
      <c r="S19" s="592"/>
      <c r="T19" s="555"/>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5"/>
      <c r="AW19" s="555"/>
      <c r="AX19" s="555"/>
      <c r="AY19" s="555"/>
      <c r="AZ19" s="555"/>
      <c r="BA19" s="555"/>
      <c r="BB19" s="555"/>
      <c r="BC19" s="555"/>
      <c r="BD19" s="555"/>
      <c r="BE19" s="555"/>
      <c r="BF19" s="555"/>
      <c r="BG19" s="555"/>
      <c r="BH19" s="555"/>
      <c r="BI19" s="555"/>
      <c r="BJ19" s="555"/>
      <c r="BK19" s="555"/>
      <c r="BL19" s="555"/>
      <c r="BM19" s="555"/>
      <c r="BN19" s="555"/>
      <c r="BO19" s="555"/>
      <c r="BP19" s="555"/>
      <c r="BQ19" s="555"/>
      <c r="BR19" s="555"/>
      <c r="BS19" s="555"/>
      <c r="BT19" s="555"/>
      <c r="BU19" s="555"/>
      <c r="BV19" s="555"/>
      <c r="BW19" s="555"/>
      <c r="BX19" s="555"/>
      <c r="BY19" s="555"/>
      <c r="BZ19" s="555"/>
      <c r="CA19" s="555"/>
      <c r="CB19" s="555"/>
      <c r="CC19" s="555"/>
      <c r="CD19" s="555"/>
      <c r="CE19" s="555"/>
      <c r="CF19" s="555"/>
      <c r="CG19" s="555"/>
      <c r="CH19" s="555"/>
      <c r="CI19" s="555"/>
      <c r="CJ19" s="555"/>
      <c r="CK19" s="555"/>
      <c r="CL19" s="555"/>
      <c r="CM19" s="555"/>
      <c r="CN19" s="555"/>
      <c r="CO19" s="555"/>
      <c r="CP19" s="555"/>
      <c r="CQ19" s="555"/>
      <c r="CR19" s="555"/>
      <c r="CS19" s="555"/>
      <c r="CT19" s="555"/>
      <c r="CU19" s="555"/>
      <c r="CV19" s="555"/>
      <c r="CW19" s="555"/>
      <c r="CX19" s="555"/>
      <c r="CY19" s="555"/>
      <c r="CZ19" s="555"/>
      <c r="DA19" s="555"/>
      <c r="DB19" s="555"/>
      <c r="DC19" s="555"/>
      <c r="DD19" s="555"/>
      <c r="DE19" s="555"/>
      <c r="DF19" s="555"/>
      <c r="DG19" s="555"/>
      <c r="DH19" s="555"/>
      <c r="DI19" s="555"/>
      <c r="DJ19" s="555"/>
      <c r="DK19" s="555"/>
      <c r="DL19" s="555"/>
      <c r="DM19" s="555"/>
      <c r="DN19" s="555"/>
      <c r="DO19" s="555"/>
      <c r="DP19" s="555"/>
      <c r="DQ19" s="555"/>
      <c r="DR19" s="555"/>
      <c r="DS19" s="555"/>
      <c r="DT19" s="555"/>
      <c r="DU19" s="555"/>
      <c r="DV19" s="555"/>
      <c r="DW19" s="555"/>
      <c r="DX19" s="555"/>
      <c r="DY19" s="555"/>
      <c r="DZ19" s="555"/>
      <c r="EA19" s="555"/>
      <c r="EB19" s="555"/>
      <c r="EC19" s="555"/>
      <c r="ED19" s="555"/>
      <c r="EE19" s="555"/>
      <c r="EF19" s="555"/>
      <c r="EG19" s="555"/>
      <c r="EH19" s="555"/>
      <c r="EI19" s="555"/>
      <c r="EJ19" s="555"/>
      <c r="EK19" s="555"/>
      <c r="EL19" s="555"/>
      <c r="EM19" s="555"/>
      <c r="EN19" s="555"/>
      <c r="EO19" s="555"/>
      <c r="EP19" s="555"/>
      <c r="EQ19" s="555"/>
      <c r="ER19" s="555"/>
      <c r="ES19" s="555"/>
      <c r="ET19" s="555"/>
      <c r="EU19" s="555"/>
      <c r="EV19" s="555"/>
      <c r="EW19" s="555"/>
      <c r="EX19" s="555"/>
      <c r="EY19" s="555"/>
      <c r="EZ19" s="555"/>
      <c r="FA19" s="555"/>
      <c r="FB19" s="555"/>
      <c r="FC19" s="555"/>
      <c r="FD19" s="555"/>
      <c r="FE19" s="555"/>
      <c r="FF19" s="555"/>
      <c r="FG19" s="555"/>
      <c r="FH19" s="555"/>
      <c r="FI19" s="555"/>
      <c r="FJ19" s="555"/>
      <c r="FK19" s="555"/>
      <c r="FL19" s="555"/>
      <c r="FM19" s="555"/>
      <c r="FN19" s="555"/>
      <c r="FO19" s="555"/>
      <c r="FP19" s="555"/>
      <c r="FQ19" s="555"/>
      <c r="FR19" s="555"/>
      <c r="FS19" s="555"/>
      <c r="FT19" s="555"/>
      <c r="FU19" s="555"/>
      <c r="FV19" s="555"/>
      <c r="FW19" s="555"/>
      <c r="FX19" s="555"/>
      <c r="FY19" s="555"/>
      <c r="FZ19" s="555"/>
      <c r="GA19" s="555"/>
      <c r="GB19" s="555"/>
      <c r="GC19" s="555"/>
      <c r="GD19" s="555"/>
      <c r="GE19" s="555"/>
      <c r="GF19" s="555"/>
      <c r="GG19" s="555"/>
      <c r="GH19" s="555"/>
      <c r="GI19" s="555"/>
      <c r="GJ19" s="555"/>
      <c r="GK19" s="555"/>
      <c r="GL19" s="555"/>
      <c r="GM19" s="555"/>
      <c r="GN19" s="555"/>
      <c r="GO19" s="555"/>
      <c r="GP19" s="555"/>
      <c r="GQ19" s="555"/>
      <c r="GR19" s="555"/>
      <c r="GS19" s="555"/>
      <c r="GT19" s="555"/>
      <c r="GU19" s="555"/>
      <c r="GV19" s="555"/>
      <c r="GW19" s="555"/>
      <c r="GX19" s="555"/>
      <c r="GY19" s="555"/>
      <c r="GZ19" s="555"/>
      <c r="HA19" s="555"/>
      <c r="HB19" s="555"/>
      <c r="HC19" s="555"/>
      <c r="HD19" s="555"/>
      <c r="HE19" s="555"/>
      <c r="HF19" s="555"/>
      <c r="HG19" s="555"/>
      <c r="HH19" s="555"/>
      <c r="HI19" s="555"/>
      <c r="HJ19" s="555"/>
      <c r="HK19" s="555"/>
      <c r="HL19" s="555"/>
      <c r="HM19" s="555"/>
      <c r="HN19" s="555"/>
      <c r="HO19" s="555"/>
      <c r="HP19" s="555"/>
      <c r="HQ19" s="555"/>
      <c r="HR19" s="555"/>
      <c r="HS19" s="555"/>
      <c r="HT19" s="555"/>
      <c r="HU19" s="555"/>
      <c r="HV19" s="555"/>
      <c r="HW19" s="555"/>
      <c r="HX19" s="555"/>
      <c r="HY19" s="555"/>
      <c r="HZ19" s="555"/>
      <c r="IA19" s="555"/>
      <c r="IB19" s="555"/>
      <c r="IC19" s="555"/>
      <c r="ID19" s="555"/>
      <c r="IE19" s="555"/>
      <c r="IF19" s="555"/>
      <c r="IG19" s="555"/>
      <c r="IH19" s="555"/>
      <c r="II19" s="555"/>
      <c r="IJ19" s="555"/>
      <c r="IK19" s="555"/>
      <c r="IL19" s="555"/>
      <c r="IM19" s="555"/>
      <c r="IN19" s="555"/>
      <c r="IO19" s="555"/>
      <c r="IP19" s="555"/>
      <c r="IQ19" s="555"/>
      <c r="IR19" s="555"/>
      <c r="IS19" s="555"/>
      <c r="IT19" s="555"/>
      <c r="IU19" s="555"/>
      <c r="IV19" s="555"/>
      <c r="IW19" s="555"/>
    </row>
    <row r="20" customFormat="false" ht="18" hidden="false" customHeight="true" outlineLevel="0" collapsed="false">
      <c r="A20" s="559"/>
      <c r="B20" s="580"/>
      <c r="C20" s="581" t="str">
        <f aca="false">현5!A8</f>
        <v>소화활동설비</v>
      </c>
      <c r="D20" s="581"/>
      <c r="E20" s="581"/>
      <c r="F20" s="581"/>
      <c r="G20" s="582" t="s">
        <v>563</v>
      </c>
      <c r="H20" s="581">
        <f aca="false">현5!C8</f>
      </c>
      <c r="I20" s="581"/>
      <c r="J20" s="583"/>
      <c r="K20" s="584">
        <f aca="false">B26</f>
      </c>
      <c r="L20" s="584"/>
      <c r="M20" s="584"/>
      <c r="N20" s="584"/>
      <c r="O20" s="585" t="s">
        <v>24</v>
      </c>
      <c r="P20" s="586">
        <f aca="false">J26</f>
      </c>
      <c r="Q20" s="586"/>
      <c r="R20" s="586"/>
      <c r="S20" s="586"/>
      <c r="T20" s="555"/>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5"/>
      <c r="AW20" s="555"/>
      <c r="AX20" s="555"/>
      <c r="AY20" s="555"/>
      <c r="AZ20" s="555"/>
      <c r="BA20" s="555"/>
      <c r="BB20" s="555"/>
      <c r="BC20" s="555"/>
      <c r="BD20" s="555"/>
      <c r="BE20" s="555"/>
      <c r="BF20" s="555"/>
      <c r="BG20" s="555"/>
      <c r="BH20" s="555"/>
      <c r="BI20" s="555"/>
      <c r="BJ20" s="555"/>
      <c r="BK20" s="555"/>
      <c r="BL20" s="555"/>
      <c r="BM20" s="555"/>
      <c r="BN20" s="555"/>
      <c r="BO20" s="555"/>
      <c r="BP20" s="555"/>
      <c r="BQ20" s="555"/>
      <c r="BR20" s="555"/>
      <c r="BS20" s="555"/>
      <c r="BT20" s="555"/>
      <c r="BU20" s="555"/>
      <c r="BV20" s="555"/>
      <c r="BW20" s="555"/>
      <c r="BX20" s="555"/>
      <c r="BY20" s="555"/>
      <c r="BZ20" s="555"/>
      <c r="CA20" s="555"/>
      <c r="CB20" s="555"/>
      <c r="CC20" s="555"/>
      <c r="CD20" s="555"/>
      <c r="CE20" s="555"/>
      <c r="CF20" s="555"/>
      <c r="CG20" s="555"/>
      <c r="CH20" s="555"/>
      <c r="CI20" s="555"/>
      <c r="CJ20" s="555"/>
      <c r="CK20" s="555"/>
      <c r="CL20" s="555"/>
      <c r="CM20" s="555"/>
      <c r="CN20" s="555"/>
      <c r="CO20" s="555"/>
      <c r="CP20" s="555"/>
      <c r="CQ20" s="555"/>
      <c r="CR20" s="555"/>
      <c r="CS20" s="555"/>
      <c r="CT20" s="555"/>
      <c r="CU20" s="555"/>
      <c r="CV20" s="555"/>
      <c r="CW20" s="555"/>
      <c r="CX20" s="555"/>
      <c r="CY20" s="555"/>
      <c r="CZ20" s="555"/>
      <c r="DA20" s="555"/>
      <c r="DB20" s="555"/>
      <c r="DC20" s="555"/>
      <c r="DD20" s="555"/>
      <c r="DE20" s="555"/>
      <c r="DF20" s="555"/>
      <c r="DG20" s="555"/>
      <c r="DH20" s="555"/>
      <c r="DI20" s="555"/>
      <c r="DJ20" s="555"/>
      <c r="DK20" s="555"/>
      <c r="DL20" s="555"/>
      <c r="DM20" s="555"/>
      <c r="DN20" s="555"/>
      <c r="DO20" s="555"/>
      <c r="DP20" s="555"/>
      <c r="DQ20" s="555"/>
      <c r="DR20" s="555"/>
      <c r="DS20" s="555"/>
      <c r="DT20" s="555"/>
      <c r="DU20" s="555"/>
      <c r="DV20" s="555"/>
      <c r="DW20" s="555"/>
      <c r="DX20" s="555"/>
      <c r="DY20" s="555"/>
      <c r="DZ20" s="555"/>
      <c r="EA20" s="555"/>
      <c r="EB20" s="555"/>
      <c r="EC20" s="555"/>
      <c r="ED20" s="555"/>
      <c r="EE20" s="555"/>
      <c r="EF20" s="555"/>
      <c r="EG20" s="555"/>
      <c r="EH20" s="555"/>
      <c r="EI20" s="555"/>
      <c r="EJ20" s="555"/>
      <c r="EK20" s="555"/>
      <c r="EL20" s="555"/>
      <c r="EM20" s="555"/>
      <c r="EN20" s="555"/>
      <c r="EO20" s="555"/>
      <c r="EP20" s="555"/>
      <c r="EQ20" s="555"/>
      <c r="ER20" s="555"/>
      <c r="ES20" s="555"/>
      <c r="ET20" s="555"/>
      <c r="EU20" s="555"/>
      <c r="EV20" s="555"/>
      <c r="EW20" s="555"/>
      <c r="EX20" s="555"/>
      <c r="EY20" s="555"/>
      <c r="EZ20" s="555"/>
      <c r="FA20" s="555"/>
      <c r="FB20" s="555"/>
      <c r="FC20" s="555"/>
      <c r="FD20" s="555"/>
      <c r="FE20" s="555"/>
      <c r="FF20" s="555"/>
      <c r="FG20" s="555"/>
      <c r="FH20" s="555"/>
      <c r="FI20" s="555"/>
      <c r="FJ20" s="555"/>
      <c r="FK20" s="555"/>
      <c r="FL20" s="555"/>
      <c r="FM20" s="555"/>
      <c r="FN20" s="555"/>
      <c r="FO20" s="555"/>
      <c r="FP20" s="555"/>
      <c r="FQ20" s="555"/>
      <c r="FR20" s="555"/>
      <c r="FS20" s="555"/>
      <c r="FT20" s="555"/>
      <c r="FU20" s="555"/>
      <c r="FV20" s="555"/>
      <c r="FW20" s="555"/>
      <c r="FX20" s="555"/>
      <c r="FY20" s="555"/>
      <c r="FZ20" s="555"/>
      <c r="GA20" s="555"/>
      <c r="GB20" s="555"/>
      <c r="GC20" s="555"/>
      <c r="GD20" s="555"/>
      <c r="GE20" s="555"/>
      <c r="GF20" s="555"/>
      <c r="GG20" s="555"/>
      <c r="GH20" s="555"/>
      <c r="GI20" s="555"/>
      <c r="GJ20" s="555"/>
      <c r="GK20" s="555"/>
      <c r="GL20" s="555"/>
      <c r="GM20" s="555"/>
      <c r="GN20" s="555"/>
      <c r="GO20" s="555"/>
      <c r="GP20" s="555"/>
      <c r="GQ20" s="555"/>
      <c r="GR20" s="555"/>
      <c r="GS20" s="555"/>
      <c r="GT20" s="555"/>
      <c r="GU20" s="555"/>
      <c r="GV20" s="555"/>
      <c r="GW20" s="555"/>
      <c r="GX20" s="555"/>
      <c r="GY20" s="555"/>
      <c r="GZ20" s="555"/>
      <c r="HA20" s="555"/>
      <c r="HB20" s="555"/>
      <c r="HC20" s="555"/>
      <c r="HD20" s="555"/>
      <c r="HE20" s="555"/>
      <c r="HF20" s="555"/>
      <c r="HG20" s="555"/>
      <c r="HH20" s="555"/>
      <c r="HI20" s="555"/>
      <c r="HJ20" s="555"/>
      <c r="HK20" s="555"/>
      <c r="HL20" s="555"/>
      <c r="HM20" s="555"/>
      <c r="HN20" s="555"/>
      <c r="HO20" s="555"/>
      <c r="HP20" s="555"/>
      <c r="HQ20" s="555"/>
      <c r="HR20" s="555"/>
      <c r="HS20" s="555"/>
      <c r="HT20" s="555"/>
      <c r="HU20" s="555"/>
      <c r="HV20" s="555"/>
      <c r="HW20" s="555"/>
      <c r="HX20" s="555"/>
      <c r="HY20" s="555"/>
      <c r="HZ20" s="555"/>
      <c r="IA20" s="555"/>
      <c r="IB20" s="555"/>
      <c r="IC20" s="555"/>
      <c r="ID20" s="555"/>
      <c r="IE20" s="555"/>
      <c r="IF20" s="555"/>
      <c r="IG20" s="555"/>
      <c r="IH20" s="555"/>
      <c r="II20" s="555"/>
      <c r="IJ20" s="555"/>
      <c r="IK20" s="555"/>
      <c r="IL20" s="555"/>
      <c r="IM20" s="555"/>
      <c r="IN20" s="555"/>
      <c r="IO20" s="555"/>
      <c r="IP20" s="555"/>
      <c r="IQ20" s="555"/>
      <c r="IR20" s="555"/>
      <c r="IS20" s="555"/>
      <c r="IT20" s="555"/>
      <c r="IU20" s="555"/>
      <c r="IV20" s="555"/>
      <c r="IW20" s="555"/>
    </row>
    <row r="21" customFormat="false" ht="18" hidden="false" customHeight="true" outlineLevel="0" collapsed="false">
      <c r="A21" s="559"/>
      <c r="B21" s="587"/>
      <c r="C21" s="581"/>
      <c r="D21" s="581"/>
      <c r="E21" s="581"/>
      <c r="F21" s="581"/>
      <c r="G21" s="582"/>
      <c r="H21" s="581"/>
      <c r="I21" s="581"/>
      <c r="J21" s="588"/>
      <c r="K21" s="589"/>
      <c r="L21" s="590"/>
      <c r="M21" s="590"/>
      <c r="N21" s="591" t="s">
        <v>564</v>
      </c>
      <c r="O21" s="592">
        <f aca="false">P26</f>
      </c>
      <c r="P21" s="593" t="s">
        <v>565</v>
      </c>
      <c r="Q21" s="592"/>
      <c r="R21" s="592"/>
      <c r="S21" s="592"/>
      <c r="T21" s="555"/>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5"/>
      <c r="AW21" s="555"/>
      <c r="AX21" s="555"/>
      <c r="AY21" s="555"/>
      <c r="AZ21" s="555"/>
      <c r="BA21" s="555"/>
      <c r="BB21" s="555"/>
      <c r="BC21" s="555"/>
      <c r="BD21" s="555"/>
      <c r="BE21" s="555"/>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555"/>
      <c r="CG21" s="555"/>
      <c r="CH21" s="555"/>
      <c r="CI21" s="555"/>
      <c r="CJ21" s="555"/>
      <c r="CK21" s="555"/>
      <c r="CL21" s="555"/>
      <c r="CM21" s="555"/>
      <c r="CN21" s="555"/>
      <c r="CO21" s="555"/>
      <c r="CP21" s="555"/>
      <c r="CQ21" s="555"/>
      <c r="CR21" s="555"/>
      <c r="CS21" s="555"/>
      <c r="CT21" s="555"/>
      <c r="CU21" s="555"/>
      <c r="CV21" s="555"/>
      <c r="CW21" s="555"/>
      <c r="CX21" s="555"/>
      <c r="CY21" s="555"/>
      <c r="CZ21" s="555"/>
      <c r="DA21" s="555"/>
      <c r="DB21" s="555"/>
      <c r="DC21" s="555"/>
      <c r="DD21" s="555"/>
      <c r="DE21" s="555"/>
      <c r="DF21" s="555"/>
      <c r="DG21" s="555"/>
      <c r="DH21" s="555"/>
      <c r="DI21" s="555"/>
      <c r="DJ21" s="555"/>
      <c r="DK21" s="555"/>
      <c r="DL21" s="555"/>
      <c r="DM21" s="555"/>
      <c r="DN21" s="555"/>
      <c r="DO21" s="555"/>
      <c r="DP21" s="555"/>
      <c r="DQ21" s="555"/>
      <c r="DR21" s="555"/>
      <c r="DS21" s="555"/>
      <c r="DT21" s="555"/>
      <c r="DU21" s="555"/>
      <c r="DV21" s="555"/>
      <c r="DW21" s="555"/>
      <c r="DX21" s="555"/>
      <c r="DY21" s="555"/>
      <c r="DZ21" s="555"/>
      <c r="EA21" s="555"/>
      <c r="EB21" s="555"/>
      <c r="EC21" s="555"/>
      <c r="ED21" s="555"/>
      <c r="EE21" s="555"/>
      <c r="EF21" s="555"/>
      <c r="EG21" s="555"/>
      <c r="EH21" s="555"/>
      <c r="EI21" s="555"/>
      <c r="EJ21" s="555"/>
      <c r="EK21" s="555"/>
      <c r="EL21" s="555"/>
      <c r="EM21" s="555"/>
      <c r="EN21" s="555"/>
      <c r="EO21" s="555"/>
      <c r="EP21" s="555"/>
      <c r="EQ21" s="555"/>
      <c r="ER21" s="555"/>
      <c r="ES21" s="555"/>
      <c r="ET21" s="555"/>
      <c r="EU21" s="555"/>
      <c r="EV21" s="555"/>
      <c r="EW21" s="555"/>
      <c r="EX21" s="555"/>
      <c r="EY21" s="555"/>
      <c r="EZ21" s="555"/>
      <c r="FA21" s="555"/>
      <c r="FB21" s="555"/>
      <c r="FC21" s="555"/>
      <c r="FD21" s="555"/>
      <c r="FE21" s="555"/>
      <c r="FF21" s="555"/>
      <c r="FG21" s="555"/>
      <c r="FH21" s="555"/>
      <c r="FI21" s="555"/>
      <c r="FJ21" s="555"/>
      <c r="FK21" s="555"/>
      <c r="FL21" s="555"/>
      <c r="FM21" s="555"/>
      <c r="FN21" s="555"/>
      <c r="FO21" s="555"/>
      <c r="FP21" s="555"/>
      <c r="FQ21" s="555"/>
      <c r="FR21" s="555"/>
      <c r="FS21" s="555"/>
      <c r="FT21" s="555"/>
      <c r="FU21" s="555"/>
      <c r="FV21" s="555"/>
      <c r="FW21" s="555"/>
      <c r="FX21" s="555"/>
      <c r="FY21" s="555"/>
      <c r="FZ21" s="555"/>
      <c r="GA21" s="555"/>
      <c r="GB21" s="555"/>
      <c r="GC21" s="555"/>
      <c r="GD21" s="555"/>
      <c r="GE21" s="555"/>
      <c r="GF21" s="555"/>
      <c r="GG21" s="555"/>
      <c r="GH21" s="555"/>
      <c r="GI21" s="555"/>
      <c r="GJ21" s="555"/>
      <c r="GK21" s="555"/>
      <c r="GL21" s="555"/>
      <c r="GM21" s="555"/>
      <c r="GN21" s="555"/>
      <c r="GO21" s="555"/>
      <c r="GP21" s="555"/>
      <c r="GQ21" s="555"/>
      <c r="GR21" s="555"/>
      <c r="GS21" s="555"/>
      <c r="GT21" s="555"/>
      <c r="GU21" s="555"/>
      <c r="GV21" s="555"/>
      <c r="GW21" s="555"/>
      <c r="GX21" s="555"/>
      <c r="GY21" s="555"/>
      <c r="GZ21" s="555"/>
      <c r="HA21" s="555"/>
      <c r="HB21" s="555"/>
      <c r="HC21" s="555"/>
      <c r="HD21" s="555"/>
      <c r="HE21" s="555"/>
      <c r="HF21" s="555"/>
      <c r="HG21" s="555"/>
      <c r="HH21" s="555"/>
      <c r="HI21" s="555"/>
      <c r="HJ21" s="555"/>
      <c r="HK21" s="555"/>
      <c r="HL21" s="555"/>
      <c r="HM21" s="555"/>
      <c r="HN21" s="555"/>
      <c r="HO21" s="555"/>
      <c r="HP21" s="555"/>
      <c r="HQ21" s="555"/>
      <c r="HR21" s="555"/>
      <c r="HS21" s="555"/>
      <c r="HT21" s="555"/>
      <c r="HU21" s="555"/>
      <c r="HV21" s="555"/>
      <c r="HW21" s="555"/>
      <c r="HX21" s="555"/>
      <c r="HY21" s="555"/>
      <c r="HZ21" s="555"/>
      <c r="IA21" s="555"/>
      <c r="IB21" s="555"/>
      <c r="IC21" s="555"/>
      <c r="ID21" s="555"/>
      <c r="IE21" s="555"/>
      <c r="IF21" s="555"/>
      <c r="IG21" s="555"/>
      <c r="IH21" s="555"/>
      <c r="II21" s="555"/>
      <c r="IJ21" s="555"/>
      <c r="IK21" s="555"/>
      <c r="IL21" s="555"/>
      <c r="IM21" s="555"/>
      <c r="IN21" s="555"/>
      <c r="IO21" s="555"/>
      <c r="IP21" s="555"/>
      <c r="IQ21" s="555"/>
      <c r="IR21" s="555"/>
      <c r="IS21" s="555"/>
      <c r="IT21" s="555"/>
      <c r="IU21" s="555"/>
      <c r="IV21" s="555"/>
      <c r="IW21" s="555"/>
    </row>
    <row r="22" customFormat="false" ht="18" hidden="false" customHeight="true" outlineLevel="0" collapsed="false">
      <c r="A22" s="559"/>
      <c r="B22" s="580"/>
      <c r="C22" s="581" t="str">
        <f aca="false">현5!A9</f>
        <v>기타</v>
      </c>
      <c r="D22" s="581"/>
      <c r="E22" s="581"/>
      <c r="F22" s="581"/>
      <c r="G22" s="582" t="s">
        <v>563</v>
      </c>
      <c r="H22" s="581">
        <f aca="false">현5!C9</f>
      </c>
      <c r="I22" s="581"/>
      <c r="J22" s="583"/>
      <c r="K22" s="584">
        <f aca="false">B26</f>
      </c>
      <c r="L22" s="584"/>
      <c r="M22" s="584"/>
      <c r="N22" s="584"/>
      <c r="O22" s="585" t="s">
        <v>24</v>
      </c>
      <c r="P22" s="586">
        <f aca="false">J26</f>
      </c>
      <c r="Q22" s="586"/>
      <c r="R22" s="586"/>
      <c r="S22" s="586"/>
      <c r="T22" s="555"/>
      <c r="U22" s="555"/>
      <c r="V22" s="555"/>
      <c r="W22" s="555"/>
      <c r="X22" s="555"/>
      <c r="Y22" s="555"/>
      <c r="Z22" s="555"/>
      <c r="AA22" s="555"/>
      <c r="AB22" s="555"/>
      <c r="AC22" s="555"/>
      <c r="AD22" s="555"/>
      <c r="AE22" s="555"/>
      <c r="AF22" s="555"/>
      <c r="AG22" s="555"/>
      <c r="AH22" s="555"/>
      <c r="AI22" s="555"/>
      <c r="AJ22" s="555"/>
      <c r="AK22" s="555"/>
      <c r="AL22" s="555"/>
      <c r="AM22" s="555"/>
      <c r="AN22" s="555"/>
      <c r="AO22" s="555"/>
      <c r="AP22" s="555"/>
      <c r="AQ22" s="555"/>
      <c r="AR22" s="555"/>
      <c r="AS22" s="555"/>
      <c r="AT22" s="555"/>
      <c r="AU22" s="555"/>
      <c r="AV22" s="555"/>
      <c r="AW22" s="555"/>
      <c r="AX22" s="555"/>
      <c r="AY22" s="555"/>
      <c r="AZ22" s="555"/>
      <c r="BA22" s="555"/>
      <c r="BB22" s="555"/>
      <c r="BC22" s="555"/>
      <c r="BD22" s="555"/>
      <c r="BE22" s="555"/>
      <c r="BF22" s="555"/>
      <c r="BG22" s="555"/>
      <c r="BH22" s="555"/>
      <c r="BI22" s="555"/>
      <c r="BJ22" s="555"/>
      <c r="BK22" s="555"/>
      <c r="BL22" s="555"/>
      <c r="BM22" s="555"/>
      <c r="BN22" s="555"/>
      <c r="BO22" s="555"/>
      <c r="BP22" s="555"/>
      <c r="BQ22" s="555"/>
      <c r="BR22" s="555"/>
      <c r="BS22" s="555"/>
      <c r="BT22" s="555"/>
      <c r="BU22" s="555"/>
      <c r="BV22" s="555"/>
      <c r="BW22" s="555"/>
      <c r="BX22" s="555"/>
      <c r="BY22" s="555"/>
      <c r="BZ22" s="555"/>
      <c r="CA22" s="555"/>
      <c r="CB22" s="555"/>
      <c r="CC22" s="555"/>
      <c r="CD22" s="555"/>
      <c r="CE22" s="555"/>
      <c r="CF22" s="555"/>
      <c r="CG22" s="555"/>
      <c r="CH22" s="555"/>
      <c r="CI22" s="555"/>
      <c r="CJ22" s="555"/>
      <c r="CK22" s="555"/>
      <c r="CL22" s="555"/>
      <c r="CM22" s="555"/>
      <c r="CN22" s="555"/>
      <c r="CO22" s="555"/>
      <c r="CP22" s="555"/>
      <c r="CQ22" s="555"/>
      <c r="CR22" s="555"/>
      <c r="CS22" s="555"/>
      <c r="CT22" s="555"/>
      <c r="CU22" s="555"/>
      <c r="CV22" s="555"/>
      <c r="CW22" s="555"/>
      <c r="CX22" s="555"/>
      <c r="CY22" s="555"/>
      <c r="CZ22" s="555"/>
      <c r="DA22" s="555"/>
      <c r="DB22" s="555"/>
      <c r="DC22" s="555"/>
      <c r="DD22" s="555"/>
      <c r="DE22" s="555"/>
      <c r="DF22" s="555"/>
      <c r="DG22" s="555"/>
      <c r="DH22" s="555"/>
      <c r="DI22" s="555"/>
      <c r="DJ22" s="555"/>
      <c r="DK22" s="555"/>
      <c r="DL22" s="555"/>
      <c r="DM22" s="555"/>
      <c r="DN22" s="555"/>
      <c r="DO22" s="555"/>
      <c r="DP22" s="555"/>
      <c r="DQ22" s="555"/>
      <c r="DR22" s="555"/>
      <c r="DS22" s="555"/>
      <c r="DT22" s="555"/>
      <c r="DU22" s="555"/>
      <c r="DV22" s="555"/>
      <c r="DW22" s="555"/>
      <c r="DX22" s="555"/>
      <c r="DY22" s="555"/>
      <c r="DZ22" s="555"/>
      <c r="EA22" s="555"/>
      <c r="EB22" s="555"/>
      <c r="EC22" s="555"/>
      <c r="ED22" s="555"/>
      <c r="EE22" s="555"/>
      <c r="EF22" s="555"/>
      <c r="EG22" s="555"/>
      <c r="EH22" s="555"/>
      <c r="EI22" s="555"/>
      <c r="EJ22" s="555"/>
      <c r="EK22" s="555"/>
      <c r="EL22" s="555"/>
      <c r="EM22" s="555"/>
      <c r="EN22" s="555"/>
      <c r="EO22" s="555"/>
      <c r="EP22" s="555"/>
      <c r="EQ22" s="555"/>
      <c r="ER22" s="555"/>
      <c r="ES22" s="555"/>
      <c r="ET22" s="555"/>
      <c r="EU22" s="555"/>
      <c r="EV22" s="555"/>
      <c r="EW22" s="555"/>
      <c r="EX22" s="555"/>
      <c r="EY22" s="555"/>
      <c r="EZ22" s="555"/>
      <c r="FA22" s="555"/>
      <c r="FB22" s="555"/>
      <c r="FC22" s="555"/>
      <c r="FD22" s="555"/>
      <c r="FE22" s="555"/>
      <c r="FF22" s="555"/>
      <c r="FG22" s="555"/>
      <c r="FH22" s="555"/>
      <c r="FI22" s="555"/>
      <c r="FJ22" s="555"/>
      <c r="FK22" s="555"/>
      <c r="FL22" s="555"/>
      <c r="FM22" s="555"/>
      <c r="FN22" s="555"/>
      <c r="FO22" s="555"/>
      <c r="FP22" s="555"/>
      <c r="FQ22" s="555"/>
      <c r="FR22" s="555"/>
      <c r="FS22" s="555"/>
      <c r="FT22" s="555"/>
      <c r="FU22" s="555"/>
      <c r="FV22" s="555"/>
      <c r="FW22" s="555"/>
      <c r="FX22" s="555"/>
      <c r="FY22" s="555"/>
      <c r="FZ22" s="555"/>
      <c r="GA22" s="555"/>
      <c r="GB22" s="555"/>
      <c r="GC22" s="555"/>
      <c r="GD22" s="555"/>
      <c r="GE22" s="555"/>
      <c r="GF22" s="555"/>
      <c r="GG22" s="555"/>
      <c r="GH22" s="555"/>
      <c r="GI22" s="555"/>
      <c r="GJ22" s="555"/>
      <c r="GK22" s="555"/>
      <c r="GL22" s="555"/>
      <c r="GM22" s="555"/>
      <c r="GN22" s="555"/>
      <c r="GO22" s="555"/>
      <c r="GP22" s="555"/>
      <c r="GQ22" s="555"/>
      <c r="GR22" s="555"/>
      <c r="GS22" s="555"/>
      <c r="GT22" s="555"/>
      <c r="GU22" s="555"/>
      <c r="GV22" s="555"/>
      <c r="GW22" s="555"/>
      <c r="GX22" s="555"/>
      <c r="GY22" s="555"/>
      <c r="GZ22" s="555"/>
      <c r="HA22" s="555"/>
      <c r="HB22" s="555"/>
      <c r="HC22" s="555"/>
      <c r="HD22" s="555"/>
      <c r="HE22" s="555"/>
      <c r="HF22" s="555"/>
      <c r="HG22" s="555"/>
      <c r="HH22" s="555"/>
      <c r="HI22" s="555"/>
      <c r="HJ22" s="555"/>
      <c r="HK22" s="555"/>
      <c r="HL22" s="555"/>
      <c r="HM22" s="555"/>
      <c r="HN22" s="555"/>
      <c r="HO22" s="555"/>
      <c r="HP22" s="555"/>
      <c r="HQ22" s="555"/>
      <c r="HR22" s="555"/>
      <c r="HS22" s="555"/>
      <c r="HT22" s="555"/>
      <c r="HU22" s="555"/>
      <c r="HV22" s="555"/>
      <c r="HW22" s="555"/>
      <c r="HX22" s="555"/>
      <c r="HY22" s="555"/>
      <c r="HZ22" s="555"/>
      <c r="IA22" s="555"/>
      <c r="IB22" s="555"/>
      <c r="IC22" s="555"/>
      <c r="ID22" s="555"/>
      <c r="IE22" s="555"/>
      <c r="IF22" s="555"/>
      <c r="IG22" s="555"/>
      <c r="IH22" s="555"/>
      <c r="II22" s="555"/>
      <c r="IJ22" s="555"/>
      <c r="IK22" s="555"/>
      <c r="IL22" s="555"/>
      <c r="IM22" s="555"/>
      <c r="IN22" s="555"/>
      <c r="IO22" s="555"/>
      <c r="IP22" s="555"/>
      <c r="IQ22" s="555"/>
      <c r="IR22" s="555"/>
      <c r="IS22" s="555"/>
      <c r="IT22" s="555"/>
      <c r="IU22" s="555"/>
      <c r="IV22" s="555"/>
      <c r="IW22" s="555"/>
    </row>
    <row r="23" customFormat="false" ht="18" hidden="false" customHeight="true" outlineLevel="0" collapsed="false">
      <c r="A23" s="559"/>
      <c r="B23" s="587"/>
      <c r="C23" s="581"/>
      <c r="D23" s="581"/>
      <c r="E23" s="581"/>
      <c r="F23" s="581"/>
      <c r="G23" s="582"/>
      <c r="H23" s="581"/>
      <c r="I23" s="581"/>
      <c r="J23" s="588"/>
      <c r="K23" s="589"/>
      <c r="L23" s="590"/>
      <c r="M23" s="590"/>
      <c r="N23" s="591" t="s">
        <v>564</v>
      </c>
      <c r="O23" s="592">
        <f aca="false">P26</f>
      </c>
      <c r="P23" s="593" t="s">
        <v>565</v>
      </c>
      <c r="Q23" s="592"/>
      <c r="R23" s="592"/>
      <c r="S23" s="592"/>
      <c r="T23" s="555"/>
      <c r="U23" s="555"/>
      <c r="V23" s="555"/>
      <c r="W23" s="555"/>
      <c r="X23" s="555"/>
      <c r="Y23" s="555"/>
      <c r="Z23" s="555"/>
      <c r="AA23" s="555"/>
      <c r="AB23" s="555"/>
      <c r="AC23" s="555"/>
      <c r="AD23" s="555"/>
      <c r="AE23" s="555"/>
      <c r="AF23" s="555"/>
      <c r="AG23" s="555"/>
      <c r="AH23" s="555"/>
      <c r="AI23" s="555"/>
      <c r="AJ23" s="555"/>
      <c r="AK23" s="555"/>
      <c r="AL23" s="555"/>
      <c r="AM23" s="555"/>
      <c r="AN23" s="555"/>
      <c r="AO23" s="555"/>
      <c r="AP23" s="555"/>
      <c r="AQ23" s="555"/>
      <c r="AR23" s="555"/>
      <c r="AS23" s="555"/>
      <c r="AT23" s="555"/>
      <c r="AU23" s="555"/>
      <c r="AV23" s="555"/>
      <c r="AW23" s="555"/>
      <c r="AX23" s="555"/>
      <c r="AY23" s="555"/>
      <c r="AZ23" s="555"/>
      <c r="BA23" s="555"/>
      <c r="BB23" s="555"/>
      <c r="BC23" s="555"/>
      <c r="BD23" s="555"/>
      <c r="BE23" s="555"/>
      <c r="BF23" s="555"/>
      <c r="BG23" s="555"/>
      <c r="BH23" s="555"/>
      <c r="BI23" s="555"/>
      <c r="BJ23" s="555"/>
      <c r="BK23" s="555"/>
      <c r="BL23" s="555"/>
      <c r="BM23" s="555"/>
      <c r="BN23" s="555"/>
      <c r="BO23" s="555"/>
      <c r="BP23" s="555"/>
      <c r="BQ23" s="555"/>
      <c r="BR23" s="555"/>
      <c r="BS23" s="555"/>
      <c r="BT23" s="555"/>
      <c r="BU23" s="555"/>
      <c r="BV23" s="555"/>
      <c r="BW23" s="555"/>
      <c r="BX23" s="555"/>
      <c r="BY23" s="555"/>
      <c r="BZ23" s="555"/>
      <c r="CA23" s="555"/>
      <c r="CB23" s="555"/>
      <c r="CC23" s="555"/>
      <c r="CD23" s="555"/>
      <c r="CE23" s="555"/>
      <c r="CF23" s="555"/>
      <c r="CG23" s="555"/>
      <c r="CH23" s="555"/>
      <c r="CI23" s="555"/>
      <c r="CJ23" s="555"/>
      <c r="CK23" s="555"/>
      <c r="CL23" s="555"/>
      <c r="CM23" s="555"/>
      <c r="CN23" s="555"/>
      <c r="CO23" s="555"/>
      <c r="CP23" s="555"/>
      <c r="CQ23" s="555"/>
      <c r="CR23" s="555"/>
      <c r="CS23" s="555"/>
      <c r="CT23" s="555"/>
      <c r="CU23" s="555"/>
      <c r="CV23" s="555"/>
      <c r="CW23" s="555"/>
      <c r="CX23" s="555"/>
      <c r="CY23" s="555"/>
      <c r="CZ23" s="555"/>
      <c r="DA23" s="555"/>
      <c r="DB23" s="555"/>
      <c r="DC23" s="555"/>
      <c r="DD23" s="555"/>
      <c r="DE23" s="555"/>
      <c r="DF23" s="555"/>
      <c r="DG23" s="555"/>
      <c r="DH23" s="555"/>
      <c r="DI23" s="555"/>
      <c r="DJ23" s="555"/>
      <c r="DK23" s="555"/>
      <c r="DL23" s="555"/>
      <c r="DM23" s="555"/>
      <c r="DN23" s="555"/>
      <c r="DO23" s="555"/>
      <c r="DP23" s="555"/>
      <c r="DQ23" s="555"/>
      <c r="DR23" s="555"/>
      <c r="DS23" s="555"/>
      <c r="DT23" s="555"/>
      <c r="DU23" s="555"/>
      <c r="DV23" s="555"/>
      <c r="DW23" s="555"/>
      <c r="DX23" s="555"/>
      <c r="DY23" s="555"/>
      <c r="DZ23" s="555"/>
      <c r="EA23" s="555"/>
      <c r="EB23" s="555"/>
      <c r="EC23" s="555"/>
      <c r="ED23" s="555"/>
      <c r="EE23" s="555"/>
      <c r="EF23" s="555"/>
      <c r="EG23" s="555"/>
      <c r="EH23" s="555"/>
      <c r="EI23" s="555"/>
      <c r="EJ23" s="555"/>
      <c r="EK23" s="555"/>
      <c r="EL23" s="555"/>
      <c r="EM23" s="555"/>
      <c r="EN23" s="555"/>
      <c r="EO23" s="555"/>
      <c r="EP23" s="555"/>
      <c r="EQ23" s="555"/>
      <c r="ER23" s="555"/>
      <c r="ES23" s="555"/>
      <c r="ET23" s="555"/>
      <c r="EU23" s="555"/>
      <c r="EV23" s="555"/>
      <c r="EW23" s="555"/>
      <c r="EX23" s="555"/>
      <c r="EY23" s="555"/>
      <c r="EZ23" s="555"/>
      <c r="FA23" s="555"/>
      <c r="FB23" s="555"/>
      <c r="FC23" s="555"/>
      <c r="FD23" s="555"/>
      <c r="FE23" s="555"/>
      <c r="FF23" s="555"/>
      <c r="FG23" s="555"/>
      <c r="FH23" s="555"/>
      <c r="FI23" s="555"/>
      <c r="FJ23" s="555"/>
      <c r="FK23" s="555"/>
      <c r="FL23" s="555"/>
      <c r="FM23" s="555"/>
      <c r="FN23" s="555"/>
      <c r="FO23" s="555"/>
      <c r="FP23" s="555"/>
      <c r="FQ23" s="555"/>
      <c r="FR23" s="555"/>
      <c r="FS23" s="555"/>
      <c r="FT23" s="555"/>
      <c r="FU23" s="555"/>
      <c r="FV23" s="555"/>
      <c r="FW23" s="555"/>
      <c r="FX23" s="555"/>
      <c r="FY23" s="555"/>
      <c r="FZ23" s="555"/>
      <c r="GA23" s="555"/>
      <c r="GB23" s="555"/>
      <c r="GC23" s="555"/>
      <c r="GD23" s="555"/>
      <c r="GE23" s="555"/>
      <c r="GF23" s="555"/>
      <c r="GG23" s="555"/>
      <c r="GH23" s="555"/>
      <c r="GI23" s="555"/>
      <c r="GJ23" s="555"/>
      <c r="GK23" s="555"/>
      <c r="GL23" s="555"/>
      <c r="GM23" s="555"/>
      <c r="GN23" s="555"/>
      <c r="GO23" s="555"/>
      <c r="GP23" s="555"/>
      <c r="GQ23" s="555"/>
      <c r="GR23" s="555"/>
      <c r="GS23" s="555"/>
      <c r="GT23" s="555"/>
      <c r="GU23" s="555"/>
      <c r="GV23" s="555"/>
      <c r="GW23" s="555"/>
      <c r="GX23" s="555"/>
      <c r="GY23" s="555"/>
      <c r="GZ23" s="555"/>
      <c r="HA23" s="555"/>
      <c r="HB23" s="555"/>
      <c r="HC23" s="555"/>
      <c r="HD23" s="555"/>
      <c r="HE23" s="555"/>
      <c r="HF23" s="555"/>
      <c r="HG23" s="555"/>
      <c r="HH23" s="555"/>
      <c r="HI23" s="555"/>
      <c r="HJ23" s="555"/>
      <c r="HK23" s="555"/>
      <c r="HL23" s="555"/>
      <c r="HM23" s="555"/>
      <c r="HN23" s="555"/>
      <c r="HO23" s="555"/>
      <c r="HP23" s="555"/>
      <c r="HQ23" s="555"/>
      <c r="HR23" s="555"/>
      <c r="HS23" s="555"/>
      <c r="HT23" s="555"/>
      <c r="HU23" s="555"/>
      <c r="HV23" s="555"/>
      <c r="HW23" s="555"/>
      <c r="HX23" s="555"/>
      <c r="HY23" s="555"/>
      <c r="HZ23" s="555"/>
      <c r="IA23" s="555"/>
      <c r="IB23" s="555"/>
      <c r="IC23" s="555"/>
      <c r="ID23" s="555"/>
      <c r="IE23" s="555"/>
      <c r="IF23" s="555"/>
      <c r="IG23" s="555"/>
      <c r="IH23" s="555"/>
      <c r="II23" s="555"/>
      <c r="IJ23" s="555"/>
      <c r="IK23" s="555"/>
      <c r="IL23" s="555"/>
      <c r="IM23" s="555"/>
      <c r="IN23" s="555"/>
      <c r="IO23" s="555"/>
      <c r="IP23" s="555"/>
      <c r="IQ23" s="555"/>
      <c r="IR23" s="555"/>
      <c r="IS23" s="555"/>
      <c r="IT23" s="555"/>
      <c r="IU23" s="555"/>
      <c r="IV23" s="555"/>
      <c r="IW23" s="555"/>
    </row>
    <row r="24" customFormat="false" ht="18" hidden="false" customHeight="true" outlineLevel="0" collapsed="false">
      <c r="A24" s="559"/>
      <c r="B24" s="580"/>
      <c r="C24" s="594" t="str">
        <f aca="false">현5!A10</f>
        <v>안전시설등</v>
      </c>
      <c r="D24" s="594"/>
      <c r="E24" s="594"/>
      <c r="F24" s="594"/>
      <c r="G24" s="595" t="s">
        <v>563</v>
      </c>
      <c r="H24" s="594">
        <f aca="false">현5!C10</f>
      </c>
      <c r="I24" s="594"/>
      <c r="J24" s="583"/>
      <c r="K24" s="584">
        <f aca="false">B26</f>
      </c>
      <c r="L24" s="584"/>
      <c r="M24" s="584"/>
      <c r="N24" s="584"/>
      <c r="O24" s="585" t="s">
        <v>24</v>
      </c>
      <c r="P24" s="586">
        <f aca="false">J26</f>
      </c>
      <c r="Q24" s="586"/>
      <c r="R24" s="586"/>
      <c r="S24" s="586"/>
      <c r="T24" s="555"/>
      <c r="U24" s="555"/>
      <c r="V24" s="555"/>
      <c r="W24" s="555"/>
      <c r="X24" s="555"/>
      <c r="Y24" s="555"/>
      <c r="Z24" s="555"/>
      <c r="AA24" s="555"/>
      <c r="AB24" s="555"/>
      <c r="AC24" s="555"/>
      <c r="AD24" s="555"/>
      <c r="AE24" s="555"/>
      <c r="AF24" s="555"/>
      <c r="AG24" s="555"/>
      <c r="AH24" s="555"/>
      <c r="AI24" s="555"/>
      <c r="AJ24" s="555"/>
      <c r="AK24" s="555"/>
      <c r="AL24" s="555"/>
      <c r="AM24" s="555"/>
      <c r="AN24" s="555"/>
      <c r="AO24" s="555"/>
      <c r="AP24" s="555"/>
      <c r="AQ24" s="555"/>
      <c r="AR24" s="555"/>
      <c r="AS24" s="555"/>
      <c r="AT24" s="555"/>
      <c r="AU24" s="555"/>
      <c r="AV24" s="555"/>
      <c r="AW24" s="555"/>
      <c r="AX24" s="555"/>
      <c r="AY24" s="555"/>
      <c r="AZ24" s="555"/>
      <c r="BA24" s="555"/>
      <c r="BB24" s="555"/>
      <c r="BC24" s="555"/>
      <c r="BD24" s="555"/>
      <c r="BE24" s="555"/>
      <c r="BF24" s="555"/>
      <c r="BG24" s="555"/>
      <c r="BH24" s="555"/>
      <c r="BI24" s="555"/>
      <c r="BJ24" s="555"/>
      <c r="BK24" s="555"/>
      <c r="BL24" s="555"/>
      <c r="BM24" s="555"/>
      <c r="BN24" s="555"/>
      <c r="BO24" s="555"/>
      <c r="BP24" s="555"/>
      <c r="BQ24" s="555"/>
      <c r="BR24" s="555"/>
      <c r="BS24" s="555"/>
      <c r="BT24" s="555"/>
      <c r="BU24" s="555"/>
      <c r="BV24" s="555"/>
      <c r="BW24" s="555"/>
      <c r="BX24" s="555"/>
      <c r="BY24" s="555"/>
      <c r="BZ24" s="555"/>
      <c r="CA24" s="555"/>
      <c r="CB24" s="555"/>
      <c r="CC24" s="555"/>
      <c r="CD24" s="555"/>
      <c r="CE24" s="555"/>
      <c r="CF24" s="555"/>
      <c r="CG24" s="555"/>
      <c r="CH24" s="555"/>
      <c r="CI24" s="555"/>
      <c r="CJ24" s="555"/>
      <c r="CK24" s="555"/>
      <c r="CL24" s="555"/>
      <c r="CM24" s="555"/>
      <c r="CN24" s="555"/>
      <c r="CO24" s="555"/>
      <c r="CP24" s="555"/>
      <c r="CQ24" s="555"/>
      <c r="CR24" s="555"/>
      <c r="CS24" s="555"/>
      <c r="CT24" s="555"/>
      <c r="CU24" s="555"/>
      <c r="CV24" s="555"/>
      <c r="CW24" s="555"/>
      <c r="CX24" s="555"/>
      <c r="CY24" s="555"/>
      <c r="CZ24" s="555"/>
      <c r="DA24" s="555"/>
      <c r="DB24" s="555"/>
      <c r="DC24" s="555"/>
      <c r="DD24" s="555"/>
      <c r="DE24" s="555"/>
      <c r="DF24" s="555"/>
      <c r="DG24" s="555"/>
      <c r="DH24" s="555"/>
      <c r="DI24" s="555"/>
      <c r="DJ24" s="555"/>
      <c r="DK24" s="555"/>
      <c r="DL24" s="555"/>
      <c r="DM24" s="555"/>
      <c r="DN24" s="555"/>
      <c r="DO24" s="555"/>
      <c r="DP24" s="555"/>
      <c r="DQ24" s="555"/>
      <c r="DR24" s="555"/>
      <c r="DS24" s="555"/>
      <c r="DT24" s="555"/>
      <c r="DU24" s="555"/>
      <c r="DV24" s="555"/>
      <c r="DW24" s="555"/>
      <c r="DX24" s="555"/>
      <c r="DY24" s="555"/>
      <c r="DZ24" s="555"/>
      <c r="EA24" s="555"/>
      <c r="EB24" s="555"/>
      <c r="EC24" s="555"/>
      <c r="ED24" s="555"/>
      <c r="EE24" s="555"/>
      <c r="EF24" s="555"/>
      <c r="EG24" s="555"/>
      <c r="EH24" s="555"/>
      <c r="EI24" s="555"/>
      <c r="EJ24" s="555"/>
      <c r="EK24" s="555"/>
      <c r="EL24" s="555"/>
      <c r="EM24" s="555"/>
      <c r="EN24" s="555"/>
      <c r="EO24" s="555"/>
      <c r="EP24" s="555"/>
      <c r="EQ24" s="555"/>
      <c r="ER24" s="555"/>
      <c r="ES24" s="555"/>
      <c r="ET24" s="555"/>
      <c r="EU24" s="555"/>
      <c r="EV24" s="555"/>
      <c r="EW24" s="555"/>
      <c r="EX24" s="555"/>
      <c r="EY24" s="555"/>
      <c r="EZ24" s="555"/>
      <c r="FA24" s="555"/>
      <c r="FB24" s="555"/>
      <c r="FC24" s="555"/>
      <c r="FD24" s="555"/>
      <c r="FE24" s="555"/>
      <c r="FF24" s="555"/>
      <c r="FG24" s="555"/>
      <c r="FH24" s="555"/>
      <c r="FI24" s="555"/>
      <c r="FJ24" s="555"/>
      <c r="FK24" s="555"/>
      <c r="FL24" s="555"/>
      <c r="FM24" s="555"/>
      <c r="FN24" s="555"/>
      <c r="FO24" s="555"/>
      <c r="FP24" s="555"/>
      <c r="FQ24" s="555"/>
      <c r="FR24" s="555"/>
      <c r="FS24" s="555"/>
      <c r="FT24" s="555"/>
      <c r="FU24" s="555"/>
      <c r="FV24" s="555"/>
      <c r="FW24" s="555"/>
      <c r="FX24" s="555"/>
      <c r="FY24" s="555"/>
      <c r="FZ24" s="555"/>
      <c r="GA24" s="555"/>
      <c r="GB24" s="555"/>
      <c r="GC24" s="555"/>
      <c r="GD24" s="555"/>
      <c r="GE24" s="555"/>
      <c r="GF24" s="555"/>
      <c r="GG24" s="555"/>
      <c r="GH24" s="555"/>
      <c r="GI24" s="555"/>
      <c r="GJ24" s="555"/>
      <c r="GK24" s="555"/>
      <c r="GL24" s="555"/>
      <c r="GM24" s="555"/>
      <c r="GN24" s="555"/>
      <c r="GO24" s="555"/>
      <c r="GP24" s="555"/>
      <c r="GQ24" s="555"/>
      <c r="GR24" s="555"/>
      <c r="GS24" s="555"/>
      <c r="GT24" s="555"/>
      <c r="GU24" s="555"/>
      <c r="GV24" s="555"/>
      <c r="GW24" s="555"/>
      <c r="GX24" s="555"/>
      <c r="GY24" s="555"/>
      <c r="GZ24" s="555"/>
      <c r="HA24" s="555"/>
      <c r="HB24" s="555"/>
      <c r="HC24" s="555"/>
      <c r="HD24" s="555"/>
      <c r="HE24" s="555"/>
      <c r="HF24" s="555"/>
      <c r="HG24" s="555"/>
      <c r="HH24" s="555"/>
      <c r="HI24" s="555"/>
      <c r="HJ24" s="555"/>
      <c r="HK24" s="555"/>
      <c r="HL24" s="555"/>
      <c r="HM24" s="555"/>
      <c r="HN24" s="555"/>
      <c r="HO24" s="555"/>
      <c r="HP24" s="555"/>
      <c r="HQ24" s="555"/>
      <c r="HR24" s="555"/>
      <c r="HS24" s="555"/>
      <c r="HT24" s="555"/>
      <c r="HU24" s="555"/>
      <c r="HV24" s="555"/>
      <c r="HW24" s="555"/>
      <c r="HX24" s="555"/>
      <c r="HY24" s="555"/>
      <c r="HZ24" s="555"/>
      <c r="IA24" s="555"/>
      <c r="IB24" s="555"/>
      <c r="IC24" s="555"/>
      <c r="ID24" s="555"/>
      <c r="IE24" s="555"/>
      <c r="IF24" s="555"/>
      <c r="IG24" s="555"/>
      <c r="IH24" s="555"/>
      <c r="II24" s="555"/>
      <c r="IJ24" s="555"/>
      <c r="IK24" s="555"/>
      <c r="IL24" s="555"/>
      <c r="IM24" s="555"/>
      <c r="IN24" s="555"/>
      <c r="IO24" s="555"/>
      <c r="IP24" s="555"/>
      <c r="IQ24" s="555"/>
      <c r="IR24" s="555"/>
      <c r="IS24" s="555"/>
      <c r="IT24" s="555"/>
      <c r="IU24" s="555"/>
      <c r="IV24" s="555"/>
      <c r="IW24" s="555"/>
    </row>
    <row r="25" customFormat="false" ht="18" hidden="false" customHeight="true" outlineLevel="0" collapsed="false">
      <c r="A25" s="559"/>
      <c r="B25" s="596"/>
      <c r="C25" s="594"/>
      <c r="D25" s="594"/>
      <c r="E25" s="594"/>
      <c r="F25" s="594"/>
      <c r="G25" s="595"/>
      <c r="H25" s="594"/>
      <c r="I25" s="594"/>
      <c r="J25" s="597"/>
      <c r="K25" s="598"/>
      <c r="L25" s="599"/>
      <c r="M25" s="599"/>
      <c r="N25" s="600" t="s">
        <v>564</v>
      </c>
      <c r="O25" s="601">
        <f aca="false">P26</f>
      </c>
      <c r="P25" s="602" t="s">
        <v>565</v>
      </c>
      <c r="Q25" s="601"/>
      <c r="R25" s="601"/>
      <c r="S25" s="601"/>
      <c r="T25" s="555"/>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5"/>
      <c r="BO25" s="555"/>
      <c r="BP25" s="555"/>
      <c r="BQ25" s="555"/>
      <c r="BR25" s="555"/>
      <c r="BS25" s="555"/>
      <c r="BT25" s="555"/>
      <c r="BU25" s="555"/>
      <c r="BV25" s="555"/>
      <c r="BW25" s="555"/>
      <c r="BX25" s="555"/>
      <c r="BY25" s="555"/>
      <c r="BZ25" s="555"/>
      <c r="CA25" s="555"/>
      <c r="CB25" s="555"/>
      <c r="CC25" s="555"/>
      <c r="CD25" s="555"/>
      <c r="CE25" s="555"/>
      <c r="CF25" s="555"/>
      <c r="CG25" s="555"/>
      <c r="CH25" s="555"/>
      <c r="CI25" s="555"/>
      <c r="CJ25" s="555"/>
      <c r="CK25" s="555"/>
      <c r="CL25" s="555"/>
      <c r="CM25" s="555"/>
      <c r="CN25" s="555"/>
      <c r="CO25" s="555"/>
      <c r="CP25" s="555"/>
      <c r="CQ25" s="555"/>
      <c r="CR25" s="555"/>
      <c r="CS25" s="555"/>
      <c r="CT25" s="555"/>
      <c r="CU25" s="555"/>
      <c r="CV25" s="555"/>
      <c r="CW25" s="555"/>
      <c r="CX25" s="555"/>
      <c r="CY25" s="555"/>
      <c r="CZ25" s="555"/>
      <c r="DA25" s="555"/>
      <c r="DB25" s="555"/>
      <c r="DC25" s="555"/>
      <c r="DD25" s="555"/>
      <c r="DE25" s="555"/>
      <c r="DF25" s="555"/>
      <c r="DG25" s="555"/>
      <c r="DH25" s="555"/>
      <c r="DI25" s="555"/>
      <c r="DJ25" s="555"/>
      <c r="DK25" s="555"/>
      <c r="DL25" s="555"/>
      <c r="DM25" s="555"/>
      <c r="DN25" s="555"/>
      <c r="DO25" s="555"/>
      <c r="DP25" s="555"/>
      <c r="DQ25" s="555"/>
      <c r="DR25" s="555"/>
      <c r="DS25" s="555"/>
      <c r="DT25" s="555"/>
      <c r="DU25" s="555"/>
      <c r="DV25" s="555"/>
      <c r="DW25" s="555"/>
      <c r="DX25" s="555"/>
      <c r="DY25" s="555"/>
      <c r="DZ25" s="555"/>
      <c r="EA25" s="555"/>
      <c r="EB25" s="555"/>
      <c r="EC25" s="555"/>
      <c r="ED25" s="555"/>
      <c r="EE25" s="555"/>
      <c r="EF25" s="555"/>
      <c r="EG25" s="555"/>
      <c r="EH25" s="555"/>
      <c r="EI25" s="555"/>
      <c r="EJ25" s="555"/>
      <c r="EK25" s="555"/>
      <c r="EL25" s="555"/>
      <c r="EM25" s="555"/>
      <c r="EN25" s="555"/>
      <c r="EO25" s="555"/>
      <c r="EP25" s="555"/>
      <c r="EQ25" s="555"/>
      <c r="ER25" s="555"/>
      <c r="ES25" s="555"/>
      <c r="ET25" s="555"/>
      <c r="EU25" s="555"/>
      <c r="EV25" s="555"/>
      <c r="EW25" s="555"/>
      <c r="EX25" s="555"/>
      <c r="EY25" s="555"/>
      <c r="EZ25" s="555"/>
      <c r="FA25" s="555"/>
      <c r="FB25" s="555"/>
      <c r="FC25" s="555"/>
      <c r="FD25" s="555"/>
      <c r="FE25" s="555"/>
      <c r="FF25" s="555"/>
      <c r="FG25" s="555"/>
      <c r="FH25" s="555"/>
      <c r="FI25" s="555"/>
      <c r="FJ25" s="555"/>
      <c r="FK25" s="555"/>
      <c r="FL25" s="555"/>
      <c r="FM25" s="555"/>
      <c r="FN25" s="555"/>
      <c r="FO25" s="555"/>
      <c r="FP25" s="555"/>
      <c r="FQ25" s="555"/>
      <c r="FR25" s="555"/>
      <c r="FS25" s="555"/>
      <c r="FT25" s="555"/>
      <c r="FU25" s="555"/>
      <c r="FV25" s="555"/>
      <c r="FW25" s="555"/>
      <c r="FX25" s="555"/>
      <c r="FY25" s="555"/>
      <c r="FZ25" s="555"/>
      <c r="GA25" s="555"/>
      <c r="GB25" s="555"/>
      <c r="GC25" s="555"/>
      <c r="GD25" s="555"/>
      <c r="GE25" s="555"/>
      <c r="GF25" s="555"/>
      <c r="GG25" s="555"/>
      <c r="GH25" s="555"/>
      <c r="GI25" s="555"/>
      <c r="GJ25" s="555"/>
      <c r="GK25" s="555"/>
      <c r="GL25" s="555"/>
      <c r="GM25" s="555"/>
      <c r="GN25" s="555"/>
      <c r="GO25" s="555"/>
      <c r="GP25" s="555"/>
      <c r="GQ25" s="555"/>
      <c r="GR25" s="555"/>
      <c r="GS25" s="555"/>
      <c r="GT25" s="555"/>
      <c r="GU25" s="555"/>
      <c r="GV25" s="555"/>
      <c r="GW25" s="555"/>
      <c r="GX25" s="555"/>
      <c r="GY25" s="555"/>
      <c r="GZ25" s="555"/>
      <c r="HA25" s="555"/>
      <c r="HB25" s="555"/>
      <c r="HC25" s="555"/>
      <c r="HD25" s="555"/>
      <c r="HE25" s="555"/>
      <c r="HF25" s="555"/>
      <c r="HG25" s="555"/>
      <c r="HH25" s="555"/>
      <c r="HI25" s="555"/>
      <c r="HJ25" s="555"/>
      <c r="HK25" s="555"/>
      <c r="HL25" s="555"/>
      <c r="HM25" s="555"/>
      <c r="HN25" s="555"/>
      <c r="HO25" s="555"/>
      <c r="HP25" s="555"/>
      <c r="HQ25" s="555"/>
      <c r="HR25" s="555"/>
      <c r="HS25" s="555"/>
      <c r="HT25" s="555"/>
      <c r="HU25" s="555"/>
      <c r="HV25" s="555"/>
      <c r="HW25" s="555"/>
      <c r="HX25" s="555"/>
      <c r="HY25" s="555"/>
      <c r="HZ25" s="555"/>
      <c r="IA25" s="555"/>
      <c r="IB25" s="555"/>
      <c r="IC25" s="555"/>
      <c r="ID25" s="555"/>
      <c r="IE25" s="555"/>
      <c r="IF25" s="555"/>
      <c r="IG25" s="555"/>
      <c r="IH25" s="555"/>
      <c r="II25" s="555"/>
      <c r="IJ25" s="555"/>
      <c r="IK25" s="555"/>
      <c r="IL25" s="555"/>
      <c r="IM25" s="555"/>
      <c r="IN25" s="555"/>
      <c r="IO25" s="555"/>
      <c r="IP25" s="555"/>
      <c r="IQ25" s="555"/>
      <c r="IR25" s="555"/>
      <c r="IS25" s="555"/>
      <c r="IT25" s="555"/>
      <c r="IU25" s="555"/>
      <c r="IV25" s="555"/>
      <c r="IW25" s="555"/>
    </row>
    <row r="26" customFormat="false" ht="14.25" hidden="false" customHeight="true" outlineLevel="0" collapsed="false">
      <c r="A26" s="603" t="s">
        <v>566</v>
      </c>
      <c r="B26" s="604">
        <f aca="false">개요!G9</f>
      </c>
      <c r="C26" s="604"/>
      <c r="D26" s="604"/>
      <c r="E26" s="604"/>
      <c r="F26" s="604"/>
      <c r="G26" s="604"/>
      <c r="H26" s="605" t="s">
        <v>24</v>
      </c>
      <c r="I26" s="605"/>
      <c r="J26" s="606">
        <f aca="false">개요!I9</f>
      </c>
      <c r="K26" s="606"/>
      <c r="L26" s="606"/>
      <c r="M26" s="606"/>
      <c r="N26" s="606"/>
      <c r="O26" s="607" t="s">
        <v>564</v>
      </c>
      <c r="P26" s="608">
        <f aca="false">개요!J9</f>
      </c>
      <c r="Q26" s="609" t="s">
        <v>567</v>
      </c>
      <c r="R26" s="605"/>
      <c r="S26" s="610"/>
      <c r="T26" s="555"/>
      <c r="U26" s="555"/>
      <c r="V26" s="555"/>
      <c r="W26" s="555"/>
      <c r="X26" s="555"/>
      <c r="Y26" s="555"/>
      <c r="Z26" s="555"/>
      <c r="AA26" s="555"/>
      <c r="AB26" s="555"/>
      <c r="AC26" s="555"/>
      <c r="AD26" s="555"/>
      <c r="AE26" s="555"/>
      <c r="AF26" s="555"/>
      <c r="AG26" s="555"/>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5"/>
      <c r="BD26" s="555"/>
      <c r="BE26" s="555"/>
      <c r="BF26" s="555"/>
      <c r="BG26" s="555"/>
      <c r="BH26" s="555"/>
      <c r="BI26" s="555"/>
      <c r="BJ26" s="555"/>
      <c r="BK26" s="555"/>
      <c r="BL26" s="555"/>
      <c r="BM26" s="555"/>
      <c r="BN26" s="555"/>
      <c r="BO26" s="555"/>
      <c r="BP26" s="555"/>
      <c r="BQ26" s="555"/>
      <c r="BR26" s="555"/>
      <c r="BS26" s="555"/>
      <c r="BT26" s="555"/>
      <c r="BU26" s="555"/>
      <c r="BV26" s="555"/>
      <c r="BW26" s="555"/>
      <c r="BX26" s="555"/>
      <c r="BY26" s="555"/>
      <c r="BZ26" s="555"/>
      <c r="CA26" s="555"/>
      <c r="CB26" s="555"/>
      <c r="CC26" s="555"/>
      <c r="CD26" s="555"/>
      <c r="CE26" s="555"/>
      <c r="CF26" s="555"/>
      <c r="CG26" s="555"/>
      <c r="CH26" s="555"/>
      <c r="CI26" s="555"/>
      <c r="CJ26" s="555"/>
      <c r="CK26" s="555"/>
      <c r="CL26" s="555"/>
      <c r="CM26" s="555"/>
      <c r="CN26" s="555"/>
      <c r="CO26" s="555"/>
      <c r="CP26" s="555"/>
      <c r="CQ26" s="555"/>
      <c r="CR26" s="555"/>
      <c r="CS26" s="555"/>
      <c r="CT26" s="555"/>
      <c r="CU26" s="555"/>
      <c r="CV26" s="555"/>
      <c r="CW26" s="555"/>
      <c r="CX26" s="555"/>
      <c r="CY26" s="555"/>
      <c r="CZ26" s="555"/>
      <c r="DA26" s="555"/>
      <c r="DB26" s="555"/>
      <c r="DC26" s="555"/>
      <c r="DD26" s="555"/>
      <c r="DE26" s="555"/>
      <c r="DF26" s="555"/>
      <c r="DG26" s="555"/>
      <c r="DH26" s="555"/>
      <c r="DI26" s="555"/>
      <c r="DJ26" s="555"/>
      <c r="DK26" s="555"/>
      <c r="DL26" s="555"/>
      <c r="DM26" s="555"/>
      <c r="DN26" s="555"/>
      <c r="DO26" s="555"/>
      <c r="DP26" s="555"/>
      <c r="DQ26" s="555"/>
      <c r="DR26" s="555"/>
      <c r="DS26" s="555"/>
      <c r="DT26" s="555"/>
      <c r="DU26" s="555"/>
      <c r="DV26" s="555"/>
      <c r="DW26" s="555"/>
      <c r="DX26" s="555"/>
      <c r="DY26" s="555"/>
      <c r="DZ26" s="555"/>
      <c r="EA26" s="555"/>
      <c r="EB26" s="555"/>
      <c r="EC26" s="555"/>
      <c r="ED26" s="555"/>
      <c r="EE26" s="555"/>
      <c r="EF26" s="555"/>
      <c r="EG26" s="555"/>
      <c r="EH26" s="555"/>
      <c r="EI26" s="555"/>
      <c r="EJ26" s="555"/>
      <c r="EK26" s="555"/>
      <c r="EL26" s="555"/>
      <c r="EM26" s="555"/>
      <c r="EN26" s="555"/>
      <c r="EO26" s="555"/>
      <c r="EP26" s="555"/>
      <c r="EQ26" s="555"/>
      <c r="ER26" s="555"/>
      <c r="ES26" s="555"/>
      <c r="ET26" s="555"/>
      <c r="EU26" s="555"/>
      <c r="EV26" s="555"/>
      <c r="EW26" s="555"/>
      <c r="EX26" s="555"/>
      <c r="EY26" s="555"/>
      <c r="EZ26" s="555"/>
      <c r="FA26" s="555"/>
      <c r="FB26" s="555"/>
      <c r="FC26" s="555"/>
      <c r="FD26" s="555"/>
      <c r="FE26" s="555"/>
      <c r="FF26" s="555"/>
      <c r="FG26" s="555"/>
      <c r="FH26" s="555"/>
      <c r="FI26" s="555"/>
      <c r="FJ26" s="555"/>
      <c r="FK26" s="555"/>
      <c r="FL26" s="555"/>
      <c r="FM26" s="555"/>
      <c r="FN26" s="555"/>
      <c r="FO26" s="555"/>
      <c r="FP26" s="555"/>
      <c r="FQ26" s="555"/>
      <c r="FR26" s="555"/>
      <c r="FS26" s="555"/>
      <c r="FT26" s="555"/>
      <c r="FU26" s="555"/>
      <c r="FV26" s="555"/>
      <c r="FW26" s="555"/>
      <c r="FX26" s="555"/>
      <c r="FY26" s="555"/>
      <c r="FZ26" s="555"/>
      <c r="GA26" s="555"/>
      <c r="GB26" s="555"/>
      <c r="GC26" s="555"/>
      <c r="GD26" s="555"/>
      <c r="GE26" s="555"/>
      <c r="GF26" s="555"/>
      <c r="GG26" s="555"/>
      <c r="GH26" s="555"/>
      <c r="GI26" s="555"/>
      <c r="GJ26" s="555"/>
      <c r="GK26" s="555"/>
      <c r="GL26" s="555"/>
      <c r="GM26" s="555"/>
      <c r="GN26" s="555"/>
      <c r="GO26" s="555"/>
      <c r="GP26" s="555"/>
      <c r="GQ26" s="555"/>
      <c r="GR26" s="555"/>
      <c r="GS26" s="555"/>
      <c r="GT26" s="555"/>
      <c r="GU26" s="555"/>
      <c r="GV26" s="555"/>
      <c r="GW26" s="555"/>
      <c r="GX26" s="555"/>
      <c r="GY26" s="555"/>
      <c r="GZ26" s="555"/>
      <c r="HA26" s="555"/>
      <c r="HB26" s="555"/>
      <c r="HC26" s="555"/>
      <c r="HD26" s="555"/>
      <c r="HE26" s="555"/>
      <c r="HF26" s="555"/>
      <c r="HG26" s="555"/>
      <c r="HH26" s="555"/>
      <c r="HI26" s="555"/>
      <c r="HJ26" s="555"/>
      <c r="HK26" s="555"/>
      <c r="HL26" s="555"/>
      <c r="HM26" s="555"/>
      <c r="HN26" s="555"/>
      <c r="HO26" s="555"/>
      <c r="HP26" s="555"/>
      <c r="HQ26" s="555"/>
      <c r="HR26" s="555"/>
      <c r="HS26" s="555"/>
      <c r="HT26" s="555"/>
      <c r="HU26" s="555"/>
      <c r="HV26" s="555"/>
      <c r="HW26" s="555"/>
      <c r="HX26" s="555"/>
      <c r="HY26" s="555"/>
      <c r="HZ26" s="555"/>
      <c r="IA26" s="555"/>
      <c r="IB26" s="555"/>
      <c r="IC26" s="555"/>
      <c r="ID26" s="555"/>
      <c r="IE26" s="555"/>
      <c r="IF26" s="555"/>
      <c r="IG26" s="555"/>
      <c r="IH26" s="555"/>
      <c r="II26" s="555"/>
      <c r="IJ26" s="555"/>
      <c r="IK26" s="555"/>
      <c r="IL26" s="555"/>
      <c r="IM26" s="555"/>
      <c r="IN26" s="555"/>
      <c r="IO26" s="555"/>
      <c r="IP26" s="555"/>
      <c r="IQ26" s="555"/>
      <c r="IR26" s="555"/>
      <c r="IS26" s="555"/>
      <c r="IT26" s="555"/>
      <c r="IU26" s="555"/>
      <c r="IV26" s="555"/>
      <c r="IW26" s="555"/>
    </row>
    <row r="27" customFormat="false" ht="14.25" hidden="false" customHeight="true" outlineLevel="0" collapsed="false">
      <c r="A27" s="603"/>
      <c r="B27" s="604"/>
      <c r="C27" s="604"/>
      <c r="D27" s="604"/>
      <c r="E27" s="604"/>
      <c r="F27" s="604"/>
      <c r="G27" s="604"/>
      <c r="H27" s="605"/>
      <c r="I27" s="605"/>
      <c r="J27" s="606"/>
      <c r="K27" s="606"/>
      <c r="L27" s="606"/>
      <c r="M27" s="606"/>
      <c r="N27" s="606"/>
      <c r="O27" s="607"/>
      <c r="P27" s="608"/>
      <c r="Q27" s="609"/>
      <c r="R27" s="605"/>
      <c r="S27" s="611"/>
      <c r="T27" s="555"/>
      <c r="U27" s="555"/>
      <c r="V27" s="555"/>
      <c r="W27" s="555"/>
      <c r="X27" s="555"/>
      <c r="Y27" s="555"/>
      <c r="Z27" s="555"/>
      <c r="AA27" s="555"/>
      <c r="AB27" s="555"/>
      <c r="AC27" s="555"/>
      <c r="AD27" s="555"/>
      <c r="AE27" s="555"/>
      <c r="AF27" s="555"/>
      <c r="AG27" s="555"/>
      <c r="AH27" s="555"/>
      <c r="AI27" s="555"/>
      <c r="AJ27" s="555"/>
      <c r="AK27" s="555"/>
      <c r="AL27" s="555"/>
      <c r="AM27" s="555"/>
      <c r="AN27" s="555"/>
      <c r="AO27" s="555"/>
      <c r="AP27" s="555"/>
      <c r="AQ27" s="555"/>
      <c r="AR27" s="555"/>
      <c r="AS27" s="555"/>
      <c r="AT27" s="555"/>
      <c r="AU27" s="555"/>
      <c r="AV27" s="555"/>
      <c r="AW27" s="555"/>
      <c r="AX27" s="555"/>
      <c r="AY27" s="555"/>
      <c r="AZ27" s="555"/>
      <c r="BA27" s="555"/>
      <c r="BB27" s="555"/>
      <c r="BC27" s="555"/>
      <c r="BD27" s="555"/>
      <c r="BE27" s="555"/>
      <c r="BF27" s="555"/>
      <c r="BG27" s="555"/>
      <c r="BH27" s="555"/>
      <c r="BI27" s="555"/>
      <c r="BJ27" s="555"/>
      <c r="BK27" s="555"/>
      <c r="BL27" s="555"/>
      <c r="BM27" s="555"/>
      <c r="BN27" s="555"/>
      <c r="BO27" s="555"/>
      <c r="BP27" s="555"/>
      <c r="BQ27" s="555"/>
      <c r="BR27" s="555"/>
      <c r="BS27" s="555"/>
      <c r="BT27" s="555"/>
      <c r="BU27" s="555"/>
      <c r="BV27" s="555"/>
      <c r="BW27" s="555"/>
      <c r="BX27" s="555"/>
      <c r="BY27" s="555"/>
      <c r="BZ27" s="555"/>
      <c r="CA27" s="555"/>
      <c r="CB27" s="555"/>
      <c r="CC27" s="555"/>
      <c r="CD27" s="555"/>
      <c r="CE27" s="555"/>
      <c r="CF27" s="555"/>
      <c r="CG27" s="555"/>
      <c r="CH27" s="555"/>
      <c r="CI27" s="555"/>
      <c r="CJ27" s="555"/>
      <c r="CK27" s="555"/>
      <c r="CL27" s="555"/>
      <c r="CM27" s="555"/>
      <c r="CN27" s="555"/>
      <c r="CO27" s="555"/>
      <c r="CP27" s="555"/>
      <c r="CQ27" s="555"/>
      <c r="CR27" s="555"/>
      <c r="CS27" s="555"/>
      <c r="CT27" s="555"/>
      <c r="CU27" s="555"/>
      <c r="CV27" s="555"/>
      <c r="CW27" s="555"/>
      <c r="CX27" s="555"/>
      <c r="CY27" s="555"/>
      <c r="CZ27" s="555"/>
      <c r="DA27" s="555"/>
      <c r="DB27" s="555"/>
      <c r="DC27" s="555"/>
      <c r="DD27" s="555"/>
      <c r="DE27" s="555"/>
      <c r="DF27" s="555"/>
      <c r="DG27" s="555"/>
      <c r="DH27" s="555"/>
      <c r="DI27" s="555"/>
      <c r="DJ27" s="555"/>
      <c r="DK27" s="555"/>
      <c r="DL27" s="555"/>
      <c r="DM27" s="555"/>
      <c r="DN27" s="555"/>
      <c r="DO27" s="555"/>
      <c r="DP27" s="555"/>
      <c r="DQ27" s="555"/>
      <c r="DR27" s="555"/>
      <c r="DS27" s="555"/>
      <c r="DT27" s="555"/>
      <c r="DU27" s="555"/>
      <c r="DV27" s="555"/>
      <c r="DW27" s="555"/>
      <c r="DX27" s="555"/>
      <c r="DY27" s="555"/>
      <c r="DZ27" s="555"/>
      <c r="EA27" s="555"/>
      <c r="EB27" s="555"/>
      <c r="EC27" s="555"/>
      <c r="ED27" s="555"/>
      <c r="EE27" s="555"/>
      <c r="EF27" s="555"/>
      <c r="EG27" s="555"/>
      <c r="EH27" s="555"/>
      <c r="EI27" s="555"/>
      <c r="EJ27" s="555"/>
      <c r="EK27" s="555"/>
      <c r="EL27" s="555"/>
      <c r="EM27" s="555"/>
      <c r="EN27" s="555"/>
      <c r="EO27" s="555"/>
      <c r="EP27" s="555"/>
      <c r="EQ27" s="555"/>
      <c r="ER27" s="555"/>
      <c r="ES27" s="555"/>
      <c r="ET27" s="555"/>
      <c r="EU27" s="555"/>
      <c r="EV27" s="555"/>
      <c r="EW27" s="555"/>
      <c r="EX27" s="555"/>
      <c r="EY27" s="555"/>
      <c r="EZ27" s="555"/>
      <c r="FA27" s="555"/>
      <c r="FB27" s="555"/>
      <c r="FC27" s="555"/>
      <c r="FD27" s="555"/>
      <c r="FE27" s="555"/>
      <c r="FF27" s="555"/>
      <c r="FG27" s="555"/>
      <c r="FH27" s="555"/>
      <c r="FI27" s="555"/>
      <c r="FJ27" s="555"/>
      <c r="FK27" s="555"/>
      <c r="FL27" s="555"/>
      <c r="FM27" s="555"/>
      <c r="FN27" s="555"/>
      <c r="FO27" s="555"/>
      <c r="FP27" s="555"/>
      <c r="FQ27" s="555"/>
      <c r="FR27" s="555"/>
      <c r="FS27" s="555"/>
      <c r="FT27" s="555"/>
      <c r="FU27" s="555"/>
      <c r="FV27" s="555"/>
      <c r="FW27" s="555"/>
      <c r="FX27" s="555"/>
      <c r="FY27" s="555"/>
      <c r="FZ27" s="555"/>
      <c r="GA27" s="555"/>
      <c r="GB27" s="555"/>
      <c r="GC27" s="555"/>
      <c r="GD27" s="555"/>
      <c r="GE27" s="555"/>
      <c r="GF27" s="555"/>
      <c r="GG27" s="555"/>
      <c r="GH27" s="555"/>
      <c r="GI27" s="555"/>
      <c r="GJ27" s="555"/>
      <c r="GK27" s="555"/>
      <c r="GL27" s="555"/>
      <c r="GM27" s="555"/>
      <c r="GN27" s="555"/>
      <c r="GO27" s="555"/>
      <c r="GP27" s="555"/>
      <c r="GQ27" s="555"/>
      <c r="GR27" s="555"/>
      <c r="GS27" s="555"/>
      <c r="GT27" s="555"/>
      <c r="GU27" s="555"/>
      <c r="GV27" s="555"/>
      <c r="GW27" s="555"/>
      <c r="GX27" s="555"/>
      <c r="GY27" s="555"/>
      <c r="GZ27" s="555"/>
      <c r="HA27" s="555"/>
      <c r="HB27" s="555"/>
      <c r="HC27" s="555"/>
      <c r="HD27" s="555"/>
      <c r="HE27" s="555"/>
      <c r="HF27" s="555"/>
      <c r="HG27" s="555"/>
      <c r="HH27" s="555"/>
      <c r="HI27" s="555"/>
      <c r="HJ27" s="555"/>
      <c r="HK27" s="555"/>
      <c r="HL27" s="555"/>
      <c r="HM27" s="555"/>
      <c r="HN27" s="555"/>
      <c r="HO27" s="555"/>
      <c r="HP27" s="555"/>
      <c r="HQ27" s="555"/>
      <c r="HR27" s="555"/>
      <c r="HS27" s="555"/>
      <c r="HT27" s="555"/>
      <c r="HU27" s="555"/>
      <c r="HV27" s="555"/>
      <c r="HW27" s="555"/>
      <c r="HX27" s="555"/>
      <c r="HY27" s="555"/>
      <c r="HZ27" s="555"/>
      <c r="IA27" s="555"/>
      <c r="IB27" s="555"/>
      <c r="IC27" s="555"/>
      <c r="ID27" s="555"/>
      <c r="IE27" s="555"/>
      <c r="IF27" s="555"/>
      <c r="IG27" s="555"/>
      <c r="IH27" s="555"/>
      <c r="II27" s="555"/>
      <c r="IJ27" s="555"/>
      <c r="IK27" s="555"/>
      <c r="IL27" s="555"/>
      <c r="IM27" s="555"/>
      <c r="IN27" s="555"/>
      <c r="IO27" s="555"/>
      <c r="IP27" s="555"/>
      <c r="IQ27" s="555"/>
      <c r="IR27" s="555"/>
      <c r="IS27" s="555"/>
      <c r="IT27" s="555"/>
      <c r="IU27" s="555"/>
      <c r="IV27" s="555"/>
      <c r="IW27" s="555"/>
    </row>
    <row r="28" customFormat="false" ht="6.75" hidden="false" customHeight="true" outlineLevel="0" collapsed="false">
      <c r="A28" s="612"/>
      <c r="B28" s="612"/>
      <c r="C28" s="612"/>
      <c r="D28" s="612"/>
      <c r="E28" s="612"/>
      <c r="F28" s="612"/>
      <c r="G28" s="612"/>
      <c r="H28" s="612"/>
      <c r="I28" s="612"/>
      <c r="J28" s="612"/>
      <c r="K28" s="612"/>
      <c r="L28" s="613"/>
      <c r="M28" s="613"/>
      <c r="N28" s="613"/>
      <c r="O28" s="613"/>
      <c r="P28" s="613"/>
      <c r="Q28" s="613"/>
      <c r="R28" s="613"/>
      <c r="S28" s="613"/>
      <c r="T28" s="555"/>
      <c r="U28" s="555"/>
      <c r="V28" s="555"/>
      <c r="W28" s="555"/>
      <c r="X28" s="555"/>
      <c r="Y28" s="555"/>
      <c r="Z28" s="555"/>
      <c r="AA28" s="555"/>
      <c r="AB28" s="555"/>
      <c r="AC28" s="555"/>
      <c r="AD28" s="555"/>
      <c r="AE28" s="555"/>
      <c r="AF28" s="555"/>
      <c r="AG28" s="555"/>
      <c r="AH28" s="555"/>
      <c r="AI28" s="555"/>
      <c r="AJ28" s="555"/>
      <c r="AK28" s="555"/>
      <c r="AL28" s="555"/>
      <c r="AM28" s="555"/>
      <c r="AN28" s="555"/>
      <c r="AO28" s="555"/>
      <c r="AP28" s="555"/>
      <c r="AQ28" s="555"/>
      <c r="AR28" s="555"/>
      <c r="AS28" s="555"/>
      <c r="AT28" s="555"/>
      <c r="AU28" s="555"/>
      <c r="AV28" s="555"/>
      <c r="AW28" s="555"/>
      <c r="AX28" s="555"/>
      <c r="AY28" s="555"/>
      <c r="AZ28" s="555"/>
      <c r="BA28" s="555"/>
      <c r="BB28" s="555"/>
      <c r="BC28" s="555"/>
      <c r="BD28" s="555"/>
      <c r="BE28" s="555"/>
      <c r="BF28" s="555"/>
      <c r="BG28" s="555"/>
      <c r="BH28" s="555"/>
      <c r="BI28" s="555"/>
      <c r="BJ28" s="555"/>
      <c r="BK28" s="555"/>
      <c r="BL28" s="555"/>
      <c r="BM28" s="555"/>
      <c r="BN28" s="555"/>
      <c r="BO28" s="555"/>
      <c r="BP28" s="555"/>
      <c r="BQ28" s="555"/>
      <c r="BR28" s="555"/>
      <c r="BS28" s="555"/>
      <c r="BT28" s="555"/>
      <c r="BU28" s="555"/>
      <c r="BV28" s="555"/>
      <c r="BW28" s="555"/>
      <c r="BX28" s="555"/>
      <c r="BY28" s="555"/>
      <c r="BZ28" s="555"/>
      <c r="CA28" s="555"/>
      <c r="CB28" s="555"/>
      <c r="CC28" s="555"/>
      <c r="CD28" s="555"/>
      <c r="CE28" s="555"/>
      <c r="CF28" s="555"/>
      <c r="CG28" s="555"/>
      <c r="CH28" s="555"/>
      <c r="CI28" s="555"/>
      <c r="CJ28" s="555"/>
      <c r="CK28" s="555"/>
      <c r="CL28" s="555"/>
      <c r="CM28" s="555"/>
      <c r="CN28" s="555"/>
      <c r="CO28" s="555"/>
      <c r="CP28" s="555"/>
      <c r="CQ28" s="555"/>
      <c r="CR28" s="555"/>
      <c r="CS28" s="555"/>
      <c r="CT28" s="555"/>
      <c r="CU28" s="555"/>
      <c r="CV28" s="555"/>
      <c r="CW28" s="555"/>
      <c r="CX28" s="555"/>
      <c r="CY28" s="555"/>
      <c r="CZ28" s="555"/>
      <c r="DA28" s="555"/>
      <c r="DB28" s="555"/>
      <c r="DC28" s="555"/>
      <c r="DD28" s="555"/>
      <c r="DE28" s="555"/>
      <c r="DF28" s="555"/>
      <c r="DG28" s="555"/>
      <c r="DH28" s="555"/>
      <c r="DI28" s="555"/>
      <c r="DJ28" s="555"/>
      <c r="DK28" s="555"/>
      <c r="DL28" s="555"/>
      <c r="DM28" s="555"/>
      <c r="DN28" s="555"/>
      <c r="DO28" s="555"/>
      <c r="DP28" s="555"/>
      <c r="DQ28" s="555"/>
      <c r="DR28" s="555"/>
      <c r="DS28" s="555"/>
      <c r="DT28" s="555"/>
      <c r="DU28" s="555"/>
      <c r="DV28" s="555"/>
      <c r="DW28" s="555"/>
      <c r="DX28" s="555"/>
      <c r="DY28" s="555"/>
      <c r="DZ28" s="555"/>
      <c r="EA28" s="555"/>
      <c r="EB28" s="555"/>
      <c r="EC28" s="555"/>
      <c r="ED28" s="555"/>
      <c r="EE28" s="555"/>
      <c r="EF28" s="555"/>
      <c r="EG28" s="555"/>
      <c r="EH28" s="555"/>
      <c r="EI28" s="555"/>
      <c r="EJ28" s="555"/>
      <c r="EK28" s="555"/>
      <c r="EL28" s="555"/>
      <c r="EM28" s="555"/>
      <c r="EN28" s="555"/>
      <c r="EO28" s="555"/>
      <c r="EP28" s="555"/>
      <c r="EQ28" s="555"/>
      <c r="ER28" s="555"/>
      <c r="ES28" s="555"/>
      <c r="ET28" s="555"/>
      <c r="EU28" s="555"/>
      <c r="EV28" s="555"/>
      <c r="EW28" s="555"/>
      <c r="EX28" s="555"/>
      <c r="EY28" s="555"/>
      <c r="EZ28" s="555"/>
      <c r="FA28" s="555"/>
      <c r="FB28" s="555"/>
      <c r="FC28" s="555"/>
      <c r="FD28" s="555"/>
      <c r="FE28" s="555"/>
      <c r="FF28" s="555"/>
      <c r="FG28" s="555"/>
      <c r="FH28" s="555"/>
      <c r="FI28" s="555"/>
      <c r="FJ28" s="555"/>
      <c r="FK28" s="555"/>
      <c r="FL28" s="555"/>
      <c r="FM28" s="555"/>
      <c r="FN28" s="555"/>
      <c r="FO28" s="555"/>
      <c r="FP28" s="555"/>
      <c r="FQ28" s="555"/>
      <c r="FR28" s="555"/>
      <c r="FS28" s="555"/>
      <c r="FT28" s="555"/>
      <c r="FU28" s="555"/>
      <c r="FV28" s="555"/>
      <c r="FW28" s="555"/>
      <c r="FX28" s="555"/>
      <c r="FY28" s="555"/>
      <c r="FZ28" s="555"/>
      <c r="GA28" s="555"/>
      <c r="GB28" s="555"/>
      <c r="GC28" s="555"/>
      <c r="GD28" s="555"/>
      <c r="GE28" s="555"/>
      <c r="GF28" s="555"/>
      <c r="GG28" s="555"/>
      <c r="GH28" s="555"/>
      <c r="GI28" s="555"/>
      <c r="GJ28" s="555"/>
      <c r="GK28" s="555"/>
      <c r="GL28" s="555"/>
      <c r="GM28" s="555"/>
      <c r="GN28" s="555"/>
      <c r="GO28" s="555"/>
      <c r="GP28" s="555"/>
      <c r="GQ28" s="555"/>
      <c r="GR28" s="555"/>
      <c r="GS28" s="555"/>
      <c r="GT28" s="555"/>
      <c r="GU28" s="555"/>
      <c r="GV28" s="555"/>
      <c r="GW28" s="555"/>
      <c r="GX28" s="555"/>
      <c r="GY28" s="555"/>
      <c r="GZ28" s="555"/>
      <c r="HA28" s="555"/>
      <c r="HB28" s="555"/>
      <c r="HC28" s="555"/>
      <c r="HD28" s="555"/>
      <c r="HE28" s="555"/>
      <c r="HF28" s="555"/>
      <c r="HG28" s="555"/>
      <c r="HH28" s="555"/>
      <c r="HI28" s="555"/>
      <c r="HJ28" s="555"/>
      <c r="HK28" s="555"/>
      <c r="HL28" s="555"/>
      <c r="HM28" s="555"/>
      <c r="HN28" s="555"/>
      <c r="HO28" s="555"/>
      <c r="HP28" s="555"/>
      <c r="HQ28" s="555"/>
      <c r="HR28" s="555"/>
      <c r="HS28" s="555"/>
      <c r="HT28" s="555"/>
      <c r="HU28" s="555"/>
      <c r="HV28" s="555"/>
      <c r="HW28" s="555"/>
      <c r="HX28" s="555"/>
      <c r="HY28" s="555"/>
      <c r="HZ28" s="555"/>
      <c r="IA28" s="555"/>
      <c r="IB28" s="555"/>
      <c r="IC28" s="555"/>
      <c r="ID28" s="555"/>
      <c r="IE28" s="555"/>
      <c r="IF28" s="555"/>
      <c r="IG28" s="555"/>
      <c r="IH28" s="555"/>
      <c r="II28" s="555"/>
      <c r="IJ28" s="555"/>
      <c r="IK28" s="555"/>
      <c r="IL28" s="555"/>
      <c r="IM28" s="555"/>
      <c r="IN28" s="555"/>
      <c r="IO28" s="555"/>
      <c r="IP28" s="555"/>
      <c r="IQ28" s="555"/>
      <c r="IR28" s="555"/>
      <c r="IS28" s="555"/>
      <c r="IT28" s="555"/>
      <c r="IU28" s="555"/>
      <c r="IV28" s="555"/>
      <c r="IW28" s="555"/>
    </row>
    <row r="29" customFormat="false" ht="43.5" hidden="false" customHeight="true" outlineLevel="0" collapsed="false">
      <c r="A29" s="614" t="s">
        <v>568</v>
      </c>
      <c r="B29" s="614"/>
      <c r="C29" s="614"/>
      <c r="D29" s="614"/>
      <c r="E29" s="614"/>
      <c r="F29" s="614"/>
      <c r="G29" s="614"/>
      <c r="H29" s="614"/>
      <c r="I29" s="614"/>
      <c r="J29" s="614"/>
      <c r="K29" s="614"/>
      <c r="L29" s="614"/>
      <c r="M29" s="614"/>
      <c r="N29" s="614"/>
      <c r="O29" s="614"/>
      <c r="P29" s="614"/>
      <c r="Q29" s="614"/>
      <c r="R29" s="614"/>
      <c r="S29" s="614"/>
      <c r="T29" s="555"/>
      <c r="U29" s="555"/>
      <c r="V29" s="555"/>
      <c r="W29" s="555"/>
      <c r="X29" s="555"/>
      <c r="Y29" s="555"/>
      <c r="Z29" s="555"/>
      <c r="AA29" s="555"/>
      <c r="AB29" s="555"/>
      <c r="AC29" s="555"/>
      <c r="AD29" s="555"/>
      <c r="AE29" s="555"/>
      <c r="AF29" s="555"/>
      <c r="AG29" s="555"/>
      <c r="AH29" s="555"/>
      <c r="AI29" s="555"/>
      <c r="AJ29" s="555"/>
      <c r="AK29" s="555"/>
      <c r="AL29" s="555"/>
      <c r="AM29" s="555"/>
      <c r="AN29" s="555"/>
      <c r="AO29" s="555"/>
      <c r="AP29" s="555"/>
      <c r="AQ29" s="555"/>
      <c r="AR29" s="555"/>
      <c r="AS29" s="555"/>
      <c r="AT29" s="555"/>
      <c r="AU29" s="555"/>
      <c r="AV29" s="555"/>
      <c r="AW29" s="555"/>
      <c r="AX29" s="555"/>
      <c r="AY29" s="555"/>
      <c r="AZ29" s="555"/>
      <c r="BA29" s="555"/>
      <c r="BB29" s="555"/>
      <c r="BC29" s="555"/>
      <c r="BD29" s="555"/>
      <c r="BE29" s="555"/>
      <c r="BF29" s="555"/>
      <c r="BG29" s="555"/>
      <c r="BH29" s="555"/>
      <c r="BI29" s="555"/>
      <c r="BJ29" s="555"/>
      <c r="BK29" s="555"/>
      <c r="BL29" s="555"/>
      <c r="BM29" s="555"/>
      <c r="BN29" s="555"/>
      <c r="BO29" s="555"/>
      <c r="BP29" s="555"/>
      <c r="BQ29" s="555"/>
      <c r="BR29" s="555"/>
      <c r="BS29" s="555"/>
      <c r="BT29" s="555"/>
      <c r="BU29" s="555"/>
      <c r="BV29" s="555"/>
      <c r="BW29" s="555"/>
      <c r="BX29" s="555"/>
      <c r="BY29" s="555"/>
      <c r="BZ29" s="555"/>
      <c r="CA29" s="555"/>
      <c r="CB29" s="555"/>
      <c r="CC29" s="555"/>
      <c r="CD29" s="555"/>
      <c r="CE29" s="555"/>
      <c r="CF29" s="555"/>
      <c r="CG29" s="555"/>
      <c r="CH29" s="555"/>
      <c r="CI29" s="555"/>
      <c r="CJ29" s="555"/>
      <c r="CK29" s="555"/>
      <c r="CL29" s="555"/>
      <c r="CM29" s="555"/>
      <c r="CN29" s="555"/>
      <c r="CO29" s="555"/>
      <c r="CP29" s="555"/>
      <c r="CQ29" s="555"/>
      <c r="CR29" s="555"/>
      <c r="CS29" s="555"/>
      <c r="CT29" s="555"/>
      <c r="CU29" s="555"/>
      <c r="CV29" s="555"/>
      <c r="CW29" s="555"/>
      <c r="CX29" s="555"/>
      <c r="CY29" s="555"/>
      <c r="CZ29" s="555"/>
      <c r="DA29" s="555"/>
      <c r="DB29" s="555"/>
      <c r="DC29" s="555"/>
      <c r="DD29" s="555"/>
      <c r="DE29" s="555"/>
      <c r="DF29" s="555"/>
      <c r="DG29" s="555"/>
      <c r="DH29" s="555"/>
      <c r="DI29" s="555"/>
      <c r="DJ29" s="555"/>
      <c r="DK29" s="555"/>
      <c r="DL29" s="555"/>
      <c r="DM29" s="555"/>
      <c r="DN29" s="555"/>
      <c r="DO29" s="555"/>
      <c r="DP29" s="555"/>
      <c r="DQ29" s="555"/>
      <c r="DR29" s="555"/>
      <c r="DS29" s="555"/>
      <c r="DT29" s="555"/>
      <c r="DU29" s="555"/>
      <c r="DV29" s="555"/>
      <c r="DW29" s="555"/>
      <c r="DX29" s="555"/>
      <c r="DY29" s="555"/>
      <c r="DZ29" s="555"/>
      <c r="EA29" s="555"/>
      <c r="EB29" s="555"/>
      <c r="EC29" s="555"/>
      <c r="ED29" s="555"/>
      <c r="EE29" s="555"/>
      <c r="EF29" s="555"/>
      <c r="EG29" s="555"/>
      <c r="EH29" s="555"/>
      <c r="EI29" s="555"/>
      <c r="EJ29" s="555"/>
      <c r="EK29" s="555"/>
      <c r="EL29" s="555"/>
      <c r="EM29" s="555"/>
      <c r="EN29" s="555"/>
      <c r="EO29" s="555"/>
      <c r="EP29" s="555"/>
      <c r="EQ29" s="555"/>
      <c r="ER29" s="555"/>
      <c r="ES29" s="555"/>
      <c r="ET29" s="555"/>
      <c r="EU29" s="555"/>
      <c r="EV29" s="555"/>
      <c r="EW29" s="555"/>
      <c r="EX29" s="555"/>
      <c r="EY29" s="555"/>
      <c r="EZ29" s="555"/>
      <c r="FA29" s="555"/>
      <c r="FB29" s="555"/>
      <c r="FC29" s="555"/>
      <c r="FD29" s="555"/>
      <c r="FE29" s="555"/>
      <c r="FF29" s="555"/>
      <c r="FG29" s="555"/>
      <c r="FH29" s="555"/>
      <c r="FI29" s="555"/>
      <c r="FJ29" s="555"/>
      <c r="FK29" s="555"/>
      <c r="FL29" s="555"/>
      <c r="FM29" s="555"/>
      <c r="FN29" s="555"/>
      <c r="FO29" s="555"/>
      <c r="FP29" s="555"/>
      <c r="FQ29" s="555"/>
      <c r="FR29" s="555"/>
      <c r="FS29" s="555"/>
      <c r="FT29" s="555"/>
      <c r="FU29" s="555"/>
      <c r="FV29" s="555"/>
      <c r="FW29" s="555"/>
      <c r="FX29" s="555"/>
      <c r="FY29" s="555"/>
      <c r="FZ29" s="555"/>
      <c r="GA29" s="555"/>
      <c r="GB29" s="555"/>
      <c r="GC29" s="555"/>
      <c r="GD29" s="555"/>
      <c r="GE29" s="555"/>
      <c r="GF29" s="555"/>
      <c r="GG29" s="555"/>
      <c r="GH29" s="555"/>
      <c r="GI29" s="555"/>
      <c r="GJ29" s="555"/>
      <c r="GK29" s="555"/>
      <c r="GL29" s="555"/>
      <c r="GM29" s="555"/>
      <c r="GN29" s="555"/>
      <c r="GO29" s="555"/>
      <c r="GP29" s="555"/>
      <c r="GQ29" s="555"/>
      <c r="GR29" s="555"/>
      <c r="GS29" s="555"/>
      <c r="GT29" s="555"/>
      <c r="GU29" s="555"/>
      <c r="GV29" s="555"/>
      <c r="GW29" s="555"/>
      <c r="GX29" s="555"/>
      <c r="GY29" s="555"/>
      <c r="GZ29" s="555"/>
      <c r="HA29" s="555"/>
      <c r="HB29" s="555"/>
      <c r="HC29" s="555"/>
      <c r="HD29" s="555"/>
      <c r="HE29" s="555"/>
      <c r="HF29" s="555"/>
      <c r="HG29" s="555"/>
      <c r="HH29" s="555"/>
      <c r="HI29" s="555"/>
      <c r="HJ29" s="555"/>
      <c r="HK29" s="555"/>
      <c r="HL29" s="555"/>
      <c r="HM29" s="555"/>
      <c r="HN29" s="555"/>
      <c r="HO29" s="555"/>
      <c r="HP29" s="555"/>
      <c r="HQ29" s="555"/>
      <c r="HR29" s="555"/>
      <c r="HS29" s="555"/>
      <c r="HT29" s="555"/>
      <c r="HU29" s="555"/>
      <c r="HV29" s="555"/>
      <c r="HW29" s="555"/>
      <c r="HX29" s="555"/>
      <c r="HY29" s="555"/>
      <c r="HZ29" s="555"/>
      <c r="IA29" s="555"/>
      <c r="IB29" s="555"/>
      <c r="IC29" s="555"/>
      <c r="ID29" s="555"/>
      <c r="IE29" s="555"/>
      <c r="IF29" s="555"/>
      <c r="IG29" s="555"/>
      <c r="IH29" s="555"/>
      <c r="II29" s="555"/>
      <c r="IJ29" s="555"/>
      <c r="IK29" s="555"/>
      <c r="IL29" s="555"/>
      <c r="IM29" s="555"/>
      <c r="IN29" s="555"/>
      <c r="IO29" s="555"/>
      <c r="IP29" s="555"/>
      <c r="IQ29" s="555"/>
      <c r="IR29" s="555"/>
      <c r="IS29" s="555"/>
      <c r="IT29" s="555"/>
      <c r="IU29" s="555"/>
      <c r="IV29" s="555"/>
      <c r="IW29" s="555"/>
    </row>
    <row r="30" customFormat="false" ht="21" hidden="false" customHeight="true" outlineLevel="0" collapsed="false">
      <c r="A30" s="615"/>
      <c r="B30" s="615"/>
      <c r="C30" s="615"/>
      <c r="D30" s="615"/>
      <c r="E30" s="615"/>
      <c r="F30" s="615"/>
      <c r="G30" s="615"/>
      <c r="H30" s="615"/>
      <c r="I30" s="555"/>
      <c r="J30" s="555"/>
      <c r="K30" s="616"/>
      <c r="L30" s="617">
        <f aca="false">개요!B10</f>
      </c>
      <c r="M30" s="617"/>
      <c r="N30" s="617"/>
      <c r="O30" s="617"/>
      <c r="P30" s="617"/>
      <c r="Q30" s="617"/>
      <c r="R30" s="617"/>
      <c r="S30" s="617"/>
      <c r="T30" s="555"/>
      <c r="U30" s="555"/>
      <c r="V30" s="555"/>
      <c r="W30" s="555"/>
      <c r="X30" s="555"/>
      <c r="Y30" s="555"/>
      <c r="Z30" s="555"/>
      <c r="AA30" s="555"/>
      <c r="AB30" s="555"/>
      <c r="AC30" s="555"/>
      <c r="AD30" s="555"/>
      <c r="AE30" s="555"/>
      <c r="AF30" s="555"/>
      <c r="AG30" s="555"/>
      <c r="AH30" s="555"/>
      <c r="AI30" s="555"/>
      <c r="AJ30" s="555"/>
      <c r="AK30" s="555"/>
      <c r="AL30" s="555"/>
      <c r="AM30" s="555"/>
      <c r="AN30" s="555"/>
      <c r="AO30" s="555"/>
      <c r="AP30" s="555"/>
      <c r="AQ30" s="555"/>
      <c r="AR30" s="555"/>
      <c r="AS30" s="555"/>
      <c r="AT30" s="555"/>
      <c r="AU30" s="555"/>
      <c r="AV30" s="555"/>
      <c r="AW30" s="555"/>
      <c r="AX30" s="555"/>
      <c r="AY30" s="555"/>
      <c r="AZ30" s="555"/>
      <c r="BA30" s="555"/>
      <c r="BB30" s="555"/>
      <c r="BC30" s="555"/>
      <c r="BD30" s="555"/>
      <c r="BE30" s="555"/>
      <c r="BF30" s="555"/>
      <c r="BG30" s="555"/>
      <c r="BH30" s="555"/>
      <c r="BI30" s="555"/>
      <c r="BJ30" s="555"/>
      <c r="BK30" s="555"/>
      <c r="BL30" s="555"/>
      <c r="BM30" s="555"/>
      <c r="BN30" s="555"/>
      <c r="BO30" s="555"/>
      <c r="BP30" s="555"/>
      <c r="BQ30" s="555"/>
      <c r="BR30" s="555"/>
      <c r="BS30" s="555"/>
      <c r="BT30" s="555"/>
      <c r="BU30" s="555"/>
      <c r="BV30" s="555"/>
      <c r="BW30" s="555"/>
      <c r="BX30" s="555"/>
      <c r="BY30" s="555"/>
      <c r="BZ30" s="555"/>
      <c r="CA30" s="555"/>
      <c r="CB30" s="555"/>
      <c r="CC30" s="555"/>
      <c r="CD30" s="555"/>
      <c r="CE30" s="555"/>
      <c r="CF30" s="555"/>
      <c r="CG30" s="555"/>
      <c r="CH30" s="555"/>
      <c r="CI30" s="555"/>
      <c r="CJ30" s="555"/>
      <c r="CK30" s="555"/>
      <c r="CL30" s="555"/>
      <c r="CM30" s="555"/>
      <c r="CN30" s="555"/>
      <c r="CO30" s="555"/>
      <c r="CP30" s="555"/>
      <c r="CQ30" s="555"/>
      <c r="CR30" s="555"/>
      <c r="CS30" s="555"/>
      <c r="CT30" s="555"/>
      <c r="CU30" s="555"/>
      <c r="CV30" s="555"/>
      <c r="CW30" s="555"/>
      <c r="CX30" s="555"/>
      <c r="CY30" s="555"/>
      <c r="CZ30" s="555"/>
      <c r="DA30" s="555"/>
      <c r="DB30" s="555"/>
      <c r="DC30" s="555"/>
      <c r="DD30" s="555"/>
      <c r="DE30" s="555"/>
      <c r="DF30" s="555"/>
      <c r="DG30" s="555"/>
      <c r="DH30" s="555"/>
      <c r="DI30" s="555"/>
      <c r="DJ30" s="555"/>
      <c r="DK30" s="555"/>
      <c r="DL30" s="555"/>
      <c r="DM30" s="555"/>
      <c r="DN30" s="555"/>
      <c r="DO30" s="555"/>
      <c r="DP30" s="555"/>
      <c r="DQ30" s="555"/>
      <c r="DR30" s="555"/>
      <c r="DS30" s="555"/>
      <c r="DT30" s="555"/>
      <c r="DU30" s="555"/>
      <c r="DV30" s="555"/>
      <c r="DW30" s="555"/>
      <c r="DX30" s="555"/>
      <c r="DY30" s="555"/>
      <c r="DZ30" s="555"/>
      <c r="EA30" s="555"/>
      <c r="EB30" s="555"/>
      <c r="EC30" s="555"/>
      <c r="ED30" s="555"/>
      <c r="EE30" s="555"/>
      <c r="EF30" s="555"/>
      <c r="EG30" s="555"/>
      <c r="EH30" s="555"/>
      <c r="EI30" s="555"/>
      <c r="EJ30" s="555"/>
      <c r="EK30" s="555"/>
      <c r="EL30" s="555"/>
      <c r="EM30" s="555"/>
      <c r="EN30" s="555"/>
      <c r="EO30" s="555"/>
      <c r="EP30" s="555"/>
      <c r="EQ30" s="555"/>
      <c r="ER30" s="555"/>
      <c r="ES30" s="555"/>
      <c r="ET30" s="555"/>
      <c r="EU30" s="555"/>
      <c r="EV30" s="555"/>
      <c r="EW30" s="555"/>
      <c r="EX30" s="555"/>
      <c r="EY30" s="555"/>
      <c r="EZ30" s="555"/>
      <c r="FA30" s="555"/>
      <c r="FB30" s="555"/>
      <c r="FC30" s="555"/>
      <c r="FD30" s="555"/>
      <c r="FE30" s="555"/>
      <c r="FF30" s="555"/>
      <c r="FG30" s="555"/>
      <c r="FH30" s="555"/>
      <c r="FI30" s="555"/>
      <c r="FJ30" s="555"/>
      <c r="FK30" s="555"/>
      <c r="FL30" s="555"/>
      <c r="FM30" s="555"/>
      <c r="FN30" s="555"/>
      <c r="FO30" s="555"/>
      <c r="FP30" s="555"/>
      <c r="FQ30" s="555"/>
      <c r="FR30" s="555"/>
      <c r="FS30" s="555"/>
      <c r="FT30" s="555"/>
      <c r="FU30" s="555"/>
      <c r="FV30" s="555"/>
      <c r="FW30" s="555"/>
      <c r="FX30" s="555"/>
      <c r="FY30" s="555"/>
      <c r="FZ30" s="555"/>
      <c r="GA30" s="555"/>
      <c r="GB30" s="555"/>
      <c r="GC30" s="555"/>
      <c r="GD30" s="555"/>
      <c r="GE30" s="555"/>
      <c r="GF30" s="555"/>
      <c r="GG30" s="555"/>
      <c r="GH30" s="555"/>
      <c r="GI30" s="555"/>
      <c r="GJ30" s="555"/>
      <c r="GK30" s="555"/>
      <c r="GL30" s="555"/>
      <c r="GM30" s="555"/>
      <c r="GN30" s="555"/>
      <c r="GO30" s="555"/>
      <c r="GP30" s="555"/>
      <c r="GQ30" s="555"/>
      <c r="GR30" s="555"/>
      <c r="GS30" s="555"/>
      <c r="GT30" s="555"/>
      <c r="GU30" s="555"/>
      <c r="GV30" s="555"/>
      <c r="GW30" s="555"/>
      <c r="GX30" s="555"/>
      <c r="GY30" s="555"/>
      <c r="GZ30" s="555"/>
      <c r="HA30" s="555"/>
      <c r="HB30" s="555"/>
      <c r="HC30" s="555"/>
      <c r="HD30" s="555"/>
      <c r="HE30" s="555"/>
      <c r="HF30" s="555"/>
      <c r="HG30" s="555"/>
      <c r="HH30" s="555"/>
      <c r="HI30" s="555"/>
      <c r="HJ30" s="555"/>
      <c r="HK30" s="555"/>
      <c r="HL30" s="555"/>
      <c r="HM30" s="555"/>
      <c r="HN30" s="555"/>
      <c r="HO30" s="555"/>
      <c r="HP30" s="555"/>
      <c r="HQ30" s="555"/>
      <c r="HR30" s="555"/>
      <c r="HS30" s="555"/>
      <c r="HT30" s="555"/>
      <c r="HU30" s="555"/>
      <c r="HV30" s="555"/>
      <c r="HW30" s="555"/>
      <c r="HX30" s="555"/>
      <c r="HY30" s="555"/>
      <c r="HZ30" s="555"/>
      <c r="IA30" s="555"/>
      <c r="IB30" s="555"/>
      <c r="IC30" s="555"/>
      <c r="ID30" s="555"/>
      <c r="IE30" s="555"/>
      <c r="IF30" s="555"/>
      <c r="IG30" s="555"/>
      <c r="IH30" s="555"/>
      <c r="II30" s="555"/>
      <c r="IJ30" s="555"/>
      <c r="IK30" s="555"/>
      <c r="IL30" s="555"/>
      <c r="IM30" s="555"/>
      <c r="IN30" s="555"/>
      <c r="IO30" s="555"/>
      <c r="IP30" s="555"/>
      <c r="IQ30" s="555"/>
      <c r="IR30" s="555"/>
      <c r="IS30" s="555"/>
      <c r="IT30" s="555"/>
      <c r="IU30" s="555"/>
      <c r="IV30" s="555"/>
      <c r="IW30" s="555"/>
    </row>
    <row r="31" customFormat="false" ht="21.75" hidden="false" customHeight="true" outlineLevel="0" collapsed="false">
      <c r="A31" s="538"/>
      <c r="B31" s="538"/>
      <c r="C31" s="538"/>
      <c r="D31" s="538"/>
      <c r="E31" s="538"/>
      <c r="F31" s="538"/>
      <c r="G31" s="555"/>
      <c r="H31" s="555"/>
      <c r="I31" s="539" t="s">
        <v>569</v>
      </c>
      <c r="J31" s="539"/>
      <c r="K31" s="539"/>
      <c r="L31" s="618">
        <f aca="false">C7</f>
      </c>
      <c r="M31" s="618"/>
      <c r="N31" s="618"/>
      <c r="O31" s="618"/>
      <c r="P31" s="619" t="s">
        <v>570</v>
      </c>
      <c r="Q31" s="619"/>
      <c r="R31" s="619"/>
      <c r="S31" s="620"/>
      <c r="T31" s="555"/>
      <c r="U31" s="555"/>
      <c r="V31" s="555"/>
      <c r="W31" s="555"/>
      <c r="X31" s="555"/>
      <c r="Y31" s="555"/>
      <c r="Z31" s="555"/>
      <c r="AA31" s="555"/>
      <c r="AB31" s="555"/>
      <c r="AC31" s="555"/>
      <c r="AD31" s="555"/>
      <c r="AE31" s="555"/>
      <c r="AF31" s="555"/>
      <c r="AG31" s="555"/>
      <c r="AH31" s="555"/>
      <c r="AI31" s="555"/>
      <c r="AJ31" s="555"/>
      <c r="AK31" s="555"/>
      <c r="AL31" s="555"/>
      <c r="AM31" s="555"/>
      <c r="AN31" s="555"/>
      <c r="AO31" s="555"/>
      <c r="AP31" s="555"/>
      <c r="AQ31" s="555"/>
      <c r="AR31" s="555"/>
      <c r="AS31" s="555"/>
      <c r="AT31" s="555"/>
      <c r="AU31" s="555"/>
      <c r="AV31" s="555"/>
      <c r="AW31" s="555"/>
      <c r="AX31" s="555"/>
      <c r="AY31" s="555"/>
      <c r="AZ31" s="555"/>
      <c r="BA31" s="555"/>
      <c r="BB31" s="555"/>
      <c r="BC31" s="555"/>
      <c r="BD31" s="555"/>
      <c r="BE31" s="555"/>
      <c r="BF31" s="555"/>
      <c r="BG31" s="555"/>
      <c r="BH31" s="555"/>
      <c r="BI31" s="555"/>
      <c r="BJ31" s="555"/>
      <c r="BK31" s="555"/>
      <c r="BL31" s="555"/>
      <c r="BM31" s="555"/>
      <c r="BN31" s="555"/>
      <c r="BO31" s="555"/>
      <c r="BP31" s="555"/>
      <c r="BQ31" s="555"/>
      <c r="BR31" s="555"/>
      <c r="BS31" s="555"/>
      <c r="BT31" s="555"/>
      <c r="BU31" s="555"/>
      <c r="BV31" s="555"/>
      <c r="BW31" s="555"/>
      <c r="BX31" s="555"/>
      <c r="BY31" s="555"/>
      <c r="BZ31" s="555"/>
      <c r="CA31" s="555"/>
      <c r="CB31" s="555"/>
      <c r="CC31" s="555"/>
      <c r="CD31" s="555"/>
      <c r="CE31" s="555"/>
      <c r="CF31" s="555"/>
      <c r="CG31" s="555"/>
      <c r="CH31" s="555"/>
      <c r="CI31" s="555"/>
      <c r="CJ31" s="555"/>
      <c r="CK31" s="555"/>
      <c r="CL31" s="555"/>
      <c r="CM31" s="555"/>
      <c r="CN31" s="555"/>
      <c r="CO31" s="555"/>
      <c r="CP31" s="555"/>
      <c r="CQ31" s="555"/>
      <c r="CR31" s="555"/>
      <c r="CS31" s="555"/>
      <c r="CT31" s="555"/>
      <c r="CU31" s="555"/>
      <c r="CV31" s="555"/>
      <c r="CW31" s="555"/>
      <c r="CX31" s="555"/>
      <c r="CY31" s="555"/>
      <c r="CZ31" s="555"/>
      <c r="DA31" s="555"/>
      <c r="DB31" s="555"/>
      <c r="DC31" s="555"/>
      <c r="DD31" s="555"/>
      <c r="DE31" s="555"/>
      <c r="DF31" s="555"/>
      <c r="DG31" s="555"/>
      <c r="DH31" s="555"/>
      <c r="DI31" s="555"/>
      <c r="DJ31" s="555"/>
      <c r="DK31" s="555"/>
      <c r="DL31" s="555"/>
      <c r="DM31" s="555"/>
      <c r="DN31" s="555"/>
      <c r="DO31" s="555"/>
      <c r="DP31" s="555"/>
      <c r="DQ31" s="555"/>
      <c r="DR31" s="555"/>
      <c r="DS31" s="555"/>
      <c r="DT31" s="555"/>
      <c r="DU31" s="555"/>
      <c r="DV31" s="555"/>
      <c r="DW31" s="555"/>
      <c r="DX31" s="555"/>
      <c r="DY31" s="555"/>
      <c r="DZ31" s="555"/>
      <c r="EA31" s="555"/>
      <c r="EB31" s="555"/>
      <c r="EC31" s="555"/>
      <c r="ED31" s="555"/>
      <c r="EE31" s="555"/>
      <c r="EF31" s="555"/>
      <c r="EG31" s="555"/>
      <c r="EH31" s="555"/>
      <c r="EI31" s="555"/>
      <c r="EJ31" s="555"/>
      <c r="EK31" s="555"/>
      <c r="EL31" s="555"/>
      <c r="EM31" s="555"/>
      <c r="EN31" s="555"/>
      <c r="EO31" s="555"/>
      <c r="EP31" s="555"/>
      <c r="EQ31" s="555"/>
      <c r="ER31" s="555"/>
      <c r="ES31" s="555"/>
      <c r="ET31" s="555"/>
      <c r="EU31" s="555"/>
      <c r="EV31" s="555"/>
      <c r="EW31" s="555"/>
      <c r="EX31" s="555"/>
      <c r="EY31" s="555"/>
      <c r="EZ31" s="555"/>
      <c r="FA31" s="555"/>
      <c r="FB31" s="555"/>
      <c r="FC31" s="555"/>
      <c r="FD31" s="555"/>
      <c r="FE31" s="555"/>
      <c r="FF31" s="555"/>
      <c r="FG31" s="555"/>
      <c r="FH31" s="555"/>
      <c r="FI31" s="555"/>
      <c r="FJ31" s="555"/>
      <c r="FK31" s="555"/>
      <c r="FL31" s="555"/>
      <c r="FM31" s="555"/>
      <c r="FN31" s="555"/>
      <c r="FO31" s="555"/>
      <c r="FP31" s="555"/>
      <c r="FQ31" s="555"/>
      <c r="FR31" s="555"/>
      <c r="FS31" s="555"/>
      <c r="FT31" s="555"/>
      <c r="FU31" s="555"/>
      <c r="FV31" s="555"/>
      <c r="FW31" s="555"/>
      <c r="FX31" s="555"/>
      <c r="FY31" s="555"/>
      <c r="FZ31" s="555"/>
      <c r="GA31" s="555"/>
      <c r="GB31" s="555"/>
      <c r="GC31" s="555"/>
      <c r="GD31" s="555"/>
      <c r="GE31" s="555"/>
      <c r="GF31" s="555"/>
      <c r="GG31" s="555"/>
      <c r="GH31" s="555"/>
      <c r="GI31" s="555"/>
      <c r="GJ31" s="555"/>
      <c r="GK31" s="555"/>
      <c r="GL31" s="555"/>
      <c r="GM31" s="555"/>
      <c r="GN31" s="555"/>
      <c r="GO31" s="555"/>
      <c r="GP31" s="555"/>
      <c r="GQ31" s="555"/>
      <c r="GR31" s="555"/>
      <c r="GS31" s="555"/>
      <c r="GT31" s="555"/>
      <c r="GU31" s="555"/>
      <c r="GV31" s="555"/>
      <c r="GW31" s="555"/>
      <c r="GX31" s="555"/>
      <c r="GY31" s="555"/>
      <c r="GZ31" s="555"/>
      <c r="HA31" s="555"/>
      <c r="HB31" s="555"/>
      <c r="HC31" s="555"/>
      <c r="HD31" s="555"/>
      <c r="HE31" s="555"/>
      <c r="HF31" s="555"/>
      <c r="HG31" s="555"/>
      <c r="HH31" s="555"/>
      <c r="HI31" s="555"/>
      <c r="HJ31" s="555"/>
      <c r="HK31" s="555"/>
      <c r="HL31" s="555"/>
      <c r="HM31" s="555"/>
      <c r="HN31" s="555"/>
      <c r="HO31" s="555"/>
      <c r="HP31" s="555"/>
      <c r="HQ31" s="555"/>
      <c r="HR31" s="555"/>
      <c r="HS31" s="555"/>
      <c r="HT31" s="555"/>
      <c r="HU31" s="555"/>
      <c r="HV31" s="555"/>
      <c r="HW31" s="555"/>
      <c r="HX31" s="555"/>
      <c r="HY31" s="555"/>
      <c r="HZ31" s="555"/>
      <c r="IA31" s="555"/>
      <c r="IB31" s="555"/>
      <c r="IC31" s="555"/>
      <c r="ID31" s="555"/>
      <c r="IE31" s="555"/>
      <c r="IF31" s="555"/>
      <c r="IG31" s="555"/>
      <c r="IH31" s="555"/>
      <c r="II31" s="555"/>
      <c r="IJ31" s="555"/>
      <c r="IK31" s="555"/>
      <c r="IL31" s="555"/>
      <c r="IM31" s="555"/>
      <c r="IN31" s="555"/>
      <c r="IO31" s="555"/>
      <c r="IP31" s="555"/>
      <c r="IQ31" s="555"/>
      <c r="IR31" s="555"/>
      <c r="IS31" s="555"/>
      <c r="IT31" s="555"/>
      <c r="IU31" s="555"/>
      <c r="IV31" s="555"/>
      <c r="IW31" s="555"/>
    </row>
    <row r="32" customFormat="false" ht="6.75" hidden="false" customHeight="true" outlineLevel="0" collapsed="false">
      <c r="A32" s="621"/>
      <c r="B32" s="621"/>
      <c r="C32" s="621"/>
      <c r="D32" s="621"/>
      <c r="E32" s="621"/>
      <c r="F32" s="621"/>
      <c r="G32" s="621"/>
      <c r="H32" s="621"/>
      <c r="I32" s="621"/>
      <c r="J32" s="621"/>
      <c r="K32" s="621"/>
      <c r="L32" s="615"/>
      <c r="M32" s="615"/>
      <c r="N32" s="615"/>
      <c r="O32" s="615"/>
      <c r="P32" s="615"/>
      <c r="Q32" s="615"/>
      <c r="R32" s="615"/>
      <c r="S32" s="615"/>
      <c r="T32" s="555"/>
      <c r="U32" s="555"/>
      <c r="V32" s="555"/>
      <c r="W32" s="555"/>
      <c r="X32" s="555"/>
      <c r="Y32" s="555"/>
      <c r="Z32" s="555"/>
      <c r="AA32" s="555"/>
      <c r="AB32" s="555"/>
      <c r="AC32" s="555"/>
      <c r="AD32" s="555"/>
      <c r="AE32" s="555"/>
      <c r="AF32" s="555"/>
      <c r="AG32" s="555"/>
      <c r="AH32" s="555"/>
      <c r="AI32" s="555"/>
      <c r="AJ32" s="555"/>
      <c r="AK32" s="555"/>
      <c r="AL32" s="555"/>
      <c r="AM32" s="555"/>
      <c r="AN32" s="555"/>
      <c r="AO32" s="555"/>
      <c r="AP32" s="555"/>
      <c r="AQ32" s="555"/>
      <c r="AR32" s="555"/>
      <c r="AS32" s="555"/>
      <c r="AT32" s="555"/>
      <c r="AU32" s="555"/>
      <c r="AV32" s="555"/>
      <c r="AW32" s="555"/>
      <c r="AX32" s="555"/>
      <c r="AY32" s="555"/>
      <c r="AZ32" s="555"/>
      <c r="BA32" s="555"/>
      <c r="BB32" s="555"/>
      <c r="BC32" s="555"/>
      <c r="BD32" s="555"/>
      <c r="BE32" s="555"/>
      <c r="BF32" s="555"/>
      <c r="BG32" s="555"/>
      <c r="BH32" s="555"/>
      <c r="BI32" s="555"/>
      <c r="BJ32" s="555"/>
      <c r="BK32" s="555"/>
      <c r="BL32" s="555"/>
      <c r="BM32" s="555"/>
      <c r="BN32" s="555"/>
      <c r="BO32" s="555"/>
      <c r="BP32" s="555"/>
      <c r="BQ32" s="555"/>
      <c r="BR32" s="555"/>
      <c r="BS32" s="555"/>
      <c r="BT32" s="555"/>
      <c r="BU32" s="555"/>
      <c r="BV32" s="555"/>
      <c r="BW32" s="555"/>
      <c r="BX32" s="555"/>
      <c r="BY32" s="555"/>
      <c r="BZ32" s="555"/>
      <c r="CA32" s="555"/>
      <c r="CB32" s="555"/>
      <c r="CC32" s="555"/>
      <c r="CD32" s="555"/>
      <c r="CE32" s="555"/>
      <c r="CF32" s="555"/>
      <c r="CG32" s="555"/>
      <c r="CH32" s="555"/>
      <c r="CI32" s="555"/>
      <c r="CJ32" s="555"/>
      <c r="CK32" s="555"/>
      <c r="CL32" s="555"/>
      <c r="CM32" s="555"/>
      <c r="CN32" s="555"/>
      <c r="CO32" s="555"/>
      <c r="CP32" s="555"/>
      <c r="CQ32" s="555"/>
      <c r="CR32" s="555"/>
      <c r="CS32" s="555"/>
      <c r="CT32" s="555"/>
      <c r="CU32" s="555"/>
      <c r="CV32" s="555"/>
      <c r="CW32" s="555"/>
      <c r="CX32" s="555"/>
      <c r="CY32" s="555"/>
      <c r="CZ32" s="555"/>
      <c r="DA32" s="555"/>
      <c r="DB32" s="555"/>
      <c r="DC32" s="555"/>
      <c r="DD32" s="555"/>
      <c r="DE32" s="555"/>
      <c r="DF32" s="555"/>
      <c r="DG32" s="555"/>
      <c r="DH32" s="555"/>
      <c r="DI32" s="555"/>
      <c r="DJ32" s="555"/>
      <c r="DK32" s="555"/>
      <c r="DL32" s="555"/>
      <c r="DM32" s="555"/>
      <c r="DN32" s="555"/>
      <c r="DO32" s="555"/>
      <c r="DP32" s="555"/>
      <c r="DQ32" s="555"/>
      <c r="DR32" s="555"/>
      <c r="DS32" s="555"/>
      <c r="DT32" s="555"/>
      <c r="DU32" s="555"/>
      <c r="DV32" s="555"/>
      <c r="DW32" s="555"/>
      <c r="DX32" s="555"/>
      <c r="DY32" s="555"/>
      <c r="DZ32" s="555"/>
      <c r="EA32" s="555"/>
      <c r="EB32" s="555"/>
      <c r="EC32" s="555"/>
      <c r="ED32" s="555"/>
      <c r="EE32" s="555"/>
      <c r="EF32" s="555"/>
      <c r="EG32" s="555"/>
      <c r="EH32" s="555"/>
      <c r="EI32" s="555"/>
      <c r="EJ32" s="555"/>
      <c r="EK32" s="555"/>
      <c r="EL32" s="555"/>
      <c r="EM32" s="555"/>
      <c r="EN32" s="555"/>
      <c r="EO32" s="555"/>
      <c r="EP32" s="555"/>
      <c r="EQ32" s="555"/>
      <c r="ER32" s="555"/>
      <c r="ES32" s="555"/>
      <c r="ET32" s="555"/>
      <c r="EU32" s="555"/>
      <c r="EV32" s="555"/>
      <c r="EW32" s="555"/>
      <c r="EX32" s="555"/>
      <c r="EY32" s="555"/>
      <c r="EZ32" s="555"/>
      <c r="FA32" s="555"/>
      <c r="FB32" s="555"/>
      <c r="FC32" s="555"/>
      <c r="FD32" s="555"/>
      <c r="FE32" s="555"/>
      <c r="FF32" s="555"/>
      <c r="FG32" s="555"/>
      <c r="FH32" s="555"/>
      <c r="FI32" s="555"/>
      <c r="FJ32" s="555"/>
      <c r="FK32" s="555"/>
      <c r="FL32" s="555"/>
      <c r="FM32" s="555"/>
      <c r="FN32" s="555"/>
      <c r="FO32" s="555"/>
      <c r="FP32" s="555"/>
      <c r="FQ32" s="555"/>
      <c r="FR32" s="555"/>
      <c r="FS32" s="555"/>
      <c r="FT32" s="555"/>
      <c r="FU32" s="555"/>
      <c r="FV32" s="555"/>
      <c r="FW32" s="555"/>
      <c r="FX32" s="555"/>
      <c r="FY32" s="555"/>
      <c r="FZ32" s="555"/>
      <c r="GA32" s="555"/>
      <c r="GB32" s="555"/>
      <c r="GC32" s="555"/>
      <c r="GD32" s="555"/>
      <c r="GE32" s="555"/>
      <c r="GF32" s="555"/>
      <c r="GG32" s="555"/>
      <c r="GH32" s="555"/>
      <c r="GI32" s="555"/>
      <c r="GJ32" s="555"/>
      <c r="GK32" s="555"/>
      <c r="GL32" s="555"/>
      <c r="GM32" s="555"/>
      <c r="GN32" s="555"/>
      <c r="GO32" s="555"/>
      <c r="GP32" s="555"/>
      <c r="GQ32" s="555"/>
      <c r="GR32" s="555"/>
      <c r="GS32" s="555"/>
      <c r="GT32" s="555"/>
      <c r="GU32" s="555"/>
      <c r="GV32" s="555"/>
      <c r="GW32" s="555"/>
      <c r="GX32" s="555"/>
      <c r="GY32" s="555"/>
      <c r="GZ32" s="555"/>
      <c r="HA32" s="555"/>
      <c r="HB32" s="555"/>
      <c r="HC32" s="555"/>
      <c r="HD32" s="555"/>
      <c r="HE32" s="555"/>
      <c r="HF32" s="555"/>
      <c r="HG32" s="555"/>
      <c r="HH32" s="555"/>
      <c r="HI32" s="555"/>
      <c r="HJ32" s="555"/>
      <c r="HK32" s="555"/>
      <c r="HL32" s="555"/>
      <c r="HM32" s="555"/>
      <c r="HN32" s="555"/>
      <c r="HO32" s="555"/>
      <c r="HP32" s="555"/>
      <c r="HQ32" s="555"/>
      <c r="HR32" s="555"/>
      <c r="HS32" s="555"/>
      <c r="HT32" s="555"/>
      <c r="HU32" s="555"/>
      <c r="HV32" s="555"/>
      <c r="HW32" s="555"/>
      <c r="HX32" s="555"/>
      <c r="HY32" s="555"/>
      <c r="HZ32" s="555"/>
      <c r="IA32" s="555"/>
      <c r="IB32" s="555"/>
      <c r="IC32" s="555"/>
      <c r="ID32" s="555"/>
      <c r="IE32" s="555"/>
      <c r="IF32" s="555"/>
      <c r="IG32" s="555"/>
      <c r="IH32" s="555"/>
      <c r="II32" s="555"/>
      <c r="IJ32" s="555"/>
      <c r="IK32" s="555"/>
      <c r="IL32" s="555"/>
      <c r="IM32" s="555"/>
      <c r="IN32" s="555"/>
      <c r="IO32" s="555"/>
      <c r="IP32" s="555"/>
      <c r="IQ32" s="555"/>
      <c r="IR32" s="555"/>
      <c r="IS32" s="555"/>
      <c r="IT32" s="555"/>
      <c r="IU32" s="555"/>
      <c r="IV32" s="555"/>
      <c r="IW32" s="555"/>
    </row>
    <row r="33" customFormat="false" ht="16.5" hidden="false" customHeight="true" outlineLevel="0" collapsed="false">
      <c r="A33" s="622">
        <f aca="false">개요!D14</f>
      </c>
      <c r="B33" s="623" t="s">
        <v>571</v>
      </c>
      <c r="C33" s="623"/>
      <c r="D33" s="623"/>
      <c r="E33" s="623"/>
      <c r="F33" s="623"/>
      <c r="G33" s="623"/>
      <c r="H33" s="624"/>
      <c r="I33" s="624"/>
      <c r="J33" s="624"/>
      <c r="K33" s="624"/>
      <c r="L33" s="625"/>
      <c r="M33" s="625"/>
      <c r="N33" s="625"/>
      <c r="O33" s="625"/>
      <c r="P33" s="625"/>
      <c r="Q33" s="625"/>
      <c r="R33" s="625"/>
      <c r="S33" s="62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c r="AW33" s="555"/>
      <c r="AX33" s="555"/>
      <c r="AY33" s="555"/>
      <c r="AZ33" s="555"/>
      <c r="BA33" s="555"/>
      <c r="BB33" s="555"/>
      <c r="BC33" s="555"/>
      <c r="BD33" s="555"/>
      <c r="BE33" s="555"/>
      <c r="BF33" s="555"/>
      <c r="BG33" s="555"/>
      <c r="BH33" s="555"/>
      <c r="BI33" s="555"/>
      <c r="BJ33" s="555"/>
      <c r="BK33" s="555"/>
      <c r="BL33" s="555"/>
      <c r="BM33" s="555"/>
      <c r="BN33" s="555"/>
      <c r="BO33" s="555"/>
      <c r="BP33" s="555"/>
      <c r="BQ33" s="555"/>
      <c r="BR33" s="555"/>
      <c r="BS33" s="555"/>
      <c r="BT33" s="555"/>
      <c r="BU33" s="555"/>
      <c r="BV33" s="555"/>
      <c r="BW33" s="555"/>
      <c r="BX33" s="555"/>
      <c r="BY33" s="555"/>
      <c r="BZ33" s="555"/>
      <c r="CA33" s="555"/>
      <c r="CB33" s="555"/>
      <c r="CC33" s="555"/>
      <c r="CD33" s="555"/>
      <c r="CE33" s="555"/>
      <c r="CF33" s="555"/>
      <c r="CG33" s="555"/>
      <c r="CH33" s="555"/>
      <c r="CI33" s="555"/>
      <c r="CJ33" s="555"/>
      <c r="CK33" s="555"/>
      <c r="CL33" s="555"/>
      <c r="CM33" s="555"/>
      <c r="CN33" s="555"/>
      <c r="CO33" s="555"/>
      <c r="CP33" s="555"/>
      <c r="CQ33" s="555"/>
      <c r="CR33" s="555"/>
      <c r="CS33" s="555"/>
      <c r="CT33" s="555"/>
      <c r="CU33" s="555"/>
      <c r="CV33" s="555"/>
      <c r="CW33" s="555"/>
      <c r="CX33" s="555"/>
      <c r="CY33" s="555"/>
      <c r="CZ33" s="555"/>
      <c r="DA33" s="555"/>
      <c r="DB33" s="555"/>
      <c r="DC33" s="555"/>
      <c r="DD33" s="555"/>
      <c r="DE33" s="555"/>
      <c r="DF33" s="555"/>
      <c r="DG33" s="555"/>
      <c r="DH33" s="555"/>
      <c r="DI33" s="555"/>
      <c r="DJ33" s="555"/>
      <c r="DK33" s="555"/>
      <c r="DL33" s="555"/>
      <c r="DM33" s="555"/>
      <c r="DN33" s="555"/>
      <c r="DO33" s="555"/>
      <c r="DP33" s="555"/>
      <c r="DQ33" s="555"/>
      <c r="DR33" s="555"/>
      <c r="DS33" s="555"/>
      <c r="DT33" s="555"/>
      <c r="DU33" s="555"/>
      <c r="DV33" s="555"/>
      <c r="DW33" s="555"/>
      <c r="DX33" s="555"/>
      <c r="DY33" s="555"/>
      <c r="DZ33" s="555"/>
      <c r="EA33" s="555"/>
      <c r="EB33" s="555"/>
      <c r="EC33" s="555"/>
      <c r="ED33" s="555"/>
      <c r="EE33" s="555"/>
      <c r="EF33" s="555"/>
      <c r="EG33" s="555"/>
      <c r="EH33" s="555"/>
      <c r="EI33" s="555"/>
      <c r="EJ33" s="555"/>
      <c r="EK33" s="555"/>
      <c r="EL33" s="555"/>
      <c r="EM33" s="555"/>
      <c r="EN33" s="555"/>
      <c r="EO33" s="555"/>
      <c r="EP33" s="555"/>
      <c r="EQ33" s="555"/>
      <c r="ER33" s="555"/>
      <c r="ES33" s="555"/>
      <c r="ET33" s="555"/>
      <c r="EU33" s="555"/>
      <c r="EV33" s="555"/>
      <c r="EW33" s="555"/>
      <c r="EX33" s="555"/>
      <c r="EY33" s="555"/>
      <c r="EZ33" s="555"/>
      <c r="FA33" s="555"/>
      <c r="FB33" s="555"/>
      <c r="FC33" s="555"/>
      <c r="FD33" s="555"/>
      <c r="FE33" s="555"/>
      <c r="FF33" s="555"/>
      <c r="FG33" s="555"/>
      <c r="FH33" s="555"/>
      <c r="FI33" s="555"/>
      <c r="FJ33" s="555"/>
      <c r="FK33" s="555"/>
      <c r="FL33" s="555"/>
      <c r="FM33" s="555"/>
      <c r="FN33" s="555"/>
      <c r="FO33" s="555"/>
      <c r="FP33" s="555"/>
      <c r="FQ33" s="555"/>
      <c r="FR33" s="555"/>
      <c r="FS33" s="555"/>
      <c r="FT33" s="555"/>
      <c r="FU33" s="555"/>
      <c r="FV33" s="555"/>
      <c r="FW33" s="555"/>
      <c r="FX33" s="555"/>
      <c r="FY33" s="555"/>
      <c r="FZ33" s="555"/>
      <c r="GA33" s="555"/>
      <c r="GB33" s="555"/>
      <c r="GC33" s="555"/>
      <c r="GD33" s="555"/>
      <c r="GE33" s="555"/>
      <c r="GF33" s="555"/>
      <c r="GG33" s="555"/>
      <c r="GH33" s="555"/>
      <c r="GI33" s="555"/>
      <c r="GJ33" s="555"/>
      <c r="GK33" s="555"/>
      <c r="GL33" s="555"/>
      <c r="GM33" s="555"/>
      <c r="GN33" s="555"/>
      <c r="GO33" s="555"/>
      <c r="GP33" s="555"/>
      <c r="GQ33" s="555"/>
      <c r="GR33" s="555"/>
      <c r="GS33" s="555"/>
      <c r="GT33" s="555"/>
      <c r="GU33" s="555"/>
      <c r="GV33" s="555"/>
      <c r="GW33" s="555"/>
      <c r="GX33" s="555"/>
      <c r="GY33" s="555"/>
      <c r="GZ33" s="555"/>
      <c r="HA33" s="555"/>
      <c r="HB33" s="555"/>
      <c r="HC33" s="555"/>
      <c r="HD33" s="555"/>
      <c r="HE33" s="555"/>
      <c r="HF33" s="555"/>
      <c r="HG33" s="555"/>
      <c r="HH33" s="555"/>
      <c r="HI33" s="555"/>
      <c r="HJ33" s="555"/>
      <c r="HK33" s="555"/>
      <c r="HL33" s="555"/>
      <c r="HM33" s="555"/>
      <c r="HN33" s="555"/>
      <c r="HO33" s="555"/>
      <c r="HP33" s="555"/>
      <c r="HQ33" s="555"/>
      <c r="HR33" s="555"/>
      <c r="HS33" s="555"/>
      <c r="HT33" s="555"/>
      <c r="HU33" s="555"/>
      <c r="HV33" s="555"/>
      <c r="HW33" s="555"/>
      <c r="HX33" s="555"/>
      <c r="HY33" s="555"/>
      <c r="HZ33" s="555"/>
      <c r="IA33" s="555"/>
      <c r="IB33" s="555"/>
      <c r="IC33" s="555"/>
      <c r="ID33" s="555"/>
      <c r="IE33" s="555"/>
      <c r="IF33" s="555"/>
      <c r="IG33" s="555"/>
      <c r="IH33" s="555"/>
      <c r="II33" s="555"/>
      <c r="IJ33" s="555"/>
      <c r="IK33" s="555"/>
      <c r="IL33" s="555"/>
      <c r="IM33" s="555"/>
      <c r="IN33" s="555"/>
      <c r="IO33" s="555"/>
      <c r="IP33" s="555"/>
      <c r="IQ33" s="555"/>
      <c r="IR33" s="555"/>
      <c r="IS33" s="555"/>
      <c r="IT33" s="555"/>
      <c r="IU33" s="555"/>
      <c r="IV33" s="555"/>
      <c r="IW33" s="555"/>
    </row>
    <row r="34" customFormat="false" ht="9" hidden="false" customHeight="true" outlineLevel="0" collapsed="false">
      <c r="A34" s="626"/>
      <c r="B34" s="626"/>
      <c r="C34" s="626"/>
      <c r="D34" s="626"/>
      <c r="E34" s="626"/>
      <c r="F34" s="626"/>
      <c r="G34" s="626"/>
      <c r="H34" s="626"/>
      <c r="I34" s="626"/>
      <c r="J34" s="626"/>
      <c r="K34" s="626"/>
      <c r="L34" s="626"/>
      <c r="M34" s="626"/>
      <c r="N34" s="626"/>
      <c r="O34" s="626"/>
      <c r="P34" s="626"/>
      <c r="Q34" s="626"/>
      <c r="R34" s="626"/>
      <c r="S34" s="626"/>
      <c r="T34" s="555"/>
      <c r="U34" s="555"/>
      <c r="V34" s="555"/>
      <c r="W34" s="555"/>
      <c r="X34" s="555"/>
      <c r="Y34" s="555"/>
      <c r="Z34" s="555"/>
      <c r="AA34" s="555"/>
      <c r="AB34" s="555"/>
      <c r="AC34" s="555"/>
      <c r="AD34" s="555"/>
      <c r="AE34" s="555"/>
      <c r="AF34" s="555"/>
      <c r="AG34" s="555"/>
      <c r="AH34" s="555"/>
      <c r="AI34" s="555"/>
      <c r="AJ34" s="555"/>
      <c r="AK34" s="555"/>
      <c r="AL34" s="555"/>
      <c r="AM34" s="555"/>
      <c r="AN34" s="555"/>
      <c r="AO34" s="555"/>
      <c r="AP34" s="555"/>
      <c r="AQ34" s="555"/>
      <c r="AR34" s="555"/>
      <c r="AS34" s="555"/>
      <c r="AT34" s="555"/>
      <c r="AU34" s="555"/>
      <c r="AV34" s="555"/>
      <c r="AW34" s="555"/>
      <c r="AX34" s="555"/>
      <c r="AY34" s="555"/>
      <c r="AZ34" s="555"/>
      <c r="BA34" s="555"/>
      <c r="BB34" s="555"/>
      <c r="BC34" s="555"/>
      <c r="BD34" s="555"/>
      <c r="BE34" s="555"/>
      <c r="BF34" s="555"/>
      <c r="BG34" s="555"/>
      <c r="BH34" s="555"/>
      <c r="BI34" s="555"/>
      <c r="BJ34" s="555"/>
      <c r="BK34" s="555"/>
      <c r="BL34" s="555"/>
      <c r="BM34" s="555"/>
      <c r="BN34" s="555"/>
      <c r="BO34" s="555"/>
      <c r="BP34" s="555"/>
      <c r="BQ34" s="555"/>
      <c r="BR34" s="555"/>
      <c r="BS34" s="555"/>
      <c r="BT34" s="555"/>
      <c r="BU34" s="555"/>
      <c r="BV34" s="555"/>
      <c r="BW34" s="555"/>
      <c r="BX34" s="555"/>
      <c r="BY34" s="555"/>
      <c r="BZ34" s="555"/>
      <c r="CA34" s="555"/>
      <c r="CB34" s="555"/>
      <c r="CC34" s="555"/>
      <c r="CD34" s="555"/>
      <c r="CE34" s="555"/>
      <c r="CF34" s="555"/>
      <c r="CG34" s="555"/>
      <c r="CH34" s="555"/>
      <c r="CI34" s="555"/>
      <c r="CJ34" s="555"/>
      <c r="CK34" s="555"/>
      <c r="CL34" s="555"/>
      <c r="CM34" s="555"/>
      <c r="CN34" s="555"/>
      <c r="CO34" s="555"/>
      <c r="CP34" s="555"/>
      <c r="CQ34" s="555"/>
      <c r="CR34" s="555"/>
      <c r="CS34" s="555"/>
      <c r="CT34" s="555"/>
      <c r="CU34" s="555"/>
      <c r="CV34" s="555"/>
      <c r="CW34" s="555"/>
      <c r="CX34" s="555"/>
      <c r="CY34" s="555"/>
      <c r="CZ34" s="555"/>
      <c r="DA34" s="555"/>
      <c r="DB34" s="555"/>
      <c r="DC34" s="555"/>
      <c r="DD34" s="555"/>
      <c r="DE34" s="555"/>
      <c r="DF34" s="555"/>
      <c r="DG34" s="555"/>
      <c r="DH34" s="555"/>
      <c r="DI34" s="555"/>
      <c r="DJ34" s="555"/>
      <c r="DK34" s="555"/>
      <c r="DL34" s="555"/>
      <c r="DM34" s="555"/>
      <c r="DN34" s="555"/>
      <c r="DO34" s="555"/>
      <c r="DP34" s="555"/>
      <c r="DQ34" s="555"/>
      <c r="DR34" s="555"/>
      <c r="DS34" s="555"/>
      <c r="DT34" s="555"/>
      <c r="DU34" s="555"/>
      <c r="DV34" s="555"/>
      <c r="DW34" s="555"/>
      <c r="DX34" s="555"/>
      <c r="DY34" s="555"/>
      <c r="DZ34" s="555"/>
      <c r="EA34" s="555"/>
      <c r="EB34" s="555"/>
      <c r="EC34" s="555"/>
      <c r="ED34" s="555"/>
      <c r="EE34" s="555"/>
      <c r="EF34" s="555"/>
      <c r="EG34" s="555"/>
      <c r="EH34" s="555"/>
      <c r="EI34" s="555"/>
      <c r="EJ34" s="555"/>
      <c r="EK34" s="555"/>
      <c r="EL34" s="555"/>
      <c r="EM34" s="555"/>
      <c r="EN34" s="555"/>
      <c r="EO34" s="555"/>
      <c r="EP34" s="555"/>
      <c r="EQ34" s="555"/>
      <c r="ER34" s="555"/>
      <c r="ES34" s="555"/>
      <c r="ET34" s="555"/>
      <c r="EU34" s="555"/>
      <c r="EV34" s="555"/>
      <c r="EW34" s="555"/>
      <c r="EX34" s="555"/>
      <c r="EY34" s="555"/>
      <c r="EZ34" s="555"/>
      <c r="FA34" s="555"/>
      <c r="FB34" s="555"/>
      <c r="FC34" s="555"/>
      <c r="FD34" s="555"/>
      <c r="FE34" s="555"/>
      <c r="FF34" s="555"/>
      <c r="FG34" s="555"/>
      <c r="FH34" s="555"/>
      <c r="FI34" s="555"/>
      <c r="FJ34" s="555"/>
      <c r="FK34" s="555"/>
      <c r="FL34" s="555"/>
      <c r="FM34" s="555"/>
      <c r="FN34" s="555"/>
      <c r="FO34" s="555"/>
      <c r="FP34" s="555"/>
      <c r="FQ34" s="555"/>
      <c r="FR34" s="555"/>
      <c r="FS34" s="555"/>
      <c r="FT34" s="555"/>
      <c r="FU34" s="555"/>
      <c r="FV34" s="555"/>
      <c r="FW34" s="555"/>
      <c r="FX34" s="555"/>
      <c r="FY34" s="555"/>
      <c r="FZ34" s="555"/>
      <c r="GA34" s="555"/>
      <c r="GB34" s="555"/>
      <c r="GC34" s="555"/>
      <c r="GD34" s="555"/>
      <c r="GE34" s="555"/>
      <c r="GF34" s="555"/>
      <c r="GG34" s="555"/>
      <c r="GH34" s="555"/>
      <c r="GI34" s="555"/>
      <c r="GJ34" s="555"/>
      <c r="GK34" s="555"/>
      <c r="GL34" s="555"/>
      <c r="GM34" s="555"/>
      <c r="GN34" s="555"/>
      <c r="GO34" s="555"/>
      <c r="GP34" s="555"/>
      <c r="GQ34" s="555"/>
      <c r="GR34" s="555"/>
      <c r="GS34" s="555"/>
      <c r="GT34" s="555"/>
      <c r="GU34" s="555"/>
      <c r="GV34" s="555"/>
      <c r="GW34" s="555"/>
      <c r="GX34" s="555"/>
      <c r="GY34" s="555"/>
      <c r="GZ34" s="555"/>
      <c r="HA34" s="555"/>
      <c r="HB34" s="555"/>
      <c r="HC34" s="555"/>
      <c r="HD34" s="555"/>
      <c r="HE34" s="555"/>
      <c r="HF34" s="555"/>
      <c r="HG34" s="555"/>
      <c r="HH34" s="555"/>
      <c r="HI34" s="555"/>
      <c r="HJ34" s="555"/>
      <c r="HK34" s="555"/>
      <c r="HL34" s="555"/>
      <c r="HM34" s="555"/>
      <c r="HN34" s="555"/>
      <c r="HO34" s="555"/>
      <c r="HP34" s="555"/>
      <c r="HQ34" s="555"/>
      <c r="HR34" s="555"/>
      <c r="HS34" s="555"/>
      <c r="HT34" s="555"/>
      <c r="HU34" s="555"/>
      <c r="HV34" s="555"/>
      <c r="HW34" s="555"/>
      <c r="HX34" s="555"/>
      <c r="HY34" s="555"/>
      <c r="HZ34" s="555"/>
      <c r="IA34" s="555"/>
      <c r="IB34" s="555"/>
      <c r="IC34" s="555"/>
      <c r="ID34" s="555"/>
      <c r="IE34" s="555"/>
      <c r="IF34" s="555"/>
      <c r="IG34" s="555"/>
      <c r="IH34" s="555"/>
      <c r="II34" s="555"/>
      <c r="IJ34" s="555"/>
      <c r="IK34" s="555"/>
      <c r="IL34" s="555"/>
      <c r="IM34" s="555"/>
      <c r="IN34" s="555"/>
      <c r="IO34" s="555"/>
      <c r="IP34" s="555"/>
      <c r="IQ34" s="555"/>
      <c r="IR34" s="555"/>
      <c r="IS34" s="555"/>
      <c r="IT34" s="555"/>
      <c r="IU34" s="555"/>
      <c r="IV34" s="555"/>
      <c r="IW34" s="555"/>
    </row>
    <row r="35" customFormat="false" ht="18" hidden="false" customHeight="true" outlineLevel="0" collapsed="false">
      <c r="A35" s="627" t="s">
        <v>545</v>
      </c>
      <c r="B35" s="627"/>
      <c r="C35" s="627"/>
      <c r="D35" s="627"/>
      <c r="E35" s="627"/>
      <c r="F35" s="627"/>
      <c r="G35" s="627"/>
      <c r="H35" s="627"/>
      <c r="I35" s="627"/>
      <c r="J35" s="627"/>
      <c r="K35" s="627"/>
      <c r="L35" s="627"/>
      <c r="M35" s="627"/>
      <c r="N35" s="627"/>
      <c r="O35" s="627"/>
      <c r="P35" s="627"/>
      <c r="Q35" s="627"/>
      <c r="R35" s="627"/>
      <c r="S35" s="627"/>
      <c r="T35" s="555"/>
      <c r="U35" s="555"/>
      <c r="V35" s="555"/>
      <c r="W35" s="555"/>
      <c r="X35" s="555"/>
      <c r="Y35" s="555"/>
      <c r="Z35" s="555"/>
      <c r="AA35" s="555"/>
      <c r="AB35" s="555"/>
      <c r="AC35" s="555"/>
      <c r="AD35" s="555"/>
      <c r="AE35" s="555"/>
      <c r="AF35" s="555"/>
      <c r="AG35" s="555"/>
      <c r="AH35" s="555"/>
      <c r="AI35" s="555"/>
      <c r="AJ35" s="555"/>
      <c r="AK35" s="555"/>
      <c r="AL35" s="555"/>
      <c r="AM35" s="555"/>
      <c r="AN35" s="555"/>
      <c r="AO35" s="555"/>
      <c r="AP35" s="555"/>
      <c r="AQ35" s="555"/>
      <c r="AR35" s="555"/>
      <c r="AS35" s="555"/>
      <c r="AT35" s="555"/>
      <c r="AU35" s="555"/>
      <c r="AV35" s="555"/>
      <c r="AW35" s="555"/>
      <c r="AX35" s="555"/>
      <c r="AY35" s="555"/>
      <c r="AZ35" s="555"/>
      <c r="BA35" s="555"/>
      <c r="BB35" s="555"/>
      <c r="BC35" s="555"/>
      <c r="BD35" s="555"/>
      <c r="BE35" s="555"/>
      <c r="BF35" s="555"/>
      <c r="BG35" s="555"/>
      <c r="BH35" s="555"/>
      <c r="BI35" s="555"/>
      <c r="BJ35" s="555"/>
      <c r="BK35" s="555"/>
      <c r="BL35" s="555"/>
      <c r="BM35" s="555"/>
      <c r="BN35" s="555"/>
      <c r="BO35" s="555"/>
      <c r="BP35" s="555"/>
      <c r="BQ35" s="555"/>
      <c r="BR35" s="555"/>
      <c r="BS35" s="555"/>
      <c r="BT35" s="555"/>
      <c r="BU35" s="555"/>
      <c r="BV35" s="555"/>
      <c r="BW35" s="555"/>
      <c r="BX35" s="555"/>
      <c r="BY35" s="555"/>
      <c r="BZ35" s="555"/>
      <c r="CA35" s="555"/>
      <c r="CB35" s="555"/>
      <c r="CC35" s="555"/>
      <c r="CD35" s="555"/>
      <c r="CE35" s="555"/>
      <c r="CF35" s="555"/>
      <c r="CG35" s="555"/>
      <c r="CH35" s="555"/>
      <c r="CI35" s="555"/>
      <c r="CJ35" s="555"/>
      <c r="CK35" s="555"/>
      <c r="CL35" s="555"/>
      <c r="CM35" s="555"/>
      <c r="CN35" s="555"/>
      <c r="CO35" s="555"/>
      <c r="CP35" s="555"/>
      <c r="CQ35" s="555"/>
      <c r="CR35" s="555"/>
      <c r="CS35" s="555"/>
      <c r="CT35" s="555"/>
      <c r="CU35" s="555"/>
      <c r="CV35" s="555"/>
      <c r="CW35" s="555"/>
      <c r="CX35" s="555"/>
      <c r="CY35" s="555"/>
      <c r="CZ35" s="555"/>
      <c r="DA35" s="555"/>
      <c r="DB35" s="555"/>
      <c r="DC35" s="555"/>
      <c r="DD35" s="555"/>
      <c r="DE35" s="555"/>
      <c r="DF35" s="555"/>
      <c r="DG35" s="555"/>
      <c r="DH35" s="555"/>
      <c r="DI35" s="555"/>
      <c r="DJ35" s="555"/>
      <c r="DK35" s="555"/>
      <c r="DL35" s="555"/>
      <c r="DM35" s="555"/>
      <c r="DN35" s="555"/>
      <c r="DO35" s="555"/>
      <c r="DP35" s="555"/>
      <c r="DQ35" s="555"/>
      <c r="DR35" s="555"/>
      <c r="DS35" s="555"/>
      <c r="DT35" s="555"/>
      <c r="DU35" s="555"/>
      <c r="DV35" s="555"/>
      <c r="DW35" s="555"/>
      <c r="DX35" s="555"/>
      <c r="DY35" s="555"/>
      <c r="DZ35" s="555"/>
      <c r="EA35" s="555"/>
      <c r="EB35" s="555"/>
      <c r="EC35" s="555"/>
      <c r="ED35" s="555"/>
      <c r="EE35" s="555"/>
      <c r="EF35" s="555"/>
      <c r="EG35" s="555"/>
      <c r="EH35" s="555"/>
      <c r="EI35" s="555"/>
      <c r="EJ35" s="555"/>
      <c r="EK35" s="555"/>
      <c r="EL35" s="555"/>
      <c r="EM35" s="555"/>
      <c r="EN35" s="555"/>
      <c r="EO35" s="555"/>
      <c r="EP35" s="555"/>
      <c r="EQ35" s="555"/>
      <c r="ER35" s="555"/>
      <c r="ES35" s="555"/>
      <c r="ET35" s="555"/>
      <c r="EU35" s="555"/>
      <c r="EV35" s="555"/>
      <c r="EW35" s="555"/>
      <c r="EX35" s="555"/>
      <c r="EY35" s="555"/>
      <c r="EZ35" s="555"/>
      <c r="FA35" s="555"/>
      <c r="FB35" s="555"/>
      <c r="FC35" s="555"/>
      <c r="FD35" s="555"/>
      <c r="FE35" s="555"/>
      <c r="FF35" s="555"/>
      <c r="FG35" s="555"/>
      <c r="FH35" s="555"/>
      <c r="FI35" s="555"/>
      <c r="FJ35" s="555"/>
      <c r="FK35" s="555"/>
      <c r="FL35" s="555"/>
      <c r="FM35" s="555"/>
      <c r="FN35" s="555"/>
      <c r="FO35" s="555"/>
      <c r="FP35" s="555"/>
      <c r="FQ35" s="555"/>
      <c r="FR35" s="555"/>
      <c r="FS35" s="555"/>
      <c r="FT35" s="555"/>
      <c r="FU35" s="555"/>
      <c r="FV35" s="555"/>
      <c r="FW35" s="555"/>
      <c r="FX35" s="555"/>
      <c r="FY35" s="555"/>
      <c r="FZ35" s="555"/>
      <c r="GA35" s="555"/>
      <c r="GB35" s="555"/>
      <c r="GC35" s="555"/>
      <c r="GD35" s="555"/>
      <c r="GE35" s="555"/>
      <c r="GF35" s="555"/>
      <c r="GG35" s="555"/>
      <c r="GH35" s="555"/>
      <c r="GI35" s="555"/>
      <c r="GJ35" s="555"/>
      <c r="GK35" s="555"/>
      <c r="GL35" s="555"/>
      <c r="GM35" s="555"/>
      <c r="GN35" s="555"/>
      <c r="GO35" s="555"/>
      <c r="GP35" s="555"/>
      <c r="GQ35" s="555"/>
      <c r="GR35" s="555"/>
      <c r="GS35" s="555"/>
      <c r="GT35" s="555"/>
      <c r="GU35" s="555"/>
      <c r="GV35" s="555"/>
      <c r="GW35" s="555"/>
      <c r="GX35" s="555"/>
      <c r="GY35" s="555"/>
      <c r="GZ35" s="555"/>
      <c r="HA35" s="555"/>
      <c r="HB35" s="555"/>
      <c r="HC35" s="555"/>
      <c r="HD35" s="555"/>
      <c r="HE35" s="555"/>
      <c r="HF35" s="555"/>
      <c r="HG35" s="555"/>
      <c r="HH35" s="555"/>
      <c r="HI35" s="555"/>
      <c r="HJ35" s="555"/>
      <c r="HK35" s="555"/>
      <c r="HL35" s="555"/>
      <c r="HM35" s="555"/>
      <c r="HN35" s="555"/>
      <c r="HO35" s="555"/>
      <c r="HP35" s="555"/>
      <c r="HQ35" s="555"/>
      <c r="HR35" s="555"/>
      <c r="HS35" s="555"/>
      <c r="HT35" s="555"/>
      <c r="HU35" s="555"/>
      <c r="HV35" s="555"/>
      <c r="HW35" s="555"/>
      <c r="HX35" s="555"/>
      <c r="HY35" s="555"/>
      <c r="HZ35" s="555"/>
      <c r="IA35" s="555"/>
      <c r="IB35" s="555"/>
      <c r="IC35" s="555"/>
      <c r="ID35" s="555"/>
      <c r="IE35" s="555"/>
      <c r="IF35" s="555"/>
      <c r="IG35" s="555"/>
      <c r="IH35" s="555"/>
      <c r="II35" s="555"/>
      <c r="IJ35" s="555"/>
      <c r="IK35" s="555"/>
      <c r="IL35" s="555"/>
      <c r="IM35" s="555"/>
      <c r="IN35" s="555"/>
      <c r="IO35" s="555"/>
      <c r="IP35" s="555"/>
      <c r="IQ35" s="555"/>
      <c r="IR35" s="555"/>
      <c r="IS35" s="555"/>
      <c r="IT35" s="555"/>
      <c r="IU35" s="555"/>
      <c r="IV35" s="555"/>
      <c r="IW35" s="555"/>
    </row>
    <row r="36" customFormat="false" ht="18.75" hidden="false" customHeight="true" outlineLevel="0" collapsed="false">
      <c r="A36" s="628" t="s">
        <v>572</v>
      </c>
      <c r="B36" s="629" t="s">
        <v>573</v>
      </c>
      <c r="C36" s="629"/>
      <c r="D36" s="629"/>
      <c r="E36" s="629"/>
      <c r="F36" s="629"/>
      <c r="G36" s="629"/>
      <c r="H36" s="629"/>
      <c r="I36" s="629"/>
      <c r="J36" s="629"/>
      <c r="K36" s="629"/>
      <c r="L36" s="629"/>
      <c r="M36" s="629"/>
      <c r="N36" s="629"/>
      <c r="O36" s="629"/>
      <c r="P36" s="629"/>
      <c r="Q36" s="629"/>
      <c r="R36" s="629"/>
      <c r="S36" s="629"/>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c r="CX36" s="555"/>
      <c r="CY36" s="555"/>
      <c r="CZ36" s="555"/>
      <c r="DA36" s="555"/>
      <c r="DB36" s="555"/>
      <c r="DC36" s="555"/>
      <c r="DD36" s="555"/>
      <c r="DE36" s="555"/>
      <c r="DF36" s="555"/>
      <c r="DG36" s="555"/>
      <c r="DH36" s="555"/>
      <c r="DI36" s="555"/>
      <c r="DJ36" s="555"/>
      <c r="DK36" s="555"/>
      <c r="DL36" s="555"/>
      <c r="DM36" s="555"/>
      <c r="DN36" s="555"/>
      <c r="DO36" s="555"/>
      <c r="DP36" s="555"/>
      <c r="DQ36" s="555"/>
      <c r="DR36" s="555"/>
      <c r="DS36" s="555"/>
      <c r="DT36" s="555"/>
      <c r="DU36" s="555"/>
      <c r="DV36" s="555"/>
      <c r="DW36" s="555"/>
      <c r="DX36" s="555"/>
      <c r="DY36" s="555"/>
      <c r="DZ36" s="555"/>
      <c r="EA36" s="555"/>
      <c r="EB36" s="555"/>
      <c r="EC36" s="555"/>
      <c r="ED36" s="555"/>
      <c r="EE36" s="555"/>
      <c r="EF36" s="555"/>
      <c r="EG36" s="555"/>
      <c r="EH36" s="555"/>
      <c r="EI36" s="555"/>
      <c r="EJ36" s="555"/>
      <c r="EK36" s="555"/>
      <c r="EL36" s="555"/>
      <c r="EM36" s="555"/>
      <c r="EN36" s="555"/>
      <c r="EO36" s="555"/>
      <c r="EP36" s="555"/>
      <c r="EQ36" s="555"/>
      <c r="ER36" s="555"/>
      <c r="ES36" s="555"/>
      <c r="ET36" s="555"/>
      <c r="EU36" s="555"/>
      <c r="EV36" s="555"/>
      <c r="EW36" s="555"/>
      <c r="EX36" s="555"/>
      <c r="EY36" s="555"/>
      <c r="EZ36" s="555"/>
      <c r="FA36" s="555"/>
      <c r="FB36" s="555"/>
      <c r="FC36" s="555"/>
      <c r="FD36" s="555"/>
      <c r="FE36" s="555"/>
      <c r="FF36" s="555"/>
      <c r="FG36" s="555"/>
      <c r="FH36" s="555"/>
      <c r="FI36" s="555"/>
      <c r="FJ36" s="555"/>
      <c r="FK36" s="555"/>
      <c r="FL36" s="555"/>
      <c r="FM36" s="555"/>
      <c r="FN36" s="555"/>
      <c r="FO36" s="555"/>
      <c r="FP36" s="555"/>
      <c r="FQ36" s="555"/>
      <c r="FR36" s="555"/>
      <c r="FS36" s="555"/>
      <c r="FT36" s="555"/>
      <c r="FU36" s="555"/>
      <c r="FV36" s="555"/>
      <c r="FW36" s="555"/>
      <c r="FX36" s="555"/>
      <c r="FY36" s="555"/>
      <c r="FZ36" s="555"/>
      <c r="GA36" s="555"/>
      <c r="GB36" s="555"/>
      <c r="GC36" s="555"/>
      <c r="GD36" s="555"/>
      <c r="GE36" s="555"/>
      <c r="GF36" s="555"/>
      <c r="GG36" s="555"/>
      <c r="GH36" s="555"/>
      <c r="GI36" s="555"/>
      <c r="GJ36" s="555"/>
      <c r="GK36" s="555"/>
      <c r="GL36" s="555"/>
      <c r="GM36" s="555"/>
      <c r="GN36" s="555"/>
      <c r="GO36" s="555"/>
      <c r="GP36" s="555"/>
      <c r="GQ36" s="555"/>
      <c r="GR36" s="555"/>
      <c r="GS36" s="555"/>
      <c r="GT36" s="555"/>
      <c r="GU36" s="555"/>
      <c r="GV36" s="555"/>
      <c r="GW36" s="555"/>
      <c r="GX36" s="555"/>
      <c r="GY36" s="555"/>
      <c r="GZ36" s="555"/>
      <c r="HA36" s="555"/>
      <c r="HB36" s="555"/>
      <c r="HC36" s="555"/>
      <c r="HD36" s="555"/>
      <c r="HE36" s="555"/>
      <c r="HF36" s="555"/>
      <c r="HG36" s="555"/>
      <c r="HH36" s="555"/>
      <c r="HI36" s="555"/>
      <c r="HJ36" s="555"/>
      <c r="HK36" s="555"/>
      <c r="HL36" s="555"/>
      <c r="HM36" s="555"/>
      <c r="HN36" s="555"/>
      <c r="HO36" s="555"/>
      <c r="HP36" s="555"/>
      <c r="HQ36" s="555"/>
      <c r="HR36" s="555"/>
      <c r="HS36" s="555"/>
      <c r="HT36" s="555"/>
      <c r="HU36" s="555"/>
      <c r="HV36" s="555"/>
      <c r="HW36" s="555"/>
      <c r="HX36" s="555"/>
      <c r="HY36" s="555"/>
      <c r="HZ36" s="555"/>
      <c r="IA36" s="555"/>
      <c r="IB36" s="555"/>
      <c r="IC36" s="555"/>
      <c r="ID36" s="555"/>
      <c r="IE36" s="555"/>
      <c r="IF36" s="555"/>
      <c r="IG36" s="555"/>
      <c r="IH36" s="555"/>
      <c r="II36" s="555"/>
      <c r="IJ36" s="555"/>
      <c r="IK36" s="555"/>
      <c r="IL36" s="555"/>
      <c r="IM36" s="555"/>
      <c r="IN36" s="555"/>
      <c r="IO36" s="555"/>
      <c r="IP36" s="555"/>
      <c r="IQ36" s="555"/>
      <c r="IR36" s="555"/>
      <c r="IS36" s="555"/>
      <c r="IT36" s="555"/>
      <c r="IU36" s="555"/>
      <c r="IV36" s="555"/>
      <c r="IW36" s="555"/>
    </row>
    <row r="37" customFormat="false" ht="18.75" hidden="false" customHeight="true" outlineLevel="0" collapsed="false">
      <c r="A37" s="628"/>
      <c r="B37" s="630" t="s">
        <v>574</v>
      </c>
      <c r="C37" s="630"/>
      <c r="D37" s="630"/>
      <c r="E37" s="630"/>
      <c r="F37" s="630"/>
      <c r="G37" s="630"/>
      <c r="H37" s="630"/>
      <c r="I37" s="630"/>
      <c r="J37" s="630"/>
      <c r="K37" s="630"/>
      <c r="L37" s="630"/>
      <c r="M37" s="630"/>
      <c r="N37" s="630"/>
      <c r="O37" s="630"/>
      <c r="P37" s="630"/>
      <c r="Q37" s="630"/>
      <c r="R37" s="630"/>
      <c r="S37" s="630"/>
      <c r="T37" s="555"/>
      <c r="U37" s="555"/>
      <c r="V37" s="555"/>
      <c r="W37" s="555"/>
      <c r="X37" s="555"/>
      <c r="Y37" s="555"/>
      <c r="Z37" s="555"/>
      <c r="AA37" s="555"/>
      <c r="AB37" s="555"/>
      <c r="AC37" s="555"/>
      <c r="AD37" s="555"/>
      <c r="AE37" s="555"/>
      <c r="AF37" s="555"/>
      <c r="AG37" s="555"/>
      <c r="AH37" s="555"/>
      <c r="AI37" s="555"/>
      <c r="AJ37" s="555"/>
      <c r="AK37" s="555"/>
      <c r="AL37" s="555"/>
      <c r="AM37" s="555"/>
      <c r="AN37" s="555"/>
      <c r="AO37" s="555"/>
      <c r="AP37" s="555"/>
      <c r="AQ37" s="555"/>
      <c r="AR37" s="555"/>
      <c r="AS37" s="555"/>
      <c r="AT37" s="555"/>
      <c r="AU37" s="555"/>
      <c r="AV37" s="555"/>
      <c r="AW37" s="555"/>
      <c r="AX37" s="555"/>
      <c r="AY37" s="555"/>
      <c r="AZ37" s="555"/>
      <c r="BA37" s="555"/>
      <c r="BB37" s="555"/>
      <c r="BC37" s="555"/>
      <c r="BD37" s="555"/>
      <c r="BE37" s="555"/>
      <c r="BF37" s="555"/>
      <c r="BG37" s="555"/>
      <c r="BH37" s="555"/>
      <c r="BI37" s="555"/>
      <c r="BJ37" s="555"/>
      <c r="BK37" s="555"/>
      <c r="BL37" s="555"/>
      <c r="BM37" s="555"/>
      <c r="BN37" s="555"/>
      <c r="BO37" s="555"/>
      <c r="BP37" s="555"/>
      <c r="BQ37" s="555"/>
      <c r="BR37" s="555"/>
      <c r="BS37" s="555"/>
      <c r="BT37" s="555"/>
      <c r="BU37" s="555"/>
      <c r="BV37" s="555"/>
      <c r="BW37" s="555"/>
      <c r="BX37" s="555"/>
      <c r="BY37" s="555"/>
      <c r="BZ37" s="555"/>
      <c r="CA37" s="555"/>
      <c r="CB37" s="555"/>
      <c r="CC37" s="555"/>
      <c r="CD37" s="555"/>
      <c r="CE37" s="555"/>
      <c r="CF37" s="555"/>
      <c r="CG37" s="555"/>
      <c r="CH37" s="555"/>
      <c r="CI37" s="555"/>
      <c r="CJ37" s="555"/>
      <c r="CK37" s="555"/>
      <c r="CL37" s="555"/>
      <c r="CM37" s="555"/>
      <c r="CN37" s="555"/>
      <c r="CO37" s="555"/>
      <c r="CP37" s="555"/>
      <c r="CQ37" s="555"/>
      <c r="CR37" s="555"/>
      <c r="CS37" s="555"/>
      <c r="CT37" s="555"/>
      <c r="CU37" s="555"/>
      <c r="CV37" s="555"/>
      <c r="CW37" s="555"/>
      <c r="CX37" s="555"/>
      <c r="CY37" s="555"/>
      <c r="CZ37" s="555"/>
      <c r="DA37" s="555"/>
      <c r="DB37" s="555"/>
      <c r="DC37" s="555"/>
      <c r="DD37" s="555"/>
      <c r="DE37" s="555"/>
      <c r="DF37" s="555"/>
      <c r="DG37" s="555"/>
      <c r="DH37" s="555"/>
      <c r="DI37" s="555"/>
      <c r="DJ37" s="555"/>
      <c r="DK37" s="555"/>
      <c r="DL37" s="555"/>
      <c r="DM37" s="555"/>
      <c r="DN37" s="555"/>
      <c r="DO37" s="555"/>
      <c r="DP37" s="555"/>
      <c r="DQ37" s="555"/>
      <c r="DR37" s="555"/>
      <c r="DS37" s="555"/>
      <c r="DT37" s="555"/>
      <c r="DU37" s="555"/>
      <c r="DV37" s="555"/>
      <c r="DW37" s="555"/>
      <c r="DX37" s="555"/>
      <c r="DY37" s="555"/>
      <c r="DZ37" s="555"/>
      <c r="EA37" s="555"/>
      <c r="EB37" s="555"/>
      <c r="EC37" s="555"/>
      <c r="ED37" s="555"/>
      <c r="EE37" s="555"/>
      <c r="EF37" s="555"/>
      <c r="EG37" s="555"/>
      <c r="EH37" s="555"/>
      <c r="EI37" s="555"/>
      <c r="EJ37" s="555"/>
      <c r="EK37" s="555"/>
      <c r="EL37" s="555"/>
      <c r="EM37" s="555"/>
      <c r="EN37" s="555"/>
      <c r="EO37" s="555"/>
      <c r="EP37" s="555"/>
      <c r="EQ37" s="555"/>
      <c r="ER37" s="555"/>
      <c r="ES37" s="555"/>
      <c r="ET37" s="555"/>
      <c r="EU37" s="555"/>
      <c r="EV37" s="555"/>
      <c r="EW37" s="555"/>
      <c r="EX37" s="555"/>
      <c r="EY37" s="555"/>
      <c r="EZ37" s="555"/>
      <c r="FA37" s="555"/>
      <c r="FB37" s="555"/>
      <c r="FC37" s="555"/>
      <c r="FD37" s="555"/>
      <c r="FE37" s="555"/>
      <c r="FF37" s="555"/>
      <c r="FG37" s="555"/>
      <c r="FH37" s="555"/>
      <c r="FI37" s="555"/>
      <c r="FJ37" s="555"/>
      <c r="FK37" s="555"/>
      <c r="FL37" s="555"/>
      <c r="FM37" s="555"/>
      <c r="FN37" s="555"/>
      <c r="FO37" s="555"/>
      <c r="FP37" s="555"/>
      <c r="FQ37" s="555"/>
      <c r="FR37" s="555"/>
      <c r="FS37" s="555"/>
      <c r="FT37" s="555"/>
      <c r="FU37" s="555"/>
      <c r="FV37" s="555"/>
      <c r="FW37" s="555"/>
      <c r="FX37" s="555"/>
      <c r="FY37" s="555"/>
      <c r="FZ37" s="555"/>
      <c r="GA37" s="555"/>
      <c r="GB37" s="555"/>
      <c r="GC37" s="555"/>
      <c r="GD37" s="555"/>
      <c r="GE37" s="555"/>
      <c r="GF37" s="555"/>
      <c r="GG37" s="555"/>
      <c r="GH37" s="555"/>
      <c r="GI37" s="555"/>
      <c r="GJ37" s="555"/>
      <c r="GK37" s="555"/>
      <c r="GL37" s="555"/>
      <c r="GM37" s="555"/>
      <c r="GN37" s="555"/>
      <c r="GO37" s="555"/>
      <c r="GP37" s="555"/>
      <c r="GQ37" s="555"/>
      <c r="GR37" s="555"/>
      <c r="GS37" s="555"/>
      <c r="GT37" s="555"/>
      <c r="GU37" s="555"/>
      <c r="GV37" s="555"/>
      <c r="GW37" s="555"/>
      <c r="GX37" s="555"/>
      <c r="GY37" s="555"/>
      <c r="GZ37" s="555"/>
      <c r="HA37" s="555"/>
      <c r="HB37" s="555"/>
      <c r="HC37" s="555"/>
      <c r="HD37" s="555"/>
      <c r="HE37" s="555"/>
      <c r="HF37" s="555"/>
      <c r="HG37" s="555"/>
      <c r="HH37" s="555"/>
      <c r="HI37" s="555"/>
      <c r="HJ37" s="555"/>
      <c r="HK37" s="555"/>
      <c r="HL37" s="555"/>
      <c r="HM37" s="555"/>
      <c r="HN37" s="555"/>
      <c r="HO37" s="555"/>
      <c r="HP37" s="555"/>
      <c r="HQ37" s="555"/>
      <c r="HR37" s="555"/>
      <c r="HS37" s="555"/>
      <c r="HT37" s="555"/>
      <c r="HU37" s="555"/>
      <c r="HV37" s="555"/>
      <c r="HW37" s="555"/>
      <c r="HX37" s="555"/>
      <c r="HY37" s="555"/>
      <c r="HZ37" s="555"/>
      <c r="IA37" s="555"/>
      <c r="IB37" s="555"/>
      <c r="IC37" s="555"/>
      <c r="ID37" s="555"/>
      <c r="IE37" s="555"/>
      <c r="IF37" s="555"/>
      <c r="IG37" s="555"/>
      <c r="IH37" s="555"/>
      <c r="II37" s="555"/>
      <c r="IJ37" s="555"/>
      <c r="IK37" s="555"/>
      <c r="IL37" s="555"/>
      <c r="IM37" s="555"/>
      <c r="IN37" s="555"/>
      <c r="IO37" s="555"/>
      <c r="IP37" s="555"/>
      <c r="IQ37" s="555"/>
      <c r="IR37" s="555"/>
      <c r="IS37" s="555"/>
      <c r="IT37" s="555"/>
      <c r="IU37" s="555"/>
      <c r="IV37" s="555"/>
      <c r="IW37" s="555"/>
    </row>
    <row r="38" customFormat="false" ht="9" hidden="false" customHeight="true" outlineLevel="0" collapsed="false">
      <c r="A38" s="628"/>
      <c r="B38" s="631"/>
      <c r="C38" s="632"/>
      <c r="D38" s="632"/>
      <c r="E38" s="632"/>
      <c r="F38" s="632"/>
      <c r="G38" s="632"/>
      <c r="H38" s="632"/>
      <c r="I38" s="632"/>
      <c r="J38" s="632"/>
      <c r="K38" s="632"/>
      <c r="L38" s="632"/>
      <c r="M38" s="632"/>
      <c r="N38" s="632"/>
      <c r="O38" s="632"/>
      <c r="P38" s="632"/>
      <c r="Q38" s="632"/>
      <c r="R38" s="632"/>
      <c r="S38" s="632"/>
      <c r="T38" s="555"/>
      <c r="U38" s="555"/>
      <c r="V38" s="555"/>
      <c r="W38" s="555"/>
      <c r="X38" s="555"/>
      <c r="Y38" s="555"/>
      <c r="Z38" s="555"/>
      <c r="AA38" s="555"/>
      <c r="AB38" s="555"/>
      <c r="AC38" s="555"/>
      <c r="AD38" s="555"/>
      <c r="AE38" s="555"/>
      <c r="AF38" s="555"/>
      <c r="AG38" s="555"/>
      <c r="AH38" s="555"/>
      <c r="AI38" s="555"/>
      <c r="AJ38" s="555"/>
      <c r="AK38" s="555"/>
      <c r="AL38" s="555"/>
      <c r="AM38" s="555"/>
      <c r="AN38" s="555"/>
      <c r="AO38" s="555"/>
      <c r="AP38" s="555"/>
      <c r="AQ38" s="555"/>
      <c r="AR38" s="555"/>
      <c r="AS38" s="555"/>
      <c r="AT38" s="555"/>
      <c r="AU38" s="555"/>
      <c r="AV38" s="555"/>
      <c r="AW38" s="555"/>
      <c r="AX38" s="555"/>
      <c r="AY38" s="555"/>
      <c r="AZ38" s="555"/>
      <c r="BA38" s="555"/>
      <c r="BB38" s="555"/>
      <c r="BC38" s="555"/>
      <c r="BD38" s="555"/>
      <c r="BE38" s="555"/>
      <c r="BF38" s="555"/>
      <c r="BG38" s="555"/>
      <c r="BH38" s="555"/>
      <c r="BI38" s="555"/>
      <c r="BJ38" s="555"/>
      <c r="BK38" s="555"/>
      <c r="BL38" s="555"/>
      <c r="BM38" s="555"/>
      <c r="BN38" s="555"/>
      <c r="BO38" s="555"/>
      <c r="BP38" s="555"/>
      <c r="BQ38" s="555"/>
      <c r="BR38" s="555"/>
      <c r="BS38" s="555"/>
      <c r="BT38" s="555"/>
      <c r="BU38" s="555"/>
      <c r="BV38" s="555"/>
      <c r="BW38" s="555"/>
      <c r="BX38" s="555"/>
      <c r="BY38" s="555"/>
      <c r="BZ38" s="555"/>
      <c r="CA38" s="555"/>
      <c r="CB38" s="555"/>
      <c r="CC38" s="555"/>
      <c r="CD38" s="555"/>
      <c r="CE38" s="555"/>
      <c r="CF38" s="555"/>
      <c r="CG38" s="555"/>
      <c r="CH38" s="555"/>
      <c r="CI38" s="555"/>
      <c r="CJ38" s="555"/>
      <c r="CK38" s="555"/>
      <c r="CL38" s="555"/>
      <c r="CM38" s="555"/>
      <c r="CN38" s="555"/>
      <c r="CO38" s="555"/>
      <c r="CP38" s="555"/>
      <c r="CQ38" s="555"/>
      <c r="CR38" s="555"/>
      <c r="CS38" s="555"/>
      <c r="CT38" s="555"/>
      <c r="CU38" s="555"/>
      <c r="CV38" s="555"/>
      <c r="CW38" s="555"/>
      <c r="CX38" s="555"/>
      <c r="CY38" s="555"/>
      <c r="CZ38" s="555"/>
      <c r="DA38" s="555"/>
      <c r="DB38" s="555"/>
      <c r="DC38" s="555"/>
      <c r="DD38" s="555"/>
      <c r="DE38" s="555"/>
      <c r="DF38" s="555"/>
      <c r="DG38" s="555"/>
      <c r="DH38" s="555"/>
      <c r="DI38" s="555"/>
      <c r="DJ38" s="555"/>
      <c r="DK38" s="555"/>
      <c r="DL38" s="555"/>
      <c r="DM38" s="555"/>
      <c r="DN38" s="555"/>
      <c r="DO38" s="555"/>
      <c r="DP38" s="555"/>
      <c r="DQ38" s="555"/>
      <c r="DR38" s="555"/>
      <c r="DS38" s="555"/>
      <c r="DT38" s="555"/>
      <c r="DU38" s="555"/>
      <c r="DV38" s="555"/>
      <c r="DW38" s="555"/>
      <c r="DX38" s="555"/>
      <c r="DY38" s="555"/>
      <c r="DZ38" s="555"/>
      <c r="EA38" s="555"/>
      <c r="EB38" s="555"/>
      <c r="EC38" s="555"/>
      <c r="ED38" s="555"/>
      <c r="EE38" s="555"/>
      <c r="EF38" s="555"/>
      <c r="EG38" s="555"/>
      <c r="EH38" s="555"/>
      <c r="EI38" s="555"/>
      <c r="EJ38" s="555"/>
      <c r="EK38" s="555"/>
      <c r="EL38" s="555"/>
      <c r="EM38" s="555"/>
      <c r="EN38" s="555"/>
      <c r="EO38" s="555"/>
      <c r="EP38" s="555"/>
      <c r="EQ38" s="555"/>
      <c r="ER38" s="555"/>
      <c r="ES38" s="555"/>
      <c r="ET38" s="555"/>
      <c r="EU38" s="555"/>
      <c r="EV38" s="555"/>
      <c r="EW38" s="555"/>
      <c r="EX38" s="555"/>
      <c r="EY38" s="555"/>
      <c r="EZ38" s="555"/>
      <c r="FA38" s="555"/>
      <c r="FB38" s="555"/>
      <c r="FC38" s="555"/>
      <c r="FD38" s="555"/>
      <c r="FE38" s="555"/>
      <c r="FF38" s="555"/>
      <c r="FG38" s="555"/>
      <c r="FH38" s="555"/>
      <c r="FI38" s="555"/>
      <c r="FJ38" s="555"/>
      <c r="FK38" s="555"/>
      <c r="FL38" s="555"/>
      <c r="FM38" s="555"/>
      <c r="FN38" s="555"/>
      <c r="FO38" s="555"/>
      <c r="FP38" s="555"/>
      <c r="FQ38" s="555"/>
      <c r="FR38" s="555"/>
      <c r="FS38" s="555"/>
      <c r="FT38" s="555"/>
      <c r="FU38" s="555"/>
      <c r="FV38" s="555"/>
      <c r="FW38" s="555"/>
      <c r="FX38" s="555"/>
      <c r="FY38" s="555"/>
      <c r="FZ38" s="555"/>
      <c r="GA38" s="555"/>
      <c r="GB38" s="555"/>
      <c r="GC38" s="555"/>
      <c r="GD38" s="555"/>
      <c r="GE38" s="555"/>
      <c r="GF38" s="555"/>
      <c r="GG38" s="555"/>
      <c r="GH38" s="555"/>
      <c r="GI38" s="555"/>
      <c r="GJ38" s="555"/>
      <c r="GK38" s="555"/>
      <c r="GL38" s="555"/>
      <c r="GM38" s="555"/>
      <c r="GN38" s="555"/>
      <c r="GO38" s="555"/>
      <c r="GP38" s="555"/>
      <c r="GQ38" s="555"/>
      <c r="GR38" s="555"/>
      <c r="GS38" s="555"/>
      <c r="GT38" s="555"/>
      <c r="GU38" s="555"/>
      <c r="GV38" s="555"/>
      <c r="GW38" s="555"/>
      <c r="GX38" s="555"/>
      <c r="GY38" s="555"/>
      <c r="GZ38" s="555"/>
      <c r="HA38" s="555"/>
      <c r="HB38" s="555"/>
      <c r="HC38" s="555"/>
      <c r="HD38" s="555"/>
      <c r="HE38" s="555"/>
      <c r="HF38" s="555"/>
      <c r="HG38" s="555"/>
      <c r="HH38" s="555"/>
      <c r="HI38" s="555"/>
      <c r="HJ38" s="555"/>
      <c r="HK38" s="555"/>
      <c r="HL38" s="555"/>
      <c r="HM38" s="555"/>
      <c r="HN38" s="555"/>
      <c r="HO38" s="555"/>
      <c r="HP38" s="555"/>
      <c r="HQ38" s="555"/>
      <c r="HR38" s="555"/>
      <c r="HS38" s="555"/>
      <c r="HT38" s="555"/>
      <c r="HU38" s="555"/>
      <c r="HV38" s="555"/>
      <c r="HW38" s="555"/>
      <c r="HX38" s="555"/>
      <c r="HY38" s="555"/>
      <c r="HZ38" s="555"/>
      <c r="IA38" s="555"/>
      <c r="IB38" s="555"/>
      <c r="IC38" s="555"/>
      <c r="ID38" s="555"/>
      <c r="IE38" s="555"/>
      <c r="IF38" s="555"/>
      <c r="IG38" s="555"/>
      <c r="IH38" s="555"/>
      <c r="II38" s="555"/>
      <c r="IJ38" s="555"/>
      <c r="IK38" s="555"/>
      <c r="IL38" s="555"/>
      <c r="IM38" s="555"/>
      <c r="IN38" s="555"/>
      <c r="IO38" s="555"/>
      <c r="IP38" s="555"/>
      <c r="IQ38" s="555"/>
      <c r="IR38" s="555"/>
      <c r="IS38" s="555"/>
      <c r="IT38" s="555"/>
      <c r="IU38" s="555"/>
      <c r="IV38" s="555"/>
      <c r="IW38" s="555"/>
    </row>
    <row r="39" customFormat="false" ht="18.75" hidden="false" customHeight="true" outlineLevel="0" collapsed="false">
      <c r="A39" s="628"/>
      <c r="B39" s="633" t="s">
        <v>575</v>
      </c>
      <c r="C39" s="633"/>
      <c r="D39" s="633"/>
      <c r="E39" s="633"/>
      <c r="F39" s="633"/>
      <c r="G39" s="633"/>
      <c r="H39" s="633"/>
      <c r="I39" s="633"/>
      <c r="J39" s="633"/>
      <c r="K39" s="633"/>
      <c r="L39" s="633"/>
      <c r="M39" s="633"/>
      <c r="N39" s="633"/>
      <c r="O39" s="633"/>
      <c r="P39" s="633"/>
      <c r="Q39" s="633"/>
      <c r="R39" s="633"/>
      <c r="S39" s="633"/>
      <c r="T39" s="555"/>
      <c r="U39" s="555"/>
      <c r="V39" s="555"/>
      <c r="W39" s="555"/>
      <c r="X39" s="555"/>
      <c r="Y39" s="555"/>
      <c r="Z39" s="555"/>
      <c r="AA39" s="555"/>
      <c r="AB39" s="555"/>
      <c r="AC39" s="555"/>
      <c r="AD39" s="555"/>
      <c r="AE39" s="555"/>
      <c r="AF39" s="555"/>
      <c r="AG39" s="555"/>
      <c r="AH39" s="555"/>
      <c r="AI39" s="555"/>
      <c r="AJ39" s="555"/>
      <c r="AK39" s="555"/>
      <c r="AL39" s="555"/>
      <c r="AM39" s="555"/>
      <c r="AN39" s="555"/>
      <c r="AO39" s="555"/>
      <c r="AP39" s="555"/>
      <c r="AQ39" s="555"/>
      <c r="AR39" s="555"/>
      <c r="AS39" s="555"/>
      <c r="AT39" s="555"/>
      <c r="AU39" s="555"/>
      <c r="AV39" s="555"/>
      <c r="AW39" s="555"/>
      <c r="AX39" s="555"/>
      <c r="AY39" s="555"/>
      <c r="AZ39" s="555"/>
      <c r="BA39" s="555"/>
      <c r="BB39" s="555"/>
      <c r="BC39" s="555"/>
      <c r="BD39" s="555"/>
      <c r="BE39" s="555"/>
      <c r="BF39" s="555"/>
      <c r="BG39" s="555"/>
      <c r="BH39" s="555"/>
      <c r="BI39" s="555"/>
      <c r="BJ39" s="555"/>
      <c r="BK39" s="555"/>
      <c r="BL39" s="555"/>
      <c r="BM39" s="555"/>
      <c r="BN39" s="555"/>
      <c r="BO39" s="555"/>
      <c r="BP39" s="555"/>
      <c r="BQ39" s="555"/>
      <c r="BR39" s="555"/>
      <c r="BS39" s="555"/>
      <c r="BT39" s="555"/>
      <c r="BU39" s="555"/>
      <c r="BV39" s="555"/>
      <c r="BW39" s="555"/>
      <c r="BX39" s="555"/>
      <c r="BY39" s="555"/>
      <c r="BZ39" s="555"/>
      <c r="CA39" s="555"/>
      <c r="CB39" s="555"/>
      <c r="CC39" s="555"/>
      <c r="CD39" s="555"/>
      <c r="CE39" s="555"/>
      <c r="CF39" s="555"/>
      <c r="CG39" s="555"/>
      <c r="CH39" s="555"/>
      <c r="CI39" s="555"/>
      <c r="CJ39" s="555"/>
      <c r="CK39" s="555"/>
      <c r="CL39" s="555"/>
      <c r="CM39" s="555"/>
      <c r="CN39" s="555"/>
      <c r="CO39" s="555"/>
      <c r="CP39" s="555"/>
      <c r="CQ39" s="555"/>
      <c r="CR39" s="555"/>
      <c r="CS39" s="555"/>
      <c r="CT39" s="555"/>
      <c r="CU39" s="555"/>
      <c r="CV39" s="555"/>
      <c r="CW39" s="555"/>
      <c r="CX39" s="555"/>
      <c r="CY39" s="555"/>
      <c r="CZ39" s="555"/>
      <c r="DA39" s="555"/>
      <c r="DB39" s="555"/>
      <c r="DC39" s="555"/>
      <c r="DD39" s="555"/>
      <c r="DE39" s="555"/>
      <c r="DF39" s="555"/>
      <c r="DG39" s="555"/>
      <c r="DH39" s="555"/>
      <c r="DI39" s="555"/>
      <c r="DJ39" s="555"/>
      <c r="DK39" s="555"/>
      <c r="DL39" s="555"/>
      <c r="DM39" s="555"/>
      <c r="DN39" s="555"/>
      <c r="DO39" s="555"/>
      <c r="DP39" s="555"/>
      <c r="DQ39" s="555"/>
      <c r="DR39" s="555"/>
      <c r="DS39" s="555"/>
      <c r="DT39" s="555"/>
      <c r="DU39" s="555"/>
      <c r="DV39" s="555"/>
      <c r="DW39" s="555"/>
      <c r="DX39" s="555"/>
      <c r="DY39" s="555"/>
      <c r="DZ39" s="555"/>
      <c r="EA39" s="555"/>
      <c r="EB39" s="555"/>
      <c r="EC39" s="555"/>
      <c r="ED39" s="555"/>
      <c r="EE39" s="555"/>
      <c r="EF39" s="555"/>
      <c r="EG39" s="555"/>
      <c r="EH39" s="555"/>
      <c r="EI39" s="555"/>
      <c r="EJ39" s="555"/>
      <c r="EK39" s="555"/>
      <c r="EL39" s="555"/>
      <c r="EM39" s="555"/>
      <c r="EN39" s="555"/>
      <c r="EO39" s="555"/>
      <c r="EP39" s="555"/>
      <c r="EQ39" s="555"/>
      <c r="ER39" s="555"/>
      <c r="ES39" s="555"/>
      <c r="ET39" s="555"/>
      <c r="EU39" s="555"/>
      <c r="EV39" s="555"/>
      <c r="EW39" s="555"/>
      <c r="EX39" s="555"/>
      <c r="EY39" s="555"/>
      <c r="EZ39" s="555"/>
      <c r="FA39" s="555"/>
      <c r="FB39" s="555"/>
      <c r="FC39" s="555"/>
      <c r="FD39" s="555"/>
      <c r="FE39" s="555"/>
      <c r="FF39" s="555"/>
      <c r="FG39" s="555"/>
      <c r="FH39" s="555"/>
      <c r="FI39" s="555"/>
      <c r="FJ39" s="555"/>
      <c r="FK39" s="555"/>
      <c r="FL39" s="555"/>
      <c r="FM39" s="555"/>
      <c r="FN39" s="555"/>
      <c r="FO39" s="555"/>
      <c r="FP39" s="555"/>
      <c r="FQ39" s="555"/>
      <c r="FR39" s="555"/>
      <c r="FS39" s="555"/>
      <c r="FT39" s="555"/>
      <c r="FU39" s="555"/>
      <c r="FV39" s="555"/>
      <c r="FW39" s="555"/>
      <c r="FX39" s="555"/>
      <c r="FY39" s="555"/>
      <c r="FZ39" s="555"/>
      <c r="GA39" s="555"/>
      <c r="GB39" s="555"/>
      <c r="GC39" s="555"/>
      <c r="GD39" s="555"/>
      <c r="GE39" s="555"/>
      <c r="GF39" s="555"/>
      <c r="GG39" s="555"/>
      <c r="GH39" s="555"/>
      <c r="GI39" s="555"/>
      <c r="GJ39" s="555"/>
      <c r="GK39" s="555"/>
      <c r="GL39" s="555"/>
      <c r="GM39" s="555"/>
      <c r="GN39" s="555"/>
      <c r="GO39" s="555"/>
      <c r="GP39" s="555"/>
      <c r="GQ39" s="555"/>
      <c r="GR39" s="555"/>
      <c r="GS39" s="555"/>
      <c r="GT39" s="555"/>
      <c r="GU39" s="555"/>
      <c r="GV39" s="555"/>
      <c r="GW39" s="555"/>
      <c r="GX39" s="555"/>
      <c r="GY39" s="555"/>
      <c r="GZ39" s="555"/>
      <c r="HA39" s="555"/>
      <c r="HB39" s="555"/>
      <c r="HC39" s="555"/>
      <c r="HD39" s="555"/>
      <c r="HE39" s="555"/>
      <c r="HF39" s="555"/>
      <c r="HG39" s="555"/>
      <c r="HH39" s="555"/>
      <c r="HI39" s="555"/>
      <c r="HJ39" s="555"/>
      <c r="HK39" s="555"/>
      <c r="HL39" s="555"/>
      <c r="HM39" s="555"/>
      <c r="HN39" s="555"/>
      <c r="HO39" s="555"/>
      <c r="HP39" s="555"/>
      <c r="HQ39" s="555"/>
      <c r="HR39" s="555"/>
      <c r="HS39" s="555"/>
      <c r="HT39" s="555"/>
      <c r="HU39" s="555"/>
      <c r="HV39" s="555"/>
      <c r="HW39" s="555"/>
      <c r="HX39" s="555"/>
      <c r="HY39" s="555"/>
      <c r="HZ39" s="555"/>
      <c r="IA39" s="555"/>
      <c r="IB39" s="555"/>
      <c r="IC39" s="555"/>
      <c r="ID39" s="555"/>
      <c r="IE39" s="555"/>
      <c r="IF39" s="555"/>
      <c r="IG39" s="555"/>
      <c r="IH39" s="555"/>
      <c r="II39" s="555"/>
      <c r="IJ39" s="555"/>
      <c r="IK39" s="555"/>
      <c r="IL39" s="555"/>
      <c r="IM39" s="555"/>
      <c r="IN39" s="555"/>
      <c r="IO39" s="555"/>
      <c r="IP39" s="555"/>
      <c r="IQ39" s="555"/>
      <c r="IR39" s="555"/>
      <c r="IS39" s="555"/>
      <c r="IT39" s="555"/>
      <c r="IU39" s="555"/>
      <c r="IV39" s="555"/>
      <c r="IW39" s="555"/>
    </row>
    <row r="40" customFormat="false" ht="18.75" hidden="false" customHeight="true" outlineLevel="0" collapsed="false">
      <c r="A40" s="628"/>
      <c r="B40" s="634" t="s">
        <v>576</v>
      </c>
      <c r="C40" s="634"/>
      <c r="D40" s="634"/>
      <c r="E40" s="634"/>
      <c r="F40" s="634"/>
      <c r="G40" s="634"/>
      <c r="H40" s="634"/>
      <c r="I40" s="634"/>
      <c r="J40" s="634"/>
      <c r="K40" s="634"/>
      <c r="L40" s="634"/>
      <c r="M40" s="634"/>
      <c r="N40" s="634"/>
      <c r="O40" s="634"/>
      <c r="P40" s="634"/>
      <c r="Q40" s="634"/>
      <c r="R40" s="634"/>
      <c r="S40" s="634"/>
      <c r="T40" s="555"/>
      <c r="U40" s="555"/>
      <c r="V40" s="555"/>
      <c r="W40" s="555"/>
      <c r="X40" s="555"/>
      <c r="Y40" s="555"/>
      <c r="Z40" s="555"/>
      <c r="AA40" s="555"/>
      <c r="AB40" s="555"/>
      <c r="AC40" s="555"/>
      <c r="AD40" s="555"/>
      <c r="AE40" s="555"/>
      <c r="AF40" s="555"/>
      <c r="AG40" s="555"/>
      <c r="AH40" s="555"/>
      <c r="AI40" s="555"/>
      <c r="AJ40" s="555"/>
      <c r="AK40" s="555"/>
      <c r="AL40" s="555"/>
      <c r="AM40" s="555"/>
      <c r="AN40" s="555"/>
      <c r="AO40" s="555"/>
      <c r="AP40" s="555"/>
      <c r="AQ40" s="555"/>
      <c r="AR40" s="555"/>
      <c r="AS40" s="555"/>
      <c r="AT40" s="555"/>
      <c r="AU40" s="555"/>
      <c r="AV40" s="555"/>
      <c r="AW40" s="555"/>
      <c r="AX40" s="555"/>
      <c r="AY40" s="555"/>
      <c r="AZ40" s="555"/>
      <c r="BA40" s="555"/>
      <c r="BB40" s="555"/>
      <c r="BC40" s="555"/>
      <c r="BD40" s="555"/>
      <c r="BE40" s="555"/>
      <c r="BF40" s="555"/>
      <c r="BG40" s="555"/>
      <c r="BH40" s="555"/>
      <c r="BI40" s="555"/>
      <c r="BJ40" s="555"/>
      <c r="BK40" s="555"/>
      <c r="BL40" s="555"/>
      <c r="BM40" s="555"/>
      <c r="BN40" s="555"/>
      <c r="BO40" s="555"/>
      <c r="BP40" s="555"/>
      <c r="BQ40" s="555"/>
      <c r="BR40" s="555"/>
      <c r="BS40" s="555"/>
      <c r="BT40" s="555"/>
      <c r="BU40" s="555"/>
      <c r="BV40" s="555"/>
      <c r="BW40" s="555"/>
      <c r="BX40" s="555"/>
      <c r="BY40" s="555"/>
      <c r="BZ40" s="555"/>
      <c r="CA40" s="555"/>
      <c r="CB40" s="555"/>
      <c r="CC40" s="555"/>
      <c r="CD40" s="555"/>
      <c r="CE40" s="555"/>
      <c r="CF40" s="555"/>
      <c r="CG40" s="555"/>
      <c r="CH40" s="555"/>
      <c r="CI40" s="555"/>
      <c r="CJ40" s="555"/>
      <c r="CK40" s="555"/>
      <c r="CL40" s="555"/>
      <c r="CM40" s="555"/>
      <c r="CN40" s="555"/>
      <c r="CO40" s="555"/>
      <c r="CP40" s="555"/>
      <c r="CQ40" s="555"/>
      <c r="CR40" s="555"/>
      <c r="CS40" s="555"/>
      <c r="CT40" s="555"/>
      <c r="CU40" s="555"/>
      <c r="CV40" s="555"/>
      <c r="CW40" s="555"/>
      <c r="CX40" s="555"/>
      <c r="CY40" s="555"/>
      <c r="CZ40" s="555"/>
      <c r="DA40" s="555"/>
      <c r="DB40" s="555"/>
      <c r="DC40" s="555"/>
      <c r="DD40" s="555"/>
      <c r="DE40" s="555"/>
      <c r="DF40" s="555"/>
      <c r="DG40" s="555"/>
      <c r="DH40" s="555"/>
      <c r="DI40" s="555"/>
      <c r="DJ40" s="555"/>
      <c r="DK40" s="555"/>
      <c r="DL40" s="555"/>
      <c r="DM40" s="555"/>
      <c r="DN40" s="555"/>
      <c r="DO40" s="555"/>
      <c r="DP40" s="555"/>
      <c r="DQ40" s="555"/>
      <c r="DR40" s="555"/>
      <c r="DS40" s="555"/>
      <c r="DT40" s="555"/>
      <c r="DU40" s="555"/>
      <c r="DV40" s="555"/>
      <c r="DW40" s="555"/>
      <c r="DX40" s="555"/>
      <c r="DY40" s="555"/>
      <c r="DZ40" s="555"/>
      <c r="EA40" s="555"/>
      <c r="EB40" s="555"/>
      <c r="EC40" s="555"/>
      <c r="ED40" s="555"/>
      <c r="EE40" s="555"/>
      <c r="EF40" s="555"/>
      <c r="EG40" s="555"/>
      <c r="EH40" s="555"/>
      <c r="EI40" s="555"/>
      <c r="EJ40" s="555"/>
      <c r="EK40" s="555"/>
      <c r="EL40" s="555"/>
      <c r="EM40" s="555"/>
      <c r="EN40" s="555"/>
      <c r="EO40" s="555"/>
      <c r="EP40" s="555"/>
      <c r="EQ40" s="555"/>
      <c r="ER40" s="555"/>
      <c r="ES40" s="555"/>
      <c r="ET40" s="555"/>
      <c r="EU40" s="555"/>
      <c r="EV40" s="555"/>
      <c r="EW40" s="555"/>
      <c r="EX40" s="555"/>
      <c r="EY40" s="555"/>
      <c r="EZ40" s="555"/>
      <c r="FA40" s="555"/>
      <c r="FB40" s="555"/>
      <c r="FC40" s="555"/>
      <c r="FD40" s="555"/>
      <c r="FE40" s="555"/>
      <c r="FF40" s="555"/>
      <c r="FG40" s="555"/>
      <c r="FH40" s="555"/>
      <c r="FI40" s="555"/>
      <c r="FJ40" s="555"/>
      <c r="FK40" s="555"/>
      <c r="FL40" s="555"/>
      <c r="FM40" s="555"/>
      <c r="FN40" s="555"/>
      <c r="FO40" s="555"/>
      <c r="FP40" s="555"/>
      <c r="FQ40" s="555"/>
      <c r="FR40" s="555"/>
      <c r="FS40" s="555"/>
      <c r="FT40" s="555"/>
      <c r="FU40" s="555"/>
      <c r="FV40" s="555"/>
      <c r="FW40" s="555"/>
      <c r="FX40" s="555"/>
      <c r="FY40" s="555"/>
      <c r="FZ40" s="555"/>
      <c r="GA40" s="555"/>
      <c r="GB40" s="555"/>
      <c r="GC40" s="555"/>
      <c r="GD40" s="555"/>
      <c r="GE40" s="555"/>
      <c r="GF40" s="555"/>
      <c r="GG40" s="555"/>
      <c r="GH40" s="555"/>
      <c r="GI40" s="555"/>
      <c r="GJ40" s="555"/>
      <c r="GK40" s="555"/>
      <c r="GL40" s="555"/>
      <c r="GM40" s="555"/>
      <c r="GN40" s="555"/>
      <c r="GO40" s="555"/>
      <c r="GP40" s="555"/>
      <c r="GQ40" s="555"/>
      <c r="GR40" s="555"/>
      <c r="GS40" s="555"/>
      <c r="GT40" s="555"/>
      <c r="GU40" s="555"/>
      <c r="GV40" s="555"/>
      <c r="GW40" s="555"/>
      <c r="GX40" s="555"/>
      <c r="GY40" s="555"/>
      <c r="GZ40" s="555"/>
      <c r="HA40" s="555"/>
      <c r="HB40" s="555"/>
      <c r="HC40" s="555"/>
      <c r="HD40" s="555"/>
      <c r="HE40" s="555"/>
      <c r="HF40" s="555"/>
      <c r="HG40" s="555"/>
      <c r="HH40" s="555"/>
      <c r="HI40" s="555"/>
      <c r="HJ40" s="555"/>
      <c r="HK40" s="555"/>
      <c r="HL40" s="555"/>
      <c r="HM40" s="555"/>
      <c r="HN40" s="555"/>
      <c r="HO40" s="555"/>
      <c r="HP40" s="555"/>
      <c r="HQ40" s="555"/>
      <c r="HR40" s="555"/>
      <c r="HS40" s="555"/>
      <c r="HT40" s="555"/>
      <c r="HU40" s="555"/>
      <c r="HV40" s="555"/>
      <c r="HW40" s="555"/>
      <c r="HX40" s="555"/>
      <c r="HY40" s="555"/>
      <c r="HZ40" s="555"/>
      <c r="IA40" s="555"/>
      <c r="IB40" s="555"/>
      <c r="IC40" s="555"/>
      <c r="ID40" s="555"/>
      <c r="IE40" s="555"/>
      <c r="IF40" s="555"/>
      <c r="IG40" s="555"/>
      <c r="IH40" s="555"/>
      <c r="II40" s="555"/>
      <c r="IJ40" s="555"/>
      <c r="IK40" s="555"/>
      <c r="IL40" s="555"/>
      <c r="IM40" s="555"/>
      <c r="IN40" s="555"/>
      <c r="IO40" s="555"/>
      <c r="IP40" s="555"/>
      <c r="IQ40" s="555"/>
      <c r="IR40" s="555"/>
      <c r="IS40" s="555"/>
      <c r="IT40" s="555"/>
      <c r="IU40" s="555"/>
      <c r="IV40" s="555"/>
      <c r="IW40" s="555"/>
    </row>
    <row r="41" customFormat="false" ht="10.5" hidden="false" customHeight="true" outlineLevel="0" collapsed="false">
      <c r="A41" s="635"/>
      <c r="B41" s="635"/>
      <c r="C41" s="635"/>
      <c r="D41" s="635"/>
      <c r="E41" s="635"/>
      <c r="F41" s="635"/>
      <c r="G41" s="635"/>
      <c r="H41" s="636" t="s">
        <v>577</v>
      </c>
      <c r="I41" s="636"/>
      <c r="J41" s="636"/>
      <c r="K41" s="636"/>
      <c r="L41" s="636"/>
      <c r="M41" s="636"/>
      <c r="N41" s="636"/>
      <c r="O41" s="636"/>
      <c r="P41" s="636"/>
      <c r="Q41" s="636"/>
      <c r="R41" s="636"/>
      <c r="S41" s="636"/>
      <c r="T41" s="555"/>
      <c r="U41" s="555"/>
      <c r="V41" s="555"/>
      <c r="W41" s="555"/>
      <c r="X41" s="555"/>
      <c r="Y41" s="555"/>
      <c r="Z41" s="555"/>
      <c r="AA41" s="555"/>
      <c r="AB41" s="555"/>
      <c r="AC41" s="555"/>
      <c r="AD41" s="555"/>
      <c r="AE41" s="555"/>
      <c r="AF41" s="555"/>
      <c r="AG41" s="555"/>
      <c r="AH41" s="555"/>
      <c r="AI41" s="555"/>
      <c r="AJ41" s="555"/>
      <c r="AK41" s="555"/>
      <c r="AL41" s="555"/>
      <c r="AM41" s="555"/>
      <c r="AN41" s="555"/>
      <c r="AO41" s="555"/>
      <c r="AP41" s="555"/>
      <c r="AQ41" s="555"/>
      <c r="AR41" s="555"/>
      <c r="AS41" s="555"/>
      <c r="AT41" s="555"/>
      <c r="AU41" s="555"/>
      <c r="AV41" s="555"/>
      <c r="AW41" s="555"/>
      <c r="AX41" s="555"/>
      <c r="AY41" s="555"/>
      <c r="AZ41" s="555"/>
      <c r="BA41" s="555"/>
      <c r="BB41" s="555"/>
      <c r="BC41" s="555"/>
      <c r="BD41" s="555"/>
      <c r="BE41" s="555"/>
      <c r="BF41" s="555"/>
      <c r="BG41" s="555"/>
      <c r="BH41" s="555"/>
      <c r="BI41" s="555"/>
      <c r="BJ41" s="555"/>
      <c r="BK41" s="555"/>
      <c r="BL41" s="555"/>
      <c r="BM41" s="555"/>
      <c r="BN41" s="555"/>
      <c r="BO41" s="555"/>
      <c r="BP41" s="555"/>
      <c r="BQ41" s="555"/>
      <c r="BR41" s="555"/>
      <c r="BS41" s="555"/>
      <c r="BT41" s="555"/>
      <c r="BU41" s="555"/>
      <c r="BV41" s="555"/>
      <c r="BW41" s="555"/>
      <c r="BX41" s="555"/>
      <c r="BY41" s="555"/>
      <c r="BZ41" s="555"/>
      <c r="CA41" s="555"/>
      <c r="CB41" s="555"/>
      <c r="CC41" s="555"/>
      <c r="CD41" s="555"/>
      <c r="CE41" s="555"/>
      <c r="CF41" s="555"/>
      <c r="CG41" s="555"/>
      <c r="CH41" s="555"/>
      <c r="CI41" s="555"/>
      <c r="CJ41" s="555"/>
      <c r="CK41" s="555"/>
      <c r="CL41" s="555"/>
      <c r="CM41" s="555"/>
      <c r="CN41" s="555"/>
      <c r="CO41" s="555"/>
      <c r="CP41" s="555"/>
      <c r="CQ41" s="555"/>
      <c r="CR41" s="555"/>
      <c r="CS41" s="555"/>
      <c r="CT41" s="555"/>
      <c r="CU41" s="555"/>
      <c r="CV41" s="555"/>
      <c r="CW41" s="555"/>
      <c r="CX41" s="555"/>
      <c r="CY41" s="555"/>
      <c r="CZ41" s="555"/>
      <c r="DA41" s="555"/>
      <c r="DB41" s="555"/>
      <c r="DC41" s="555"/>
      <c r="DD41" s="555"/>
      <c r="DE41" s="555"/>
      <c r="DF41" s="555"/>
      <c r="DG41" s="555"/>
      <c r="DH41" s="555"/>
      <c r="DI41" s="555"/>
      <c r="DJ41" s="555"/>
      <c r="DK41" s="555"/>
      <c r="DL41" s="555"/>
      <c r="DM41" s="555"/>
      <c r="DN41" s="555"/>
      <c r="DO41" s="555"/>
      <c r="DP41" s="555"/>
      <c r="DQ41" s="555"/>
      <c r="DR41" s="555"/>
      <c r="DS41" s="555"/>
      <c r="DT41" s="555"/>
      <c r="DU41" s="555"/>
      <c r="DV41" s="555"/>
      <c r="DW41" s="555"/>
      <c r="DX41" s="555"/>
      <c r="DY41" s="555"/>
      <c r="DZ41" s="555"/>
      <c r="EA41" s="555"/>
      <c r="EB41" s="555"/>
      <c r="EC41" s="555"/>
      <c r="ED41" s="555"/>
      <c r="EE41" s="555"/>
      <c r="EF41" s="555"/>
      <c r="EG41" s="555"/>
      <c r="EH41" s="555"/>
      <c r="EI41" s="555"/>
      <c r="EJ41" s="555"/>
      <c r="EK41" s="555"/>
      <c r="EL41" s="555"/>
      <c r="EM41" s="555"/>
      <c r="EN41" s="555"/>
      <c r="EO41" s="555"/>
      <c r="EP41" s="555"/>
      <c r="EQ41" s="555"/>
      <c r="ER41" s="555"/>
      <c r="ES41" s="555"/>
      <c r="ET41" s="555"/>
      <c r="EU41" s="555"/>
      <c r="EV41" s="555"/>
      <c r="EW41" s="555"/>
      <c r="EX41" s="555"/>
      <c r="EY41" s="555"/>
      <c r="EZ41" s="555"/>
      <c r="FA41" s="555"/>
      <c r="FB41" s="555"/>
      <c r="FC41" s="555"/>
      <c r="FD41" s="555"/>
      <c r="FE41" s="555"/>
      <c r="FF41" s="555"/>
      <c r="FG41" s="555"/>
      <c r="FH41" s="555"/>
      <c r="FI41" s="555"/>
      <c r="FJ41" s="555"/>
      <c r="FK41" s="555"/>
      <c r="FL41" s="555"/>
      <c r="FM41" s="555"/>
      <c r="FN41" s="555"/>
      <c r="FO41" s="555"/>
      <c r="FP41" s="555"/>
      <c r="FQ41" s="555"/>
      <c r="FR41" s="555"/>
      <c r="FS41" s="555"/>
      <c r="FT41" s="555"/>
      <c r="FU41" s="555"/>
      <c r="FV41" s="555"/>
      <c r="FW41" s="555"/>
      <c r="FX41" s="555"/>
      <c r="FY41" s="555"/>
      <c r="FZ41" s="555"/>
      <c r="GA41" s="555"/>
      <c r="GB41" s="555"/>
      <c r="GC41" s="555"/>
      <c r="GD41" s="555"/>
      <c r="GE41" s="555"/>
      <c r="GF41" s="555"/>
      <c r="GG41" s="555"/>
      <c r="GH41" s="555"/>
      <c r="GI41" s="555"/>
      <c r="GJ41" s="555"/>
      <c r="GK41" s="555"/>
      <c r="GL41" s="555"/>
      <c r="GM41" s="555"/>
      <c r="GN41" s="555"/>
      <c r="GO41" s="555"/>
      <c r="GP41" s="555"/>
      <c r="GQ41" s="555"/>
      <c r="GR41" s="555"/>
      <c r="GS41" s="555"/>
      <c r="GT41" s="555"/>
      <c r="GU41" s="555"/>
      <c r="GV41" s="555"/>
      <c r="GW41" s="555"/>
      <c r="GX41" s="555"/>
      <c r="GY41" s="555"/>
      <c r="GZ41" s="555"/>
      <c r="HA41" s="555"/>
      <c r="HB41" s="555"/>
      <c r="HC41" s="555"/>
      <c r="HD41" s="555"/>
      <c r="HE41" s="555"/>
      <c r="HF41" s="555"/>
      <c r="HG41" s="555"/>
      <c r="HH41" s="555"/>
      <c r="HI41" s="555"/>
      <c r="HJ41" s="555"/>
      <c r="HK41" s="555"/>
      <c r="HL41" s="555"/>
      <c r="HM41" s="555"/>
      <c r="HN41" s="555"/>
      <c r="HO41" s="555"/>
      <c r="HP41" s="555"/>
      <c r="HQ41" s="555"/>
      <c r="HR41" s="555"/>
      <c r="HS41" s="555"/>
      <c r="HT41" s="555"/>
      <c r="HU41" s="555"/>
      <c r="HV41" s="555"/>
      <c r="HW41" s="555"/>
      <c r="HX41" s="555"/>
      <c r="HY41" s="555"/>
      <c r="HZ41" s="555"/>
      <c r="IA41" s="555"/>
      <c r="IB41" s="555"/>
      <c r="IC41" s="555"/>
      <c r="ID41" s="555"/>
      <c r="IE41" s="555"/>
      <c r="IF41" s="555"/>
      <c r="IG41" s="555"/>
      <c r="IH41" s="555"/>
      <c r="II41" s="555"/>
      <c r="IJ41" s="555"/>
      <c r="IK41" s="555"/>
      <c r="IL41" s="555"/>
      <c r="IM41" s="555"/>
      <c r="IN41" s="555"/>
      <c r="IO41" s="555"/>
      <c r="IP41" s="555"/>
      <c r="IQ41" s="555"/>
      <c r="IR41" s="555"/>
      <c r="IS41" s="555"/>
      <c r="IT41" s="555"/>
      <c r="IU41" s="555"/>
      <c r="IV41" s="555"/>
      <c r="IW41" s="555"/>
    </row>
    <row r="42" customFormat="false" ht="18.75" hidden="false" customHeight="false" outlineLevel="0" collapsed="false">
      <c r="A42" s="637"/>
    </row>
  </sheetData>
  <mergeCells count="81">
    <mergeCell ref="A1:J1"/>
    <mergeCell ref="A2:S2"/>
    <mergeCell ref="A3:H3"/>
    <mergeCell ref="J3:K3"/>
    <mergeCell ref="A4:A9"/>
    <mergeCell ref="B4:J4"/>
    <mergeCell ref="K4:S4"/>
    <mergeCell ref="B5:J5"/>
    <mergeCell ref="K5:S5"/>
    <mergeCell ref="B6:J6"/>
    <mergeCell ref="K6:S6"/>
    <mergeCell ref="C7:D7"/>
    <mergeCell ref="E7:G7"/>
    <mergeCell ref="H7:I7"/>
    <mergeCell ref="K7:L7"/>
    <mergeCell ref="N7:O7"/>
    <mergeCell ref="P7:R7"/>
    <mergeCell ref="B8:H8"/>
    <mergeCell ref="B9:S9"/>
    <mergeCell ref="A10:K10"/>
    <mergeCell ref="A11:A25"/>
    <mergeCell ref="B11:J11"/>
    <mergeCell ref="K11:S11"/>
    <mergeCell ref="C12:F13"/>
    <mergeCell ref="G12:G13"/>
    <mergeCell ref="H12:I13"/>
    <mergeCell ref="K12:N12"/>
    <mergeCell ref="P12:S12"/>
    <mergeCell ref="C14:F15"/>
    <mergeCell ref="G14:G15"/>
    <mergeCell ref="H14:I15"/>
    <mergeCell ref="K14:N14"/>
    <mergeCell ref="P14:S14"/>
    <mergeCell ref="C16:F17"/>
    <mergeCell ref="G16:G17"/>
    <mergeCell ref="H16:I17"/>
    <mergeCell ref="K16:N16"/>
    <mergeCell ref="P16:S16"/>
    <mergeCell ref="C18:F19"/>
    <mergeCell ref="G18:G19"/>
    <mergeCell ref="H18:I19"/>
    <mergeCell ref="K18:N18"/>
    <mergeCell ref="P18:S18"/>
    <mergeCell ref="C20:F21"/>
    <mergeCell ref="G20:G21"/>
    <mergeCell ref="H20:I21"/>
    <mergeCell ref="K20:N20"/>
    <mergeCell ref="P20:S20"/>
    <mergeCell ref="C22:F23"/>
    <mergeCell ref="G22:G23"/>
    <mergeCell ref="H22:I23"/>
    <mergeCell ref="K22:N22"/>
    <mergeCell ref="P22:S22"/>
    <mergeCell ref="C24:F25"/>
    <mergeCell ref="G24:G25"/>
    <mergeCell ref="H24:I25"/>
    <mergeCell ref="K24:N24"/>
    <mergeCell ref="P24:S24"/>
    <mergeCell ref="A26:A27"/>
    <mergeCell ref="B26:G27"/>
    <mergeCell ref="H26:I27"/>
    <mergeCell ref="J26:N27"/>
    <mergeCell ref="O26:O27"/>
    <mergeCell ref="P26:P27"/>
    <mergeCell ref="Q26:Q27"/>
    <mergeCell ref="R26:R27"/>
    <mergeCell ref="A28:K28"/>
    <mergeCell ref="A29:S29"/>
    <mergeCell ref="L30:S30"/>
    <mergeCell ref="I31:K31"/>
    <mergeCell ref="L31:O31"/>
    <mergeCell ref="P31:R31"/>
    <mergeCell ref="A32:K32"/>
    <mergeCell ref="B33:G33"/>
    <mergeCell ref="A35:S35"/>
    <mergeCell ref="A36:A40"/>
    <mergeCell ref="B36:S36"/>
    <mergeCell ref="B37:S37"/>
    <mergeCell ref="B39:S39"/>
    <mergeCell ref="B40:S40"/>
    <mergeCell ref="H41:S41"/>
  </mergeCells>
  <printOptions headings="false" gridLines="false" gridLinesSet="true" horizontalCentered="true" verticalCentered="false"/>
  <pageMargins left="0.28" right="0.28" top="0.7874015748031497" bottom="0.4" header="0.5118110236220472" footer="0.5118110236220472"/>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8"/>
  <sheetViews>
    <sheetView showFormulas="false" showGridLines="false" showRowColHeaders="true" showZeros="false" rightToLeft="false" tabSelected="false" showOutlineSymbols="true" defaultGridColor="true" view="normal" topLeftCell="A1" colorId="64" zoomScale="100" zoomScaleNormal="100" zoomScalePageLayoutView="100" workbookViewId="0">
      <selection pane="topLeft" activeCell="Q19" activeCellId="0" sqref="Q19"/>
    </sheetView>
  </sheetViews>
  <sheetFormatPr defaultColWidth="8.88671875" defaultRowHeight="16.5" customHeight="false" zeroHeight="false" outlineLevelRow="0" outlineLevelCol="0"/>
  <cols>
    <col collapsed="false" customWidth="true" hidden="false" outlineLevel="0" max="1" min="1" style="506" width="10.66"/>
    <col collapsed="false" customWidth="true" hidden="false" outlineLevel="0" max="2" min="2" style="506" width="6.66"/>
    <col collapsed="false" customWidth="true" hidden="false" outlineLevel="0" max="3" min="3" style="506" width="4.1"/>
    <col collapsed="false" customWidth="true" hidden="false" outlineLevel="0" max="4" min="4" style="506" width="4.44"/>
    <col collapsed="false" customWidth="true" hidden="false" outlineLevel="0" max="5" min="5" style="506" width="7.77"/>
    <col collapsed="false" customWidth="true" hidden="false" outlineLevel="0" max="6" min="6" style="506" width="6.44"/>
    <col collapsed="false" customWidth="true" hidden="false" outlineLevel="0" max="7" min="7" style="506" width="6.1"/>
    <col collapsed="false" customWidth="true" hidden="false" outlineLevel="0" max="8" min="8" style="506" width="1.55"/>
    <col collapsed="false" customWidth="true" hidden="false" outlineLevel="0" max="9" min="9" style="506" width="7.88"/>
    <col collapsed="false" customWidth="true" hidden="false" outlineLevel="0" max="10" min="10" style="506" width="1.88"/>
    <col collapsed="false" customWidth="true" hidden="false" outlineLevel="0" max="11" min="11" style="506" width="3.77"/>
    <col collapsed="false" customWidth="true" hidden="false" outlineLevel="0" max="12" min="12" style="506" width="9.54"/>
    <col collapsed="false" customWidth="false" hidden="false" outlineLevel="0" max="257" min="13" style="506" width="8.88"/>
  </cols>
  <sheetData>
    <row r="1" customFormat="false" ht="20.25" hidden="false" customHeight="true" outlineLevel="0" collapsed="false">
      <c r="A1" s="553" t="s">
        <v>578</v>
      </c>
      <c r="B1" s="553"/>
      <c r="C1" s="553"/>
      <c r="D1" s="553"/>
      <c r="E1" s="553"/>
      <c r="F1" s="553"/>
      <c r="G1" s="553"/>
      <c r="H1" s="553"/>
      <c r="I1" s="554"/>
      <c r="J1" s="554"/>
      <c r="K1" s="554"/>
      <c r="L1" s="554"/>
      <c r="M1" s="555"/>
      <c r="N1" s="555"/>
      <c r="O1" s="555"/>
      <c r="P1" s="555"/>
      <c r="Q1" s="555"/>
      <c r="R1" s="555"/>
      <c r="S1" s="555"/>
      <c r="T1" s="555"/>
      <c r="U1" s="555"/>
      <c r="V1" s="555"/>
      <c r="W1" s="555"/>
      <c r="X1" s="555"/>
      <c r="Y1" s="555"/>
      <c r="Z1" s="555"/>
      <c r="AA1" s="555"/>
      <c r="AB1" s="555"/>
      <c r="AC1" s="555"/>
      <c r="AD1" s="555"/>
      <c r="AE1" s="555"/>
      <c r="AF1" s="555"/>
      <c r="AG1" s="555"/>
      <c r="AH1" s="555"/>
      <c r="AI1" s="555"/>
      <c r="AJ1" s="555"/>
      <c r="AK1" s="555"/>
      <c r="AL1" s="555"/>
      <c r="AM1" s="555"/>
      <c r="AN1" s="555"/>
      <c r="AO1" s="555"/>
      <c r="AP1" s="555"/>
      <c r="AQ1" s="555"/>
      <c r="AR1" s="555"/>
      <c r="AS1" s="555"/>
      <c r="AT1" s="555"/>
      <c r="AU1" s="555"/>
      <c r="AV1" s="555"/>
      <c r="AW1" s="555"/>
      <c r="AX1" s="555"/>
      <c r="AY1" s="555"/>
      <c r="AZ1" s="555"/>
      <c r="BA1" s="555"/>
      <c r="BB1" s="555"/>
      <c r="BC1" s="555"/>
      <c r="BD1" s="555"/>
      <c r="BE1" s="555"/>
      <c r="BF1" s="555"/>
      <c r="BG1" s="555"/>
      <c r="BH1" s="555"/>
      <c r="BI1" s="555"/>
      <c r="BJ1" s="555"/>
      <c r="BK1" s="555"/>
      <c r="BL1" s="555"/>
      <c r="BM1" s="555"/>
      <c r="BN1" s="555"/>
      <c r="BO1" s="555"/>
      <c r="BP1" s="555"/>
      <c r="BQ1" s="555"/>
      <c r="BR1" s="555"/>
      <c r="BS1" s="555"/>
      <c r="BT1" s="555"/>
      <c r="BU1" s="555"/>
      <c r="BV1" s="555"/>
      <c r="BW1" s="555"/>
      <c r="BX1" s="555"/>
      <c r="BY1" s="555"/>
      <c r="BZ1" s="555"/>
      <c r="CA1" s="555"/>
      <c r="CB1" s="555"/>
      <c r="CC1" s="555"/>
      <c r="CD1" s="555"/>
      <c r="CE1" s="555"/>
      <c r="CF1" s="555"/>
      <c r="CG1" s="555"/>
      <c r="CH1" s="555"/>
      <c r="CI1" s="555"/>
      <c r="CJ1" s="555"/>
      <c r="CK1" s="555"/>
      <c r="CL1" s="555"/>
      <c r="CM1" s="555"/>
      <c r="CN1" s="555"/>
      <c r="CO1" s="555"/>
      <c r="CP1" s="555"/>
      <c r="CQ1" s="555"/>
      <c r="CR1" s="555"/>
      <c r="CS1" s="555"/>
      <c r="CT1" s="555"/>
      <c r="CU1" s="555"/>
      <c r="CV1" s="555"/>
      <c r="CW1" s="555"/>
      <c r="CX1" s="555"/>
      <c r="CY1" s="555"/>
      <c r="CZ1" s="555"/>
      <c r="DA1" s="555"/>
      <c r="DB1" s="555"/>
      <c r="DC1" s="555"/>
      <c r="DD1" s="555"/>
      <c r="DE1" s="555"/>
      <c r="DF1" s="555"/>
      <c r="DG1" s="555"/>
      <c r="DH1" s="555"/>
      <c r="DI1" s="555"/>
      <c r="DJ1" s="555"/>
      <c r="DK1" s="555"/>
      <c r="DL1" s="555"/>
      <c r="DM1" s="555"/>
      <c r="DN1" s="555"/>
      <c r="DO1" s="555"/>
      <c r="DP1" s="555"/>
      <c r="DQ1" s="555"/>
      <c r="DR1" s="555"/>
      <c r="DS1" s="555"/>
      <c r="DT1" s="555"/>
      <c r="DU1" s="555"/>
      <c r="DV1" s="555"/>
      <c r="DW1" s="555"/>
      <c r="DX1" s="555"/>
      <c r="DY1" s="555"/>
      <c r="DZ1" s="555"/>
      <c r="EA1" s="555"/>
      <c r="EB1" s="555"/>
      <c r="EC1" s="555"/>
      <c r="ED1" s="555"/>
      <c r="EE1" s="555"/>
      <c r="EF1" s="555"/>
      <c r="EG1" s="555"/>
      <c r="EH1" s="555"/>
      <c r="EI1" s="555"/>
      <c r="EJ1" s="555"/>
      <c r="EK1" s="555"/>
      <c r="EL1" s="555"/>
      <c r="EM1" s="555"/>
      <c r="EN1" s="555"/>
      <c r="EO1" s="555"/>
      <c r="EP1" s="555"/>
      <c r="EQ1" s="555"/>
      <c r="ER1" s="555"/>
      <c r="ES1" s="555"/>
      <c r="ET1" s="555"/>
      <c r="EU1" s="555"/>
      <c r="EV1" s="555"/>
      <c r="EW1" s="555"/>
      <c r="EX1" s="555"/>
      <c r="EY1" s="555"/>
      <c r="EZ1" s="555"/>
      <c r="FA1" s="555"/>
      <c r="FB1" s="555"/>
      <c r="FC1" s="555"/>
      <c r="FD1" s="555"/>
      <c r="FE1" s="555"/>
      <c r="FF1" s="555"/>
      <c r="FG1" s="555"/>
      <c r="FH1" s="555"/>
      <c r="FI1" s="555"/>
      <c r="FJ1" s="555"/>
      <c r="FK1" s="555"/>
      <c r="FL1" s="555"/>
      <c r="FM1" s="555"/>
      <c r="FN1" s="555"/>
      <c r="FO1" s="555"/>
      <c r="FP1" s="555"/>
      <c r="FQ1" s="555"/>
      <c r="FR1" s="555"/>
      <c r="FS1" s="555"/>
      <c r="FT1" s="555"/>
      <c r="FU1" s="555"/>
      <c r="FV1" s="555"/>
      <c r="FW1" s="555"/>
      <c r="FX1" s="555"/>
      <c r="FY1" s="555"/>
      <c r="FZ1" s="555"/>
      <c r="GA1" s="555"/>
      <c r="GB1" s="555"/>
      <c r="GC1" s="555"/>
      <c r="GD1" s="555"/>
      <c r="GE1" s="555"/>
      <c r="GF1" s="555"/>
      <c r="GG1" s="555"/>
      <c r="GH1" s="555"/>
      <c r="GI1" s="555"/>
      <c r="GJ1" s="555"/>
      <c r="GK1" s="555"/>
      <c r="GL1" s="555"/>
      <c r="GM1" s="555"/>
      <c r="GN1" s="555"/>
      <c r="GO1" s="555"/>
      <c r="GP1" s="555"/>
      <c r="GQ1" s="555"/>
      <c r="GR1" s="555"/>
      <c r="GS1" s="555"/>
      <c r="GT1" s="555"/>
      <c r="GU1" s="555"/>
      <c r="GV1" s="555"/>
      <c r="GW1" s="555"/>
      <c r="GX1" s="555"/>
      <c r="GY1" s="555"/>
      <c r="GZ1" s="555"/>
      <c r="HA1" s="555"/>
      <c r="HB1" s="555"/>
      <c r="HC1" s="555"/>
      <c r="HD1" s="555"/>
      <c r="HE1" s="555"/>
      <c r="HF1" s="555"/>
      <c r="HG1" s="555"/>
      <c r="HH1" s="555"/>
      <c r="HI1" s="555"/>
      <c r="HJ1" s="555"/>
      <c r="HK1" s="555"/>
      <c r="HL1" s="555"/>
      <c r="HM1" s="555"/>
      <c r="HN1" s="555"/>
      <c r="HO1" s="555"/>
      <c r="HP1" s="555"/>
      <c r="HQ1" s="555"/>
      <c r="HR1" s="555"/>
      <c r="HS1" s="555"/>
      <c r="HT1" s="555"/>
      <c r="HU1" s="555"/>
      <c r="HV1" s="555"/>
      <c r="HW1" s="555"/>
      <c r="HX1" s="555"/>
      <c r="HY1" s="555"/>
      <c r="HZ1" s="555"/>
      <c r="IA1" s="555"/>
      <c r="IB1" s="555"/>
      <c r="IC1" s="555"/>
      <c r="ID1" s="555"/>
      <c r="IE1" s="555"/>
      <c r="IF1" s="555"/>
      <c r="IG1" s="555"/>
      <c r="IH1" s="555"/>
      <c r="II1" s="555"/>
      <c r="IJ1" s="555"/>
      <c r="IK1" s="555"/>
      <c r="IL1" s="555"/>
      <c r="IM1" s="555"/>
      <c r="IN1" s="555"/>
      <c r="IO1" s="555"/>
      <c r="IP1" s="555"/>
      <c r="IQ1" s="555"/>
      <c r="IR1" s="555"/>
      <c r="IS1" s="555"/>
      <c r="IT1" s="555"/>
      <c r="IU1" s="555"/>
      <c r="IV1" s="555"/>
      <c r="IW1" s="555"/>
    </row>
    <row r="2" customFormat="false" ht="34.5" hidden="false" customHeight="true" outlineLevel="0" collapsed="false">
      <c r="A2" s="509" t="s">
        <v>579</v>
      </c>
      <c r="B2" s="509"/>
      <c r="C2" s="509"/>
      <c r="D2" s="509"/>
      <c r="E2" s="509"/>
      <c r="F2" s="509"/>
      <c r="G2" s="509"/>
      <c r="H2" s="509"/>
      <c r="I2" s="509"/>
      <c r="J2" s="509"/>
      <c r="K2" s="509"/>
      <c r="L2" s="509"/>
      <c r="M2" s="555"/>
      <c r="N2" s="555"/>
      <c r="O2" s="555"/>
      <c r="P2" s="555"/>
      <c r="Q2" s="555"/>
      <c r="R2" s="555"/>
      <c r="S2" s="555"/>
      <c r="T2" s="555"/>
      <c r="U2" s="555"/>
      <c r="V2" s="555"/>
      <c r="W2" s="555"/>
      <c r="X2" s="555"/>
      <c r="Y2" s="555"/>
      <c r="Z2" s="555"/>
      <c r="AA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c r="BA2" s="555"/>
      <c r="BB2" s="555"/>
      <c r="BC2" s="555"/>
      <c r="BD2" s="555"/>
      <c r="BE2" s="555"/>
      <c r="BF2" s="555"/>
      <c r="BG2" s="555"/>
      <c r="BH2" s="555"/>
      <c r="BI2" s="555"/>
      <c r="BJ2" s="555"/>
      <c r="BK2" s="555"/>
      <c r="BL2" s="555"/>
      <c r="BM2" s="555"/>
      <c r="BN2" s="555"/>
      <c r="BO2" s="555"/>
      <c r="BP2" s="555"/>
      <c r="BQ2" s="555"/>
      <c r="BR2" s="555"/>
      <c r="BS2" s="555"/>
      <c r="BT2" s="555"/>
      <c r="BU2" s="555"/>
      <c r="BV2" s="555"/>
      <c r="BW2" s="555"/>
      <c r="BX2" s="555"/>
      <c r="BY2" s="555"/>
      <c r="BZ2" s="555"/>
      <c r="CA2" s="555"/>
      <c r="CB2" s="555"/>
      <c r="CC2" s="555"/>
      <c r="CD2" s="555"/>
      <c r="CE2" s="555"/>
      <c r="CF2" s="555"/>
      <c r="CG2" s="555"/>
      <c r="CH2" s="555"/>
      <c r="CI2" s="555"/>
      <c r="CJ2" s="555"/>
      <c r="CK2" s="555"/>
      <c r="CL2" s="555"/>
      <c r="CM2" s="555"/>
      <c r="CN2" s="555"/>
      <c r="CO2" s="555"/>
      <c r="CP2" s="555"/>
      <c r="CQ2" s="555"/>
      <c r="CR2" s="555"/>
      <c r="CS2" s="555"/>
      <c r="CT2" s="555"/>
      <c r="CU2" s="555"/>
      <c r="CV2" s="555"/>
      <c r="CW2" s="555"/>
      <c r="CX2" s="555"/>
      <c r="CY2" s="555"/>
      <c r="CZ2" s="555"/>
      <c r="DA2" s="555"/>
      <c r="DB2" s="555"/>
      <c r="DC2" s="555"/>
      <c r="DD2" s="555"/>
      <c r="DE2" s="555"/>
      <c r="DF2" s="555"/>
      <c r="DG2" s="555"/>
      <c r="DH2" s="555"/>
      <c r="DI2" s="555"/>
      <c r="DJ2" s="555"/>
      <c r="DK2" s="555"/>
      <c r="DL2" s="555"/>
      <c r="DM2" s="555"/>
      <c r="DN2" s="555"/>
      <c r="DO2" s="555"/>
      <c r="DP2" s="555"/>
      <c r="DQ2" s="555"/>
      <c r="DR2" s="555"/>
      <c r="DS2" s="555"/>
      <c r="DT2" s="555"/>
      <c r="DU2" s="555"/>
      <c r="DV2" s="555"/>
      <c r="DW2" s="555"/>
      <c r="DX2" s="555"/>
      <c r="DY2" s="555"/>
      <c r="DZ2" s="555"/>
      <c r="EA2" s="555"/>
      <c r="EB2" s="555"/>
      <c r="EC2" s="555"/>
      <c r="ED2" s="555"/>
      <c r="EE2" s="555"/>
      <c r="EF2" s="555"/>
      <c r="EG2" s="555"/>
      <c r="EH2" s="555"/>
      <c r="EI2" s="555"/>
      <c r="EJ2" s="555"/>
      <c r="EK2" s="555"/>
      <c r="EL2" s="555"/>
      <c r="EM2" s="555"/>
      <c r="EN2" s="555"/>
      <c r="EO2" s="555"/>
      <c r="EP2" s="555"/>
      <c r="EQ2" s="555"/>
      <c r="ER2" s="555"/>
      <c r="ES2" s="555"/>
      <c r="ET2" s="555"/>
      <c r="EU2" s="555"/>
      <c r="EV2" s="555"/>
      <c r="EW2" s="555"/>
      <c r="EX2" s="555"/>
      <c r="EY2" s="555"/>
      <c r="EZ2" s="555"/>
      <c r="FA2" s="555"/>
      <c r="FB2" s="555"/>
      <c r="FC2" s="555"/>
      <c r="FD2" s="555"/>
      <c r="FE2" s="555"/>
      <c r="FF2" s="555"/>
      <c r="FG2" s="555"/>
      <c r="FH2" s="555"/>
      <c r="FI2" s="555"/>
      <c r="FJ2" s="555"/>
      <c r="FK2" s="555"/>
      <c r="FL2" s="555"/>
      <c r="FM2" s="555"/>
      <c r="FN2" s="555"/>
      <c r="FO2" s="555"/>
      <c r="FP2" s="555"/>
      <c r="FQ2" s="555"/>
      <c r="FR2" s="555"/>
      <c r="FS2" s="555"/>
      <c r="FT2" s="555"/>
      <c r="FU2" s="555"/>
      <c r="FV2" s="555"/>
      <c r="FW2" s="555"/>
      <c r="FX2" s="555"/>
      <c r="FY2" s="555"/>
      <c r="FZ2" s="555"/>
      <c r="GA2" s="555"/>
      <c r="GB2" s="555"/>
      <c r="GC2" s="555"/>
      <c r="GD2" s="555"/>
      <c r="GE2" s="555"/>
      <c r="GF2" s="555"/>
      <c r="GG2" s="555"/>
      <c r="GH2" s="555"/>
      <c r="GI2" s="555"/>
      <c r="GJ2" s="555"/>
      <c r="GK2" s="555"/>
      <c r="GL2" s="555"/>
      <c r="GM2" s="555"/>
      <c r="GN2" s="555"/>
      <c r="GO2" s="555"/>
      <c r="GP2" s="555"/>
      <c r="GQ2" s="555"/>
      <c r="GR2" s="555"/>
      <c r="GS2" s="555"/>
      <c r="GT2" s="555"/>
      <c r="GU2" s="555"/>
      <c r="GV2" s="555"/>
      <c r="GW2" s="555"/>
      <c r="GX2" s="555"/>
      <c r="GY2" s="555"/>
      <c r="GZ2" s="555"/>
      <c r="HA2" s="555"/>
      <c r="HB2" s="555"/>
      <c r="HC2" s="555"/>
      <c r="HD2" s="555"/>
      <c r="HE2" s="555"/>
      <c r="HF2" s="555"/>
      <c r="HG2" s="555"/>
      <c r="HH2" s="555"/>
      <c r="HI2" s="555"/>
      <c r="HJ2" s="555"/>
      <c r="HK2" s="555"/>
      <c r="HL2" s="555"/>
      <c r="HM2" s="555"/>
      <c r="HN2" s="555"/>
      <c r="HO2" s="555"/>
      <c r="HP2" s="555"/>
      <c r="HQ2" s="555"/>
      <c r="HR2" s="555"/>
      <c r="HS2" s="555"/>
      <c r="HT2" s="555"/>
      <c r="HU2" s="555"/>
      <c r="HV2" s="555"/>
      <c r="HW2" s="555"/>
      <c r="HX2" s="555"/>
      <c r="HY2" s="555"/>
      <c r="HZ2" s="555"/>
      <c r="IA2" s="555"/>
      <c r="IB2" s="555"/>
      <c r="IC2" s="555"/>
      <c r="ID2" s="555"/>
      <c r="IE2" s="555"/>
      <c r="IF2" s="555"/>
      <c r="IG2" s="555"/>
      <c r="IH2" s="555"/>
      <c r="II2" s="555"/>
      <c r="IJ2" s="555"/>
      <c r="IK2" s="555"/>
      <c r="IL2" s="555"/>
      <c r="IM2" s="555"/>
      <c r="IN2" s="555"/>
      <c r="IO2" s="555"/>
      <c r="IP2" s="555"/>
      <c r="IQ2" s="555"/>
      <c r="IR2" s="555"/>
      <c r="IS2" s="555"/>
      <c r="IT2" s="555"/>
      <c r="IU2" s="555"/>
      <c r="IV2" s="555"/>
      <c r="IW2" s="555"/>
    </row>
    <row r="3" customFormat="false" ht="18.75" hidden="false" customHeight="true" outlineLevel="0" collapsed="false">
      <c r="A3" s="556"/>
      <c r="B3" s="556"/>
      <c r="C3" s="556"/>
      <c r="D3" s="556"/>
      <c r="E3" s="556"/>
      <c r="F3" s="556"/>
      <c r="G3" s="556"/>
      <c r="H3" s="557"/>
      <c r="I3" s="557"/>
      <c r="J3" s="558"/>
      <c r="K3" s="558"/>
      <c r="L3" s="558"/>
      <c r="M3" s="555"/>
      <c r="N3" s="555"/>
      <c r="O3" s="555"/>
      <c r="P3" s="555"/>
      <c r="Q3" s="555"/>
      <c r="R3" s="555"/>
      <c r="S3" s="555"/>
      <c r="T3" s="555"/>
      <c r="U3" s="555"/>
      <c r="V3" s="555"/>
      <c r="W3" s="555"/>
      <c r="X3" s="555"/>
      <c r="Y3" s="555"/>
      <c r="Z3" s="555"/>
      <c r="AA3" s="555"/>
      <c r="AB3" s="555"/>
      <c r="AC3" s="555"/>
      <c r="AD3" s="555"/>
      <c r="AE3" s="555"/>
      <c r="AF3" s="555"/>
      <c r="AG3" s="555"/>
      <c r="AH3" s="555"/>
      <c r="AI3" s="555"/>
      <c r="AJ3" s="555"/>
      <c r="AK3" s="555"/>
      <c r="AL3" s="555"/>
      <c r="AM3" s="555"/>
      <c r="AN3" s="555"/>
      <c r="AO3" s="555"/>
      <c r="AP3" s="555"/>
      <c r="AQ3" s="555"/>
      <c r="AR3" s="555"/>
      <c r="AS3" s="555"/>
      <c r="AT3" s="555"/>
      <c r="AU3" s="555"/>
      <c r="AV3" s="555"/>
      <c r="AW3" s="555"/>
      <c r="AX3" s="555"/>
      <c r="AY3" s="555"/>
      <c r="AZ3" s="555"/>
      <c r="BA3" s="555"/>
      <c r="BB3" s="555"/>
      <c r="BC3" s="555"/>
      <c r="BD3" s="555"/>
      <c r="BE3" s="555"/>
      <c r="BF3" s="555"/>
      <c r="BG3" s="555"/>
      <c r="BH3" s="555"/>
      <c r="BI3" s="555"/>
      <c r="BJ3" s="555"/>
      <c r="BK3" s="555"/>
      <c r="BL3" s="555"/>
      <c r="BM3" s="555"/>
      <c r="BN3" s="555"/>
      <c r="BO3" s="555"/>
      <c r="BP3" s="555"/>
      <c r="BQ3" s="555"/>
      <c r="BR3" s="555"/>
      <c r="BS3" s="555"/>
      <c r="BT3" s="555"/>
      <c r="BU3" s="555"/>
      <c r="BV3" s="555"/>
      <c r="BW3" s="555"/>
      <c r="BX3" s="555"/>
      <c r="BY3" s="555"/>
      <c r="BZ3" s="555"/>
      <c r="CA3" s="555"/>
      <c r="CB3" s="555"/>
      <c r="CC3" s="555"/>
      <c r="CD3" s="555"/>
      <c r="CE3" s="555"/>
      <c r="CF3" s="555"/>
      <c r="CG3" s="555"/>
      <c r="CH3" s="555"/>
      <c r="CI3" s="555"/>
      <c r="CJ3" s="555"/>
      <c r="CK3" s="555"/>
      <c r="CL3" s="555"/>
      <c r="CM3" s="555"/>
      <c r="CN3" s="555"/>
      <c r="CO3" s="555"/>
      <c r="CP3" s="555"/>
      <c r="CQ3" s="555"/>
      <c r="CR3" s="555"/>
      <c r="CS3" s="555"/>
      <c r="CT3" s="555"/>
      <c r="CU3" s="555"/>
      <c r="CV3" s="555"/>
      <c r="CW3" s="555"/>
      <c r="CX3" s="555"/>
      <c r="CY3" s="555"/>
      <c r="CZ3" s="555"/>
      <c r="DA3" s="555"/>
      <c r="DB3" s="555"/>
      <c r="DC3" s="555"/>
      <c r="DD3" s="555"/>
      <c r="DE3" s="555"/>
      <c r="DF3" s="555"/>
      <c r="DG3" s="555"/>
      <c r="DH3" s="555"/>
      <c r="DI3" s="555"/>
      <c r="DJ3" s="555"/>
      <c r="DK3" s="555"/>
      <c r="DL3" s="555"/>
      <c r="DM3" s="555"/>
      <c r="DN3" s="555"/>
      <c r="DO3" s="555"/>
      <c r="DP3" s="555"/>
      <c r="DQ3" s="555"/>
      <c r="DR3" s="555"/>
      <c r="DS3" s="555"/>
      <c r="DT3" s="555"/>
      <c r="DU3" s="555"/>
      <c r="DV3" s="555"/>
      <c r="DW3" s="555"/>
      <c r="DX3" s="555"/>
      <c r="DY3" s="555"/>
      <c r="DZ3" s="555"/>
      <c r="EA3" s="555"/>
      <c r="EB3" s="555"/>
      <c r="EC3" s="555"/>
      <c r="ED3" s="555"/>
      <c r="EE3" s="555"/>
      <c r="EF3" s="555"/>
      <c r="EG3" s="555"/>
      <c r="EH3" s="555"/>
      <c r="EI3" s="555"/>
      <c r="EJ3" s="555"/>
      <c r="EK3" s="555"/>
      <c r="EL3" s="555"/>
      <c r="EM3" s="555"/>
      <c r="EN3" s="555"/>
      <c r="EO3" s="555"/>
      <c r="EP3" s="555"/>
      <c r="EQ3" s="555"/>
      <c r="ER3" s="555"/>
      <c r="ES3" s="555"/>
      <c r="ET3" s="555"/>
      <c r="EU3" s="555"/>
      <c r="EV3" s="555"/>
      <c r="EW3" s="555"/>
      <c r="EX3" s="555"/>
      <c r="EY3" s="555"/>
      <c r="EZ3" s="555"/>
      <c r="FA3" s="555"/>
      <c r="FB3" s="555"/>
      <c r="FC3" s="555"/>
      <c r="FD3" s="555"/>
      <c r="FE3" s="555"/>
      <c r="FF3" s="555"/>
      <c r="FG3" s="555"/>
      <c r="FH3" s="555"/>
      <c r="FI3" s="555"/>
      <c r="FJ3" s="555"/>
      <c r="FK3" s="555"/>
      <c r="FL3" s="555"/>
      <c r="FM3" s="555"/>
      <c r="FN3" s="555"/>
      <c r="FO3" s="555"/>
      <c r="FP3" s="555"/>
      <c r="FQ3" s="555"/>
      <c r="FR3" s="555"/>
      <c r="FS3" s="555"/>
      <c r="FT3" s="555"/>
      <c r="FU3" s="555"/>
      <c r="FV3" s="555"/>
      <c r="FW3" s="555"/>
      <c r="FX3" s="555"/>
      <c r="FY3" s="555"/>
      <c r="FZ3" s="555"/>
      <c r="GA3" s="555"/>
      <c r="GB3" s="555"/>
      <c r="GC3" s="555"/>
      <c r="GD3" s="555"/>
      <c r="GE3" s="555"/>
      <c r="GF3" s="555"/>
      <c r="GG3" s="555"/>
      <c r="GH3" s="555"/>
      <c r="GI3" s="555"/>
      <c r="GJ3" s="555"/>
      <c r="GK3" s="555"/>
      <c r="GL3" s="555"/>
      <c r="GM3" s="555"/>
      <c r="GN3" s="555"/>
      <c r="GO3" s="555"/>
      <c r="GP3" s="555"/>
      <c r="GQ3" s="555"/>
      <c r="GR3" s="555"/>
      <c r="GS3" s="555"/>
      <c r="GT3" s="555"/>
      <c r="GU3" s="555"/>
      <c r="GV3" s="555"/>
      <c r="GW3" s="555"/>
      <c r="GX3" s="555"/>
      <c r="GY3" s="555"/>
      <c r="GZ3" s="555"/>
      <c r="HA3" s="555"/>
      <c r="HB3" s="555"/>
      <c r="HC3" s="555"/>
      <c r="HD3" s="555"/>
      <c r="HE3" s="555"/>
      <c r="HF3" s="555"/>
      <c r="HG3" s="555"/>
      <c r="HH3" s="555"/>
      <c r="HI3" s="555"/>
      <c r="HJ3" s="555"/>
      <c r="HK3" s="555"/>
      <c r="HL3" s="555"/>
      <c r="HM3" s="555"/>
      <c r="HN3" s="555"/>
      <c r="HO3" s="555"/>
      <c r="HP3" s="555"/>
      <c r="HQ3" s="555"/>
      <c r="HR3" s="555"/>
      <c r="HS3" s="555"/>
      <c r="HT3" s="555"/>
      <c r="HU3" s="555"/>
      <c r="HV3" s="555"/>
      <c r="HW3" s="555"/>
      <c r="HX3" s="555"/>
      <c r="HY3" s="555"/>
      <c r="HZ3" s="555"/>
      <c r="IA3" s="555"/>
      <c r="IB3" s="555"/>
      <c r="IC3" s="555"/>
      <c r="ID3" s="555"/>
      <c r="IE3" s="555"/>
      <c r="IF3" s="555"/>
      <c r="IG3" s="555"/>
      <c r="IH3" s="555"/>
      <c r="II3" s="555"/>
      <c r="IJ3" s="555"/>
      <c r="IK3" s="555"/>
      <c r="IL3" s="555"/>
      <c r="IM3" s="555"/>
      <c r="IN3" s="555"/>
      <c r="IO3" s="555"/>
      <c r="IP3" s="555"/>
      <c r="IQ3" s="555"/>
      <c r="IR3" s="555"/>
      <c r="IS3" s="555"/>
      <c r="IT3" s="555"/>
      <c r="IU3" s="555"/>
      <c r="IV3" s="555"/>
      <c r="IW3" s="555"/>
    </row>
    <row r="4" customFormat="false" ht="15.75" hidden="false" customHeight="true" outlineLevel="0" collapsed="false">
      <c r="A4" s="559" t="s">
        <v>551</v>
      </c>
      <c r="B4" s="560" t="s">
        <v>552</v>
      </c>
      <c r="C4" s="560"/>
      <c r="D4" s="560"/>
      <c r="E4" s="560"/>
      <c r="F4" s="560"/>
      <c r="G4" s="560"/>
      <c r="H4" s="560"/>
      <c r="I4" s="561" t="s">
        <v>553</v>
      </c>
      <c r="J4" s="561"/>
      <c r="K4" s="561"/>
      <c r="L4" s="561"/>
      <c r="M4" s="555"/>
      <c r="N4" s="555"/>
      <c r="O4" s="555"/>
      <c r="P4" s="555"/>
      <c r="Q4" s="555"/>
      <c r="R4" s="555"/>
      <c r="S4" s="555"/>
      <c r="T4" s="555"/>
      <c r="U4" s="555"/>
      <c r="V4" s="555"/>
      <c r="W4" s="555"/>
      <c r="X4" s="555"/>
      <c r="Y4" s="555"/>
      <c r="Z4" s="555"/>
      <c r="AA4" s="555"/>
      <c r="AB4" s="555"/>
      <c r="AC4" s="555"/>
      <c r="AD4" s="555"/>
      <c r="AE4" s="555"/>
      <c r="AF4" s="555"/>
      <c r="AG4" s="555"/>
      <c r="AH4" s="555"/>
      <c r="AI4" s="555"/>
      <c r="AJ4" s="555"/>
      <c r="AK4" s="555"/>
      <c r="AL4" s="555"/>
      <c r="AM4" s="555"/>
      <c r="AN4" s="555"/>
      <c r="AO4" s="555"/>
      <c r="AP4" s="555"/>
      <c r="AQ4" s="555"/>
      <c r="AR4" s="555"/>
      <c r="AS4" s="555"/>
      <c r="AT4" s="555"/>
      <c r="AU4" s="555"/>
      <c r="AV4" s="555"/>
      <c r="AW4" s="555"/>
      <c r="AX4" s="555"/>
      <c r="AY4" s="555"/>
      <c r="AZ4" s="555"/>
      <c r="BA4" s="555"/>
      <c r="BB4" s="555"/>
      <c r="BC4" s="555"/>
      <c r="BD4" s="555"/>
      <c r="BE4" s="555"/>
      <c r="BF4" s="555"/>
      <c r="BG4" s="555"/>
      <c r="BH4" s="555"/>
      <c r="BI4" s="555"/>
      <c r="BJ4" s="555"/>
      <c r="BK4" s="555"/>
      <c r="BL4" s="555"/>
      <c r="BM4" s="555"/>
      <c r="BN4" s="555"/>
      <c r="BO4" s="555"/>
      <c r="BP4" s="555"/>
      <c r="BQ4" s="555"/>
      <c r="BR4" s="555"/>
      <c r="BS4" s="555"/>
      <c r="BT4" s="555"/>
      <c r="BU4" s="555"/>
      <c r="BV4" s="555"/>
      <c r="BW4" s="555"/>
      <c r="BX4" s="555"/>
      <c r="BY4" s="555"/>
      <c r="BZ4" s="555"/>
      <c r="CA4" s="555"/>
      <c r="CB4" s="555"/>
      <c r="CC4" s="555"/>
      <c r="CD4" s="555"/>
      <c r="CE4" s="555"/>
      <c r="CF4" s="555"/>
      <c r="CG4" s="555"/>
      <c r="CH4" s="555"/>
      <c r="CI4" s="555"/>
      <c r="CJ4" s="555"/>
      <c r="CK4" s="555"/>
      <c r="CL4" s="555"/>
      <c r="CM4" s="555"/>
      <c r="CN4" s="555"/>
      <c r="CO4" s="555"/>
      <c r="CP4" s="555"/>
      <c r="CQ4" s="555"/>
      <c r="CR4" s="555"/>
      <c r="CS4" s="555"/>
      <c r="CT4" s="555"/>
      <c r="CU4" s="555"/>
      <c r="CV4" s="555"/>
      <c r="CW4" s="555"/>
      <c r="CX4" s="555"/>
      <c r="CY4" s="555"/>
      <c r="CZ4" s="555"/>
      <c r="DA4" s="555"/>
      <c r="DB4" s="555"/>
      <c r="DC4" s="555"/>
      <c r="DD4" s="555"/>
      <c r="DE4" s="555"/>
      <c r="DF4" s="555"/>
      <c r="DG4" s="555"/>
      <c r="DH4" s="555"/>
      <c r="DI4" s="555"/>
      <c r="DJ4" s="555"/>
      <c r="DK4" s="555"/>
      <c r="DL4" s="555"/>
      <c r="DM4" s="555"/>
      <c r="DN4" s="555"/>
      <c r="DO4" s="555"/>
      <c r="DP4" s="555"/>
      <c r="DQ4" s="555"/>
      <c r="DR4" s="555"/>
      <c r="DS4" s="555"/>
      <c r="DT4" s="555"/>
      <c r="DU4" s="555"/>
      <c r="DV4" s="555"/>
      <c r="DW4" s="555"/>
      <c r="DX4" s="555"/>
      <c r="DY4" s="555"/>
      <c r="DZ4" s="555"/>
      <c r="EA4" s="555"/>
      <c r="EB4" s="555"/>
      <c r="EC4" s="555"/>
      <c r="ED4" s="555"/>
      <c r="EE4" s="555"/>
      <c r="EF4" s="555"/>
      <c r="EG4" s="555"/>
      <c r="EH4" s="555"/>
      <c r="EI4" s="555"/>
      <c r="EJ4" s="555"/>
      <c r="EK4" s="555"/>
      <c r="EL4" s="555"/>
      <c r="EM4" s="555"/>
      <c r="EN4" s="555"/>
      <c r="EO4" s="555"/>
      <c r="EP4" s="555"/>
      <c r="EQ4" s="555"/>
      <c r="ER4" s="555"/>
      <c r="ES4" s="555"/>
      <c r="ET4" s="555"/>
      <c r="EU4" s="555"/>
      <c r="EV4" s="555"/>
      <c r="EW4" s="555"/>
      <c r="EX4" s="555"/>
      <c r="EY4" s="555"/>
      <c r="EZ4" s="555"/>
      <c r="FA4" s="555"/>
      <c r="FB4" s="555"/>
      <c r="FC4" s="555"/>
      <c r="FD4" s="555"/>
      <c r="FE4" s="555"/>
      <c r="FF4" s="555"/>
      <c r="FG4" s="555"/>
      <c r="FH4" s="555"/>
      <c r="FI4" s="555"/>
      <c r="FJ4" s="555"/>
      <c r="FK4" s="555"/>
      <c r="FL4" s="555"/>
      <c r="FM4" s="555"/>
      <c r="FN4" s="555"/>
      <c r="FO4" s="555"/>
      <c r="FP4" s="555"/>
      <c r="FQ4" s="555"/>
      <c r="FR4" s="555"/>
      <c r="FS4" s="555"/>
      <c r="FT4" s="555"/>
      <c r="FU4" s="555"/>
      <c r="FV4" s="555"/>
      <c r="FW4" s="555"/>
      <c r="FX4" s="555"/>
      <c r="FY4" s="555"/>
      <c r="FZ4" s="555"/>
      <c r="GA4" s="555"/>
      <c r="GB4" s="555"/>
      <c r="GC4" s="555"/>
      <c r="GD4" s="555"/>
      <c r="GE4" s="555"/>
      <c r="GF4" s="555"/>
      <c r="GG4" s="555"/>
      <c r="GH4" s="555"/>
      <c r="GI4" s="555"/>
      <c r="GJ4" s="555"/>
      <c r="GK4" s="555"/>
      <c r="GL4" s="555"/>
      <c r="GM4" s="555"/>
      <c r="GN4" s="555"/>
      <c r="GO4" s="555"/>
      <c r="GP4" s="555"/>
      <c r="GQ4" s="555"/>
      <c r="GR4" s="555"/>
      <c r="GS4" s="555"/>
      <c r="GT4" s="555"/>
      <c r="GU4" s="555"/>
      <c r="GV4" s="555"/>
      <c r="GW4" s="555"/>
      <c r="GX4" s="555"/>
      <c r="GY4" s="555"/>
      <c r="GZ4" s="555"/>
      <c r="HA4" s="555"/>
      <c r="HB4" s="555"/>
      <c r="HC4" s="555"/>
      <c r="HD4" s="555"/>
      <c r="HE4" s="555"/>
      <c r="HF4" s="555"/>
      <c r="HG4" s="555"/>
      <c r="HH4" s="555"/>
      <c r="HI4" s="555"/>
      <c r="HJ4" s="555"/>
      <c r="HK4" s="555"/>
      <c r="HL4" s="555"/>
      <c r="HM4" s="555"/>
      <c r="HN4" s="555"/>
      <c r="HO4" s="555"/>
      <c r="HP4" s="555"/>
      <c r="HQ4" s="555"/>
      <c r="HR4" s="555"/>
      <c r="HS4" s="555"/>
      <c r="HT4" s="555"/>
      <c r="HU4" s="555"/>
      <c r="HV4" s="555"/>
      <c r="HW4" s="555"/>
      <c r="HX4" s="555"/>
      <c r="HY4" s="555"/>
      <c r="HZ4" s="555"/>
      <c r="IA4" s="555"/>
      <c r="IB4" s="555"/>
      <c r="IC4" s="555"/>
      <c r="ID4" s="555"/>
      <c r="IE4" s="555"/>
      <c r="IF4" s="555"/>
      <c r="IG4" s="555"/>
      <c r="IH4" s="555"/>
      <c r="II4" s="555"/>
      <c r="IJ4" s="555"/>
      <c r="IK4" s="555"/>
      <c r="IL4" s="555"/>
      <c r="IM4" s="555"/>
      <c r="IN4" s="555"/>
      <c r="IO4" s="555"/>
      <c r="IP4" s="555"/>
      <c r="IQ4" s="555"/>
      <c r="IR4" s="555"/>
      <c r="IS4" s="555"/>
      <c r="IT4" s="555"/>
      <c r="IU4" s="555"/>
      <c r="IV4" s="555"/>
      <c r="IW4" s="555"/>
    </row>
    <row r="5" customFormat="false" ht="20.25" hidden="false" customHeight="true" outlineLevel="0" collapsed="false">
      <c r="A5" s="559"/>
      <c r="B5" s="562">
        <f aca="false">계획서!B5</f>
      </c>
      <c r="C5" s="562"/>
      <c r="D5" s="562"/>
      <c r="E5" s="562"/>
      <c r="F5" s="562"/>
      <c r="G5" s="562"/>
      <c r="H5" s="562"/>
      <c r="I5" s="638">
        <f aca="false">계획서!K5</f>
      </c>
      <c r="J5" s="638"/>
      <c r="K5" s="638"/>
      <c r="L5" s="638"/>
      <c r="M5" s="555"/>
      <c r="N5" s="555"/>
      <c r="O5" s="555"/>
      <c r="P5" s="555"/>
      <c r="Q5" s="555"/>
      <c r="R5" s="555"/>
      <c r="S5" s="555"/>
      <c r="T5" s="555"/>
      <c r="U5" s="555"/>
      <c r="V5" s="555"/>
      <c r="W5" s="555"/>
      <c r="X5" s="555"/>
      <c r="Y5" s="555"/>
      <c r="Z5" s="555"/>
      <c r="AA5" s="555"/>
      <c r="AB5" s="555"/>
      <c r="AC5" s="555"/>
      <c r="AD5" s="555"/>
      <c r="AE5" s="555"/>
      <c r="AF5" s="555"/>
      <c r="AG5" s="555"/>
      <c r="AH5" s="555"/>
      <c r="AI5" s="555"/>
      <c r="AJ5" s="555"/>
      <c r="AK5" s="555"/>
      <c r="AL5" s="555"/>
      <c r="AM5" s="555"/>
      <c r="AN5" s="555"/>
      <c r="AO5" s="555"/>
      <c r="AP5" s="555"/>
      <c r="AQ5" s="555"/>
      <c r="AR5" s="555"/>
      <c r="AS5" s="555"/>
      <c r="AT5" s="555"/>
      <c r="AU5" s="555"/>
      <c r="AV5" s="555"/>
      <c r="AW5" s="555"/>
      <c r="AX5" s="555"/>
      <c r="AY5" s="555"/>
      <c r="AZ5" s="555"/>
      <c r="BA5" s="555"/>
      <c r="BB5" s="555"/>
      <c r="BC5" s="555"/>
      <c r="BD5" s="555"/>
      <c r="BE5" s="555"/>
      <c r="BF5" s="555"/>
      <c r="BG5" s="555"/>
      <c r="BH5" s="555"/>
      <c r="BI5" s="555"/>
      <c r="BJ5" s="555"/>
      <c r="BK5" s="555"/>
      <c r="BL5" s="555"/>
      <c r="BM5" s="555"/>
      <c r="BN5" s="555"/>
      <c r="BO5" s="555"/>
      <c r="BP5" s="555"/>
      <c r="BQ5" s="555"/>
      <c r="BR5" s="555"/>
      <c r="BS5" s="555"/>
      <c r="BT5" s="555"/>
      <c r="BU5" s="555"/>
      <c r="BV5" s="555"/>
      <c r="BW5" s="555"/>
      <c r="BX5" s="555"/>
      <c r="BY5" s="555"/>
      <c r="BZ5" s="555"/>
      <c r="CA5" s="555"/>
      <c r="CB5" s="555"/>
      <c r="CC5" s="555"/>
      <c r="CD5" s="555"/>
      <c r="CE5" s="555"/>
      <c r="CF5" s="555"/>
      <c r="CG5" s="555"/>
      <c r="CH5" s="555"/>
      <c r="CI5" s="555"/>
      <c r="CJ5" s="555"/>
      <c r="CK5" s="555"/>
      <c r="CL5" s="555"/>
      <c r="CM5" s="555"/>
      <c r="CN5" s="555"/>
      <c r="CO5" s="555"/>
      <c r="CP5" s="555"/>
      <c r="CQ5" s="555"/>
      <c r="CR5" s="555"/>
      <c r="CS5" s="555"/>
      <c r="CT5" s="555"/>
      <c r="CU5" s="555"/>
      <c r="CV5" s="555"/>
      <c r="CW5" s="555"/>
      <c r="CX5" s="555"/>
      <c r="CY5" s="555"/>
      <c r="CZ5" s="555"/>
      <c r="DA5" s="555"/>
      <c r="DB5" s="555"/>
      <c r="DC5" s="555"/>
      <c r="DD5" s="555"/>
      <c r="DE5" s="555"/>
      <c r="DF5" s="555"/>
      <c r="DG5" s="555"/>
      <c r="DH5" s="555"/>
      <c r="DI5" s="555"/>
      <c r="DJ5" s="555"/>
      <c r="DK5" s="555"/>
      <c r="DL5" s="555"/>
      <c r="DM5" s="555"/>
      <c r="DN5" s="555"/>
      <c r="DO5" s="555"/>
      <c r="DP5" s="555"/>
      <c r="DQ5" s="555"/>
      <c r="DR5" s="555"/>
      <c r="DS5" s="555"/>
      <c r="DT5" s="555"/>
      <c r="DU5" s="555"/>
      <c r="DV5" s="555"/>
      <c r="DW5" s="555"/>
      <c r="DX5" s="555"/>
      <c r="DY5" s="555"/>
      <c r="DZ5" s="555"/>
      <c r="EA5" s="555"/>
      <c r="EB5" s="555"/>
      <c r="EC5" s="555"/>
      <c r="ED5" s="555"/>
      <c r="EE5" s="555"/>
      <c r="EF5" s="555"/>
      <c r="EG5" s="555"/>
      <c r="EH5" s="555"/>
      <c r="EI5" s="555"/>
      <c r="EJ5" s="555"/>
      <c r="EK5" s="555"/>
      <c r="EL5" s="555"/>
      <c r="EM5" s="555"/>
      <c r="EN5" s="555"/>
      <c r="EO5" s="555"/>
      <c r="EP5" s="555"/>
      <c r="EQ5" s="555"/>
      <c r="ER5" s="555"/>
      <c r="ES5" s="555"/>
      <c r="ET5" s="555"/>
      <c r="EU5" s="555"/>
      <c r="EV5" s="555"/>
      <c r="EW5" s="555"/>
      <c r="EX5" s="555"/>
      <c r="EY5" s="555"/>
      <c r="EZ5" s="555"/>
      <c r="FA5" s="555"/>
      <c r="FB5" s="555"/>
      <c r="FC5" s="555"/>
      <c r="FD5" s="555"/>
      <c r="FE5" s="555"/>
      <c r="FF5" s="555"/>
      <c r="FG5" s="555"/>
      <c r="FH5" s="555"/>
      <c r="FI5" s="555"/>
      <c r="FJ5" s="555"/>
      <c r="FK5" s="555"/>
      <c r="FL5" s="555"/>
      <c r="FM5" s="555"/>
      <c r="FN5" s="555"/>
      <c r="FO5" s="555"/>
      <c r="FP5" s="555"/>
      <c r="FQ5" s="555"/>
      <c r="FR5" s="555"/>
      <c r="FS5" s="555"/>
      <c r="FT5" s="555"/>
      <c r="FU5" s="555"/>
      <c r="FV5" s="555"/>
      <c r="FW5" s="555"/>
      <c r="FX5" s="555"/>
      <c r="FY5" s="555"/>
      <c r="FZ5" s="555"/>
      <c r="GA5" s="555"/>
      <c r="GB5" s="555"/>
      <c r="GC5" s="555"/>
      <c r="GD5" s="555"/>
      <c r="GE5" s="555"/>
      <c r="GF5" s="555"/>
      <c r="GG5" s="555"/>
      <c r="GH5" s="555"/>
      <c r="GI5" s="555"/>
      <c r="GJ5" s="555"/>
      <c r="GK5" s="555"/>
      <c r="GL5" s="555"/>
      <c r="GM5" s="555"/>
      <c r="GN5" s="555"/>
      <c r="GO5" s="555"/>
      <c r="GP5" s="555"/>
      <c r="GQ5" s="555"/>
      <c r="GR5" s="555"/>
      <c r="GS5" s="555"/>
      <c r="GT5" s="555"/>
      <c r="GU5" s="555"/>
      <c r="GV5" s="555"/>
      <c r="GW5" s="555"/>
      <c r="GX5" s="555"/>
      <c r="GY5" s="555"/>
      <c r="GZ5" s="555"/>
      <c r="HA5" s="555"/>
      <c r="HB5" s="555"/>
      <c r="HC5" s="555"/>
      <c r="HD5" s="555"/>
      <c r="HE5" s="555"/>
      <c r="HF5" s="555"/>
      <c r="HG5" s="555"/>
      <c r="HH5" s="555"/>
      <c r="HI5" s="555"/>
      <c r="HJ5" s="555"/>
      <c r="HK5" s="555"/>
      <c r="HL5" s="555"/>
      <c r="HM5" s="555"/>
      <c r="HN5" s="555"/>
      <c r="HO5" s="555"/>
      <c r="HP5" s="555"/>
      <c r="HQ5" s="555"/>
      <c r="HR5" s="555"/>
      <c r="HS5" s="555"/>
      <c r="HT5" s="555"/>
      <c r="HU5" s="555"/>
      <c r="HV5" s="555"/>
      <c r="HW5" s="555"/>
      <c r="HX5" s="555"/>
      <c r="HY5" s="555"/>
      <c r="HZ5" s="555"/>
      <c r="IA5" s="555"/>
      <c r="IB5" s="555"/>
      <c r="IC5" s="555"/>
      <c r="ID5" s="555"/>
      <c r="IE5" s="555"/>
      <c r="IF5" s="555"/>
      <c r="IG5" s="555"/>
      <c r="IH5" s="555"/>
      <c r="II5" s="555"/>
      <c r="IJ5" s="555"/>
      <c r="IK5" s="555"/>
      <c r="IL5" s="555"/>
      <c r="IM5" s="555"/>
      <c r="IN5" s="555"/>
      <c r="IO5" s="555"/>
      <c r="IP5" s="555"/>
      <c r="IQ5" s="555"/>
      <c r="IR5" s="555"/>
      <c r="IS5" s="555"/>
      <c r="IT5" s="555"/>
      <c r="IU5" s="555"/>
      <c r="IV5" s="555"/>
      <c r="IW5" s="555"/>
    </row>
    <row r="6" customFormat="false" ht="16.5" hidden="false" customHeight="true" outlineLevel="0" collapsed="false">
      <c r="A6" s="559"/>
      <c r="B6" s="564" t="s">
        <v>554</v>
      </c>
      <c r="C6" s="564"/>
      <c r="D6" s="564"/>
      <c r="E6" s="564"/>
      <c r="F6" s="564"/>
      <c r="G6" s="564"/>
      <c r="H6" s="564"/>
      <c r="I6" s="565" t="s">
        <v>555</v>
      </c>
      <c r="J6" s="565"/>
      <c r="K6" s="565"/>
      <c r="L6" s="565"/>
      <c r="M6" s="555"/>
      <c r="N6" s="555"/>
      <c r="O6" s="555"/>
      <c r="P6" s="555"/>
      <c r="Q6" s="555"/>
      <c r="R6" s="555"/>
      <c r="S6" s="555"/>
      <c r="T6" s="555"/>
      <c r="U6" s="555"/>
      <c r="V6" s="555"/>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5"/>
      <c r="AW6" s="555"/>
      <c r="AX6" s="555"/>
      <c r="AY6" s="555"/>
      <c r="AZ6" s="555"/>
      <c r="BA6" s="555"/>
      <c r="BB6" s="555"/>
      <c r="BC6" s="555"/>
      <c r="BD6" s="555"/>
      <c r="BE6" s="555"/>
      <c r="BF6" s="555"/>
      <c r="BG6" s="555"/>
      <c r="BH6" s="555"/>
      <c r="BI6" s="555"/>
      <c r="BJ6" s="555"/>
      <c r="BK6" s="555"/>
      <c r="BL6" s="555"/>
      <c r="BM6" s="555"/>
      <c r="BN6" s="555"/>
      <c r="BO6" s="555"/>
      <c r="BP6" s="555"/>
      <c r="BQ6" s="555"/>
      <c r="BR6" s="555"/>
      <c r="BS6" s="555"/>
      <c r="BT6" s="555"/>
      <c r="BU6" s="555"/>
      <c r="BV6" s="555"/>
      <c r="BW6" s="555"/>
      <c r="BX6" s="555"/>
      <c r="BY6" s="555"/>
      <c r="BZ6" s="555"/>
      <c r="CA6" s="555"/>
      <c r="CB6" s="555"/>
      <c r="CC6" s="555"/>
      <c r="CD6" s="555"/>
      <c r="CE6" s="555"/>
      <c r="CF6" s="555"/>
      <c r="CG6" s="555"/>
      <c r="CH6" s="555"/>
      <c r="CI6" s="555"/>
      <c r="CJ6" s="555"/>
      <c r="CK6" s="555"/>
      <c r="CL6" s="555"/>
      <c r="CM6" s="555"/>
      <c r="CN6" s="555"/>
      <c r="CO6" s="555"/>
      <c r="CP6" s="555"/>
      <c r="CQ6" s="555"/>
      <c r="CR6" s="555"/>
      <c r="CS6" s="555"/>
      <c r="CT6" s="555"/>
      <c r="CU6" s="555"/>
      <c r="CV6" s="555"/>
      <c r="CW6" s="555"/>
      <c r="CX6" s="555"/>
      <c r="CY6" s="555"/>
      <c r="CZ6" s="555"/>
      <c r="DA6" s="555"/>
      <c r="DB6" s="555"/>
      <c r="DC6" s="555"/>
      <c r="DD6" s="555"/>
      <c r="DE6" s="555"/>
      <c r="DF6" s="555"/>
      <c r="DG6" s="555"/>
      <c r="DH6" s="555"/>
      <c r="DI6" s="555"/>
      <c r="DJ6" s="555"/>
      <c r="DK6" s="555"/>
      <c r="DL6" s="555"/>
      <c r="DM6" s="555"/>
      <c r="DN6" s="555"/>
      <c r="DO6" s="555"/>
      <c r="DP6" s="555"/>
      <c r="DQ6" s="555"/>
      <c r="DR6" s="555"/>
      <c r="DS6" s="555"/>
      <c r="DT6" s="555"/>
      <c r="DU6" s="555"/>
      <c r="DV6" s="555"/>
      <c r="DW6" s="555"/>
      <c r="DX6" s="555"/>
      <c r="DY6" s="555"/>
      <c r="DZ6" s="555"/>
      <c r="EA6" s="555"/>
      <c r="EB6" s="555"/>
      <c r="EC6" s="555"/>
      <c r="ED6" s="555"/>
      <c r="EE6" s="555"/>
      <c r="EF6" s="555"/>
      <c r="EG6" s="555"/>
      <c r="EH6" s="555"/>
      <c r="EI6" s="555"/>
      <c r="EJ6" s="555"/>
      <c r="EK6" s="555"/>
      <c r="EL6" s="555"/>
      <c r="EM6" s="555"/>
      <c r="EN6" s="555"/>
      <c r="EO6" s="555"/>
      <c r="EP6" s="555"/>
      <c r="EQ6" s="555"/>
      <c r="ER6" s="555"/>
      <c r="ES6" s="555"/>
      <c r="ET6" s="555"/>
      <c r="EU6" s="555"/>
      <c r="EV6" s="555"/>
      <c r="EW6" s="555"/>
      <c r="EX6" s="555"/>
      <c r="EY6" s="555"/>
      <c r="EZ6" s="555"/>
      <c r="FA6" s="555"/>
      <c r="FB6" s="555"/>
      <c r="FC6" s="555"/>
      <c r="FD6" s="555"/>
      <c r="FE6" s="555"/>
      <c r="FF6" s="555"/>
      <c r="FG6" s="555"/>
      <c r="FH6" s="555"/>
      <c r="FI6" s="555"/>
      <c r="FJ6" s="555"/>
      <c r="FK6" s="555"/>
      <c r="FL6" s="555"/>
      <c r="FM6" s="555"/>
      <c r="FN6" s="555"/>
      <c r="FO6" s="555"/>
      <c r="FP6" s="555"/>
      <c r="FQ6" s="555"/>
      <c r="FR6" s="555"/>
      <c r="FS6" s="555"/>
      <c r="FT6" s="555"/>
      <c r="FU6" s="555"/>
      <c r="FV6" s="555"/>
      <c r="FW6" s="555"/>
      <c r="FX6" s="555"/>
      <c r="FY6" s="555"/>
      <c r="FZ6" s="555"/>
      <c r="GA6" s="555"/>
      <c r="GB6" s="555"/>
      <c r="GC6" s="555"/>
      <c r="GD6" s="555"/>
      <c r="GE6" s="555"/>
      <c r="GF6" s="555"/>
      <c r="GG6" s="555"/>
      <c r="GH6" s="555"/>
      <c r="GI6" s="555"/>
      <c r="GJ6" s="555"/>
      <c r="GK6" s="555"/>
      <c r="GL6" s="555"/>
      <c r="GM6" s="555"/>
      <c r="GN6" s="555"/>
      <c r="GO6" s="555"/>
      <c r="GP6" s="555"/>
      <c r="GQ6" s="555"/>
      <c r="GR6" s="555"/>
      <c r="GS6" s="555"/>
      <c r="GT6" s="555"/>
      <c r="GU6" s="555"/>
      <c r="GV6" s="555"/>
      <c r="GW6" s="555"/>
      <c r="GX6" s="555"/>
      <c r="GY6" s="555"/>
      <c r="GZ6" s="555"/>
      <c r="HA6" s="555"/>
      <c r="HB6" s="555"/>
      <c r="HC6" s="555"/>
      <c r="HD6" s="555"/>
      <c r="HE6" s="555"/>
      <c r="HF6" s="555"/>
      <c r="HG6" s="555"/>
      <c r="HH6" s="555"/>
      <c r="HI6" s="555"/>
      <c r="HJ6" s="555"/>
      <c r="HK6" s="555"/>
      <c r="HL6" s="555"/>
      <c r="HM6" s="555"/>
      <c r="HN6" s="555"/>
      <c r="HO6" s="555"/>
      <c r="HP6" s="555"/>
      <c r="HQ6" s="555"/>
      <c r="HR6" s="555"/>
      <c r="HS6" s="555"/>
      <c r="HT6" s="555"/>
      <c r="HU6" s="555"/>
      <c r="HV6" s="555"/>
      <c r="HW6" s="555"/>
      <c r="HX6" s="555"/>
      <c r="HY6" s="555"/>
      <c r="HZ6" s="555"/>
      <c r="IA6" s="555"/>
      <c r="IB6" s="555"/>
      <c r="IC6" s="555"/>
      <c r="ID6" s="555"/>
      <c r="IE6" s="555"/>
      <c r="IF6" s="555"/>
      <c r="IG6" s="555"/>
      <c r="IH6" s="555"/>
      <c r="II6" s="555"/>
      <c r="IJ6" s="555"/>
      <c r="IK6" s="555"/>
      <c r="IL6" s="555"/>
      <c r="IM6" s="555"/>
      <c r="IN6" s="555"/>
      <c r="IO6" s="555"/>
      <c r="IP6" s="555"/>
      <c r="IQ6" s="555"/>
      <c r="IR6" s="555"/>
      <c r="IS6" s="555"/>
      <c r="IT6" s="555"/>
      <c r="IU6" s="555"/>
      <c r="IV6" s="555"/>
      <c r="IW6" s="555"/>
    </row>
    <row r="7" customFormat="false" ht="16.5" hidden="false" customHeight="true" outlineLevel="0" collapsed="false">
      <c r="A7" s="559"/>
      <c r="B7" s="639" t="s">
        <v>580</v>
      </c>
      <c r="C7" s="640">
        <f aca="false">계획서!C7</f>
      </c>
      <c r="D7" s="640"/>
      <c r="E7" s="641" t="s">
        <v>112</v>
      </c>
      <c r="F7" s="642">
        <f aca="false">계획서!H7</f>
      </c>
      <c r="G7" s="642"/>
      <c r="H7" s="643" t="s">
        <v>557</v>
      </c>
      <c r="I7" s="644" t="s">
        <v>581</v>
      </c>
      <c r="J7" s="640">
        <f aca="false">개요!B17</f>
      </c>
      <c r="K7" s="640"/>
      <c r="L7" s="640"/>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c r="BA7" s="555"/>
      <c r="BB7" s="555"/>
      <c r="BC7" s="555"/>
      <c r="BD7" s="555"/>
      <c r="BE7" s="555"/>
      <c r="BF7" s="555"/>
      <c r="BG7" s="555"/>
      <c r="BH7" s="555"/>
      <c r="BI7" s="555"/>
      <c r="BJ7" s="555"/>
      <c r="BK7" s="555"/>
      <c r="BL7" s="555"/>
      <c r="BM7" s="555"/>
      <c r="BN7" s="555"/>
      <c r="BO7" s="555"/>
      <c r="BP7" s="555"/>
      <c r="BQ7" s="555"/>
      <c r="BR7" s="555"/>
      <c r="BS7" s="555"/>
      <c r="BT7" s="555"/>
      <c r="BU7" s="555"/>
      <c r="BV7" s="555"/>
      <c r="BW7" s="555"/>
      <c r="BX7" s="555"/>
      <c r="BY7" s="555"/>
      <c r="BZ7" s="555"/>
      <c r="CA7" s="555"/>
      <c r="CB7" s="555"/>
      <c r="CC7" s="555"/>
      <c r="CD7" s="555"/>
      <c r="CE7" s="555"/>
      <c r="CF7" s="555"/>
      <c r="CG7" s="555"/>
      <c r="CH7" s="555"/>
      <c r="CI7" s="555"/>
      <c r="CJ7" s="555"/>
      <c r="CK7" s="555"/>
      <c r="CL7" s="555"/>
      <c r="CM7" s="555"/>
      <c r="CN7" s="555"/>
      <c r="CO7" s="555"/>
      <c r="CP7" s="555"/>
      <c r="CQ7" s="555"/>
      <c r="CR7" s="555"/>
      <c r="CS7" s="555"/>
      <c r="CT7" s="555"/>
      <c r="CU7" s="555"/>
      <c r="CV7" s="555"/>
      <c r="CW7" s="555"/>
      <c r="CX7" s="555"/>
      <c r="CY7" s="555"/>
      <c r="CZ7" s="555"/>
      <c r="DA7" s="555"/>
      <c r="DB7" s="555"/>
      <c r="DC7" s="555"/>
      <c r="DD7" s="555"/>
      <c r="DE7" s="555"/>
      <c r="DF7" s="555"/>
      <c r="DG7" s="555"/>
      <c r="DH7" s="555"/>
      <c r="DI7" s="555"/>
      <c r="DJ7" s="555"/>
      <c r="DK7" s="555"/>
      <c r="DL7" s="555"/>
      <c r="DM7" s="555"/>
      <c r="DN7" s="555"/>
      <c r="DO7" s="555"/>
      <c r="DP7" s="555"/>
      <c r="DQ7" s="555"/>
      <c r="DR7" s="555"/>
      <c r="DS7" s="555"/>
      <c r="DT7" s="555"/>
      <c r="DU7" s="555"/>
      <c r="DV7" s="555"/>
      <c r="DW7" s="555"/>
      <c r="DX7" s="555"/>
      <c r="DY7" s="555"/>
      <c r="DZ7" s="555"/>
      <c r="EA7" s="555"/>
      <c r="EB7" s="555"/>
      <c r="EC7" s="555"/>
      <c r="ED7" s="555"/>
      <c r="EE7" s="555"/>
      <c r="EF7" s="555"/>
      <c r="EG7" s="555"/>
      <c r="EH7" s="555"/>
      <c r="EI7" s="555"/>
      <c r="EJ7" s="555"/>
      <c r="EK7" s="555"/>
      <c r="EL7" s="555"/>
      <c r="EM7" s="555"/>
      <c r="EN7" s="555"/>
      <c r="EO7" s="555"/>
      <c r="EP7" s="555"/>
      <c r="EQ7" s="555"/>
      <c r="ER7" s="555"/>
      <c r="ES7" s="555"/>
      <c r="ET7" s="555"/>
      <c r="EU7" s="555"/>
      <c r="EV7" s="555"/>
      <c r="EW7" s="555"/>
      <c r="EX7" s="555"/>
      <c r="EY7" s="555"/>
      <c r="EZ7" s="555"/>
      <c r="FA7" s="555"/>
      <c r="FB7" s="555"/>
      <c r="FC7" s="555"/>
      <c r="FD7" s="555"/>
      <c r="FE7" s="555"/>
      <c r="FF7" s="555"/>
      <c r="FG7" s="555"/>
      <c r="FH7" s="555"/>
      <c r="FI7" s="555"/>
      <c r="FJ7" s="555"/>
      <c r="FK7" s="555"/>
      <c r="FL7" s="555"/>
      <c r="FM7" s="555"/>
      <c r="FN7" s="555"/>
      <c r="FO7" s="555"/>
      <c r="FP7" s="555"/>
      <c r="FQ7" s="555"/>
      <c r="FR7" s="555"/>
      <c r="FS7" s="555"/>
      <c r="FT7" s="555"/>
      <c r="FU7" s="555"/>
      <c r="FV7" s="555"/>
      <c r="FW7" s="555"/>
      <c r="FX7" s="555"/>
      <c r="FY7" s="555"/>
      <c r="FZ7" s="555"/>
      <c r="GA7" s="555"/>
      <c r="GB7" s="555"/>
      <c r="GC7" s="555"/>
      <c r="GD7" s="555"/>
      <c r="GE7" s="555"/>
      <c r="GF7" s="555"/>
      <c r="GG7" s="555"/>
      <c r="GH7" s="555"/>
      <c r="GI7" s="555"/>
      <c r="GJ7" s="555"/>
      <c r="GK7" s="555"/>
      <c r="GL7" s="555"/>
      <c r="GM7" s="555"/>
      <c r="GN7" s="555"/>
      <c r="GO7" s="555"/>
      <c r="GP7" s="555"/>
      <c r="GQ7" s="555"/>
      <c r="GR7" s="555"/>
      <c r="GS7" s="555"/>
      <c r="GT7" s="555"/>
      <c r="GU7" s="555"/>
      <c r="GV7" s="555"/>
      <c r="GW7" s="555"/>
      <c r="GX7" s="555"/>
      <c r="GY7" s="555"/>
      <c r="GZ7" s="555"/>
      <c r="HA7" s="555"/>
      <c r="HB7" s="555"/>
      <c r="HC7" s="555"/>
      <c r="HD7" s="555"/>
      <c r="HE7" s="555"/>
      <c r="HF7" s="555"/>
      <c r="HG7" s="555"/>
      <c r="HH7" s="555"/>
      <c r="HI7" s="555"/>
      <c r="HJ7" s="555"/>
      <c r="HK7" s="555"/>
      <c r="HL7" s="555"/>
      <c r="HM7" s="555"/>
      <c r="HN7" s="555"/>
      <c r="HO7" s="555"/>
      <c r="HP7" s="555"/>
      <c r="HQ7" s="555"/>
      <c r="HR7" s="555"/>
      <c r="HS7" s="555"/>
      <c r="HT7" s="555"/>
      <c r="HU7" s="555"/>
      <c r="HV7" s="555"/>
      <c r="HW7" s="555"/>
      <c r="HX7" s="555"/>
      <c r="HY7" s="555"/>
      <c r="HZ7" s="555"/>
      <c r="IA7" s="555"/>
      <c r="IB7" s="555"/>
      <c r="IC7" s="555"/>
      <c r="ID7" s="555"/>
      <c r="IE7" s="555"/>
      <c r="IF7" s="555"/>
      <c r="IG7" s="555"/>
      <c r="IH7" s="555"/>
      <c r="II7" s="555"/>
      <c r="IJ7" s="555"/>
      <c r="IK7" s="555"/>
      <c r="IL7" s="555"/>
      <c r="IM7" s="555"/>
      <c r="IN7" s="555"/>
      <c r="IO7" s="555"/>
      <c r="IP7" s="555"/>
      <c r="IQ7" s="555"/>
      <c r="IR7" s="555"/>
      <c r="IS7" s="555"/>
      <c r="IT7" s="555"/>
      <c r="IU7" s="555"/>
      <c r="IV7" s="555"/>
      <c r="IW7" s="555"/>
    </row>
    <row r="8" customFormat="false" ht="16.5" hidden="false" customHeight="true" outlineLevel="0" collapsed="false">
      <c r="A8" s="559"/>
      <c r="B8" s="645"/>
      <c r="C8" s="645"/>
      <c r="D8" s="645"/>
      <c r="E8" s="645"/>
      <c r="F8" s="645"/>
      <c r="G8" s="645"/>
      <c r="H8" s="645"/>
      <c r="I8" s="646" t="s">
        <v>582</v>
      </c>
      <c r="J8" s="647">
        <f aca="false">개요!B19</f>
      </c>
      <c r="K8" s="647"/>
      <c r="L8" s="647"/>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c r="CZ8" s="555"/>
      <c r="DA8" s="555"/>
      <c r="DB8" s="555"/>
      <c r="DC8" s="555"/>
      <c r="DD8" s="555"/>
      <c r="DE8" s="555"/>
      <c r="DF8" s="555"/>
      <c r="DG8" s="555"/>
      <c r="DH8" s="555"/>
      <c r="DI8" s="555"/>
      <c r="DJ8" s="555"/>
      <c r="DK8" s="555"/>
      <c r="DL8" s="555"/>
      <c r="DM8" s="555"/>
      <c r="DN8" s="555"/>
      <c r="DO8" s="555"/>
      <c r="DP8" s="555"/>
      <c r="DQ8" s="555"/>
      <c r="DR8" s="555"/>
      <c r="DS8" s="555"/>
      <c r="DT8" s="555"/>
      <c r="DU8" s="555"/>
      <c r="DV8" s="555"/>
      <c r="DW8" s="555"/>
      <c r="DX8" s="555"/>
      <c r="DY8" s="555"/>
      <c r="DZ8" s="555"/>
      <c r="EA8" s="555"/>
      <c r="EB8" s="555"/>
      <c r="EC8" s="555"/>
      <c r="ED8" s="555"/>
      <c r="EE8" s="555"/>
      <c r="EF8" s="555"/>
      <c r="EG8" s="555"/>
      <c r="EH8" s="555"/>
      <c r="EI8" s="555"/>
      <c r="EJ8" s="555"/>
      <c r="EK8" s="555"/>
      <c r="EL8" s="555"/>
      <c r="EM8" s="555"/>
      <c r="EN8" s="555"/>
      <c r="EO8" s="555"/>
      <c r="EP8" s="555"/>
      <c r="EQ8" s="555"/>
      <c r="ER8" s="555"/>
      <c r="ES8" s="555"/>
      <c r="ET8" s="555"/>
      <c r="EU8" s="555"/>
      <c r="EV8" s="555"/>
      <c r="EW8" s="555"/>
      <c r="EX8" s="555"/>
      <c r="EY8" s="555"/>
      <c r="EZ8" s="555"/>
      <c r="FA8" s="555"/>
      <c r="FB8" s="555"/>
      <c r="FC8" s="555"/>
      <c r="FD8" s="555"/>
      <c r="FE8" s="555"/>
      <c r="FF8" s="555"/>
      <c r="FG8" s="555"/>
      <c r="FH8" s="555"/>
      <c r="FI8" s="555"/>
      <c r="FJ8" s="555"/>
      <c r="FK8" s="555"/>
      <c r="FL8" s="555"/>
      <c r="FM8" s="555"/>
      <c r="FN8" s="555"/>
      <c r="FO8" s="555"/>
      <c r="FP8" s="555"/>
      <c r="FQ8" s="555"/>
      <c r="FR8" s="555"/>
      <c r="FS8" s="555"/>
      <c r="FT8" s="555"/>
      <c r="FU8" s="555"/>
      <c r="FV8" s="555"/>
      <c r="FW8" s="555"/>
      <c r="FX8" s="555"/>
      <c r="FY8" s="555"/>
      <c r="FZ8" s="555"/>
      <c r="GA8" s="555"/>
      <c r="GB8" s="555"/>
      <c r="GC8" s="555"/>
      <c r="GD8" s="555"/>
      <c r="GE8" s="555"/>
      <c r="GF8" s="555"/>
      <c r="GG8" s="555"/>
      <c r="GH8" s="555"/>
      <c r="GI8" s="555"/>
      <c r="GJ8" s="555"/>
      <c r="GK8" s="555"/>
      <c r="GL8" s="555"/>
      <c r="GM8" s="555"/>
      <c r="GN8" s="555"/>
      <c r="GO8" s="555"/>
      <c r="GP8" s="555"/>
      <c r="GQ8" s="555"/>
      <c r="GR8" s="555"/>
      <c r="GS8" s="555"/>
      <c r="GT8" s="555"/>
      <c r="GU8" s="555"/>
      <c r="GV8" s="555"/>
      <c r="GW8" s="555"/>
      <c r="GX8" s="555"/>
      <c r="GY8" s="555"/>
      <c r="GZ8" s="555"/>
      <c r="HA8" s="555"/>
      <c r="HB8" s="555"/>
      <c r="HC8" s="555"/>
      <c r="HD8" s="555"/>
      <c r="HE8" s="555"/>
      <c r="HF8" s="555"/>
      <c r="HG8" s="555"/>
      <c r="HH8" s="555"/>
      <c r="HI8" s="555"/>
      <c r="HJ8" s="555"/>
      <c r="HK8" s="555"/>
      <c r="HL8" s="555"/>
      <c r="HM8" s="555"/>
      <c r="HN8" s="555"/>
      <c r="HO8" s="555"/>
      <c r="HP8" s="555"/>
      <c r="HQ8" s="555"/>
      <c r="HR8" s="555"/>
      <c r="HS8" s="555"/>
      <c r="HT8" s="555"/>
      <c r="HU8" s="555"/>
      <c r="HV8" s="555"/>
      <c r="HW8" s="555"/>
      <c r="HX8" s="555"/>
      <c r="HY8" s="555"/>
      <c r="HZ8" s="555"/>
      <c r="IA8" s="555"/>
      <c r="IB8" s="555"/>
      <c r="IC8" s="555"/>
      <c r="ID8" s="555"/>
      <c r="IE8" s="555"/>
      <c r="IF8" s="555"/>
      <c r="IG8" s="555"/>
      <c r="IH8" s="555"/>
      <c r="II8" s="555"/>
      <c r="IJ8" s="555"/>
      <c r="IK8" s="555"/>
      <c r="IL8" s="555"/>
      <c r="IM8" s="555"/>
      <c r="IN8" s="555"/>
      <c r="IO8" s="555"/>
      <c r="IP8" s="555"/>
      <c r="IQ8" s="555"/>
      <c r="IR8" s="555"/>
      <c r="IS8" s="555"/>
      <c r="IT8" s="555"/>
      <c r="IU8" s="555"/>
      <c r="IV8" s="555"/>
      <c r="IW8" s="555"/>
    </row>
    <row r="9" customFormat="false" ht="18" hidden="false" customHeight="true" outlineLevel="0" collapsed="false">
      <c r="A9" s="559"/>
      <c r="B9" s="648" t="s">
        <v>559</v>
      </c>
      <c r="C9" s="574"/>
      <c r="D9" s="574"/>
      <c r="E9" s="574"/>
      <c r="F9" s="574"/>
      <c r="G9" s="574"/>
      <c r="H9" s="574"/>
      <c r="I9" s="574"/>
      <c r="J9" s="574"/>
      <c r="K9" s="574"/>
      <c r="L9" s="574"/>
      <c r="M9" s="555"/>
      <c r="N9" s="555"/>
      <c r="O9" s="555"/>
      <c r="P9" s="555"/>
      <c r="Q9" s="555"/>
      <c r="R9" s="555"/>
      <c r="S9" s="555"/>
      <c r="T9" s="555"/>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5"/>
      <c r="AW9" s="555"/>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5"/>
      <c r="CE9" s="555"/>
      <c r="CF9" s="555"/>
      <c r="CG9" s="555"/>
      <c r="CH9" s="555"/>
      <c r="CI9" s="555"/>
      <c r="CJ9" s="555"/>
      <c r="CK9" s="555"/>
      <c r="CL9" s="555"/>
      <c r="CM9" s="555"/>
      <c r="CN9" s="555"/>
      <c r="CO9" s="555"/>
      <c r="CP9" s="555"/>
      <c r="CQ9" s="555"/>
      <c r="CR9" s="555"/>
      <c r="CS9" s="555"/>
      <c r="CT9" s="555"/>
      <c r="CU9" s="555"/>
      <c r="CV9" s="555"/>
      <c r="CW9" s="555"/>
      <c r="CX9" s="555"/>
      <c r="CY9" s="555"/>
      <c r="CZ9" s="555"/>
      <c r="DA9" s="555"/>
      <c r="DB9" s="555"/>
      <c r="DC9" s="555"/>
      <c r="DD9" s="555"/>
      <c r="DE9" s="555"/>
      <c r="DF9" s="555"/>
      <c r="DG9" s="555"/>
      <c r="DH9" s="555"/>
      <c r="DI9" s="555"/>
      <c r="DJ9" s="555"/>
      <c r="DK9" s="555"/>
      <c r="DL9" s="555"/>
      <c r="DM9" s="555"/>
      <c r="DN9" s="555"/>
      <c r="DO9" s="555"/>
      <c r="DP9" s="555"/>
      <c r="DQ9" s="555"/>
      <c r="DR9" s="555"/>
      <c r="DS9" s="555"/>
      <c r="DT9" s="555"/>
      <c r="DU9" s="555"/>
      <c r="DV9" s="555"/>
      <c r="DW9" s="555"/>
      <c r="DX9" s="555"/>
      <c r="DY9" s="555"/>
      <c r="DZ9" s="555"/>
      <c r="EA9" s="555"/>
      <c r="EB9" s="555"/>
      <c r="EC9" s="555"/>
      <c r="ED9" s="555"/>
      <c r="EE9" s="555"/>
      <c r="EF9" s="555"/>
      <c r="EG9" s="555"/>
      <c r="EH9" s="555"/>
      <c r="EI9" s="555"/>
      <c r="EJ9" s="555"/>
      <c r="EK9" s="555"/>
      <c r="EL9" s="555"/>
      <c r="EM9" s="555"/>
      <c r="EN9" s="555"/>
      <c r="EO9" s="555"/>
      <c r="EP9" s="555"/>
      <c r="EQ9" s="555"/>
      <c r="ER9" s="555"/>
      <c r="ES9" s="555"/>
      <c r="ET9" s="555"/>
      <c r="EU9" s="555"/>
      <c r="EV9" s="555"/>
      <c r="EW9" s="555"/>
      <c r="EX9" s="555"/>
      <c r="EY9" s="555"/>
      <c r="EZ9" s="555"/>
      <c r="FA9" s="555"/>
      <c r="FB9" s="555"/>
      <c r="FC9" s="555"/>
      <c r="FD9" s="555"/>
      <c r="FE9" s="555"/>
      <c r="FF9" s="555"/>
      <c r="FG9" s="555"/>
      <c r="FH9" s="555"/>
      <c r="FI9" s="555"/>
      <c r="FJ9" s="555"/>
      <c r="FK9" s="555"/>
      <c r="FL9" s="555"/>
      <c r="FM9" s="555"/>
      <c r="FN9" s="555"/>
      <c r="FO9" s="555"/>
      <c r="FP9" s="555"/>
      <c r="FQ9" s="555"/>
      <c r="FR9" s="555"/>
      <c r="FS9" s="555"/>
      <c r="FT9" s="555"/>
      <c r="FU9" s="555"/>
      <c r="FV9" s="555"/>
      <c r="FW9" s="555"/>
      <c r="FX9" s="555"/>
      <c r="FY9" s="555"/>
      <c r="FZ9" s="555"/>
      <c r="GA9" s="555"/>
      <c r="GB9" s="555"/>
      <c r="GC9" s="555"/>
      <c r="GD9" s="555"/>
      <c r="GE9" s="555"/>
      <c r="GF9" s="555"/>
      <c r="GG9" s="555"/>
      <c r="GH9" s="555"/>
      <c r="GI9" s="555"/>
      <c r="GJ9" s="555"/>
      <c r="GK9" s="555"/>
      <c r="GL9" s="555"/>
      <c r="GM9" s="555"/>
      <c r="GN9" s="555"/>
      <c r="GO9" s="555"/>
      <c r="GP9" s="555"/>
      <c r="GQ9" s="555"/>
      <c r="GR9" s="555"/>
      <c r="GS9" s="555"/>
      <c r="GT9" s="555"/>
      <c r="GU9" s="555"/>
      <c r="GV9" s="555"/>
      <c r="GW9" s="555"/>
      <c r="GX9" s="555"/>
      <c r="GY9" s="555"/>
      <c r="GZ9" s="555"/>
      <c r="HA9" s="555"/>
      <c r="HB9" s="555"/>
      <c r="HC9" s="555"/>
      <c r="HD9" s="555"/>
      <c r="HE9" s="555"/>
      <c r="HF9" s="555"/>
      <c r="HG9" s="555"/>
      <c r="HH9" s="555"/>
      <c r="HI9" s="555"/>
      <c r="HJ9" s="555"/>
      <c r="HK9" s="555"/>
      <c r="HL9" s="555"/>
      <c r="HM9" s="555"/>
      <c r="HN9" s="555"/>
      <c r="HO9" s="555"/>
      <c r="HP9" s="555"/>
      <c r="HQ9" s="555"/>
      <c r="HR9" s="555"/>
      <c r="HS9" s="555"/>
      <c r="HT9" s="555"/>
      <c r="HU9" s="555"/>
      <c r="HV9" s="555"/>
      <c r="HW9" s="555"/>
      <c r="HX9" s="555"/>
      <c r="HY9" s="555"/>
      <c r="HZ9" s="555"/>
      <c r="IA9" s="555"/>
      <c r="IB9" s="555"/>
      <c r="IC9" s="555"/>
      <c r="ID9" s="555"/>
      <c r="IE9" s="555"/>
      <c r="IF9" s="555"/>
      <c r="IG9" s="555"/>
      <c r="IH9" s="555"/>
      <c r="II9" s="555"/>
      <c r="IJ9" s="555"/>
      <c r="IK9" s="555"/>
      <c r="IL9" s="555"/>
      <c r="IM9" s="555"/>
      <c r="IN9" s="555"/>
      <c r="IO9" s="555"/>
      <c r="IP9" s="555"/>
      <c r="IQ9" s="555"/>
      <c r="IR9" s="555"/>
      <c r="IS9" s="555"/>
      <c r="IT9" s="555"/>
      <c r="IU9" s="555"/>
      <c r="IV9" s="555"/>
      <c r="IW9" s="555"/>
    </row>
    <row r="10" customFormat="false" ht="16.5" hidden="false" customHeight="true" outlineLevel="0" collapsed="false">
      <c r="A10" s="559"/>
      <c r="B10" s="575">
        <f aca="false">계획서!B9</f>
      </c>
      <c r="C10" s="575"/>
      <c r="D10" s="575"/>
      <c r="E10" s="575"/>
      <c r="F10" s="575"/>
      <c r="G10" s="575"/>
      <c r="H10" s="575"/>
      <c r="I10" s="575"/>
      <c r="J10" s="575"/>
      <c r="K10" s="575"/>
      <c r="L10" s="575"/>
      <c r="M10" s="555"/>
      <c r="N10" s="555"/>
      <c r="O10" s="555"/>
      <c r="P10" s="555"/>
      <c r="Q10" s="555"/>
      <c r="R10" s="555"/>
      <c r="S10" s="555"/>
      <c r="T10" s="555"/>
      <c r="U10" s="555"/>
      <c r="V10" s="555"/>
      <c r="W10" s="555"/>
      <c r="X10" s="555"/>
      <c r="Y10" s="555"/>
      <c r="Z10" s="555"/>
      <c r="AA10" s="555"/>
      <c r="AB10" s="555"/>
      <c r="AC10" s="555"/>
      <c r="AD10" s="555"/>
      <c r="AE10" s="555"/>
      <c r="AF10" s="555"/>
      <c r="AG10" s="555"/>
      <c r="AH10" s="555"/>
      <c r="AI10" s="555"/>
      <c r="AJ10" s="555"/>
      <c r="AK10" s="555"/>
      <c r="AL10" s="555"/>
      <c r="AM10" s="555"/>
      <c r="AN10" s="555"/>
      <c r="AO10" s="555"/>
      <c r="AP10" s="555"/>
      <c r="AQ10" s="555"/>
      <c r="AR10" s="555"/>
      <c r="AS10" s="555"/>
      <c r="AT10" s="555"/>
      <c r="AU10" s="555"/>
      <c r="AV10" s="555"/>
      <c r="AW10" s="555"/>
      <c r="AX10" s="555"/>
      <c r="AY10" s="555"/>
      <c r="AZ10" s="555"/>
      <c r="BA10" s="555"/>
      <c r="BB10" s="555"/>
      <c r="BC10" s="555"/>
      <c r="BD10" s="555"/>
      <c r="BE10" s="555"/>
      <c r="BF10" s="555"/>
      <c r="BG10" s="555"/>
      <c r="BH10" s="555"/>
      <c r="BI10" s="555"/>
      <c r="BJ10" s="555"/>
      <c r="BK10" s="555"/>
      <c r="BL10" s="555"/>
      <c r="BM10" s="555"/>
      <c r="BN10" s="555"/>
      <c r="BO10" s="555"/>
      <c r="BP10" s="555"/>
      <c r="BQ10" s="555"/>
      <c r="BR10" s="555"/>
      <c r="BS10" s="555"/>
      <c r="BT10" s="555"/>
      <c r="BU10" s="555"/>
      <c r="BV10" s="555"/>
      <c r="BW10" s="555"/>
      <c r="BX10" s="555"/>
      <c r="BY10" s="555"/>
      <c r="BZ10" s="555"/>
      <c r="CA10" s="555"/>
      <c r="CB10" s="555"/>
      <c r="CC10" s="555"/>
      <c r="CD10" s="555"/>
      <c r="CE10" s="555"/>
      <c r="CF10" s="555"/>
      <c r="CG10" s="555"/>
      <c r="CH10" s="555"/>
      <c r="CI10" s="555"/>
      <c r="CJ10" s="555"/>
      <c r="CK10" s="555"/>
      <c r="CL10" s="555"/>
      <c r="CM10" s="555"/>
      <c r="CN10" s="555"/>
      <c r="CO10" s="555"/>
      <c r="CP10" s="555"/>
      <c r="CQ10" s="555"/>
      <c r="CR10" s="555"/>
      <c r="CS10" s="555"/>
      <c r="CT10" s="555"/>
      <c r="CU10" s="555"/>
      <c r="CV10" s="555"/>
      <c r="CW10" s="555"/>
      <c r="CX10" s="555"/>
      <c r="CY10" s="555"/>
      <c r="CZ10" s="555"/>
      <c r="DA10" s="555"/>
      <c r="DB10" s="555"/>
      <c r="DC10" s="555"/>
      <c r="DD10" s="555"/>
      <c r="DE10" s="555"/>
      <c r="DF10" s="555"/>
      <c r="DG10" s="555"/>
      <c r="DH10" s="555"/>
      <c r="DI10" s="555"/>
      <c r="DJ10" s="555"/>
      <c r="DK10" s="555"/>
      <c r="DL10" s="555"/>
      <c r="DM10" s="555"/>
      <c r="DN10" s="555"/>
      <c r="DO10" s="555"/>
      <c r="DP10" s="555"/>
      <c r="DQ10" s="555"/>
      <c r="DR10" s="555"/>
      <c r="DS10" s="555"/>
      <c r="DT10" s="555"/>
      <c r="DU10" s="555"/>
      <c r="DV10" s="555"/>
      <c r="DW10" s="555"/>
      <c r="DX10" s="555"/>
      <c r="DY10" s="555"/>
      <c r="DZ10" s="555"/>
      <c r="EA10" s="555"/>
      <c r="EB10" s="555"/>
      <c r="EC10" s="555"/>
      <c r="ED10" s="555"/>
      <c r="EE10" s="555"/>
      <c r="EF10" s="555"/>
      <c r="EG10" s="555"/>
      <c r="EH10" s="555"/>
      <c r="EI10" s="555"/>
      <c r="EJ10" s="555"/>
      <c r="EK10" s="555"/>
      <c r="EL10" s="555"/>
      <c r="EM10" s="555"/>
      <c r="EN10" s="555"/>
      <c r="EO10" s="555"/>
      <c r="EP10" s="555"/>
      <c r="EQ10" s="555"/>
      <c r="ER10" s="555"/>
      <c r="ES10" s="555"/>
      <c r="ET10" s="555"/>
      <c r="EU10" s="555"/>
      <c r="EV10" s="555"/>
      <c r="EW10" s="555"/>
      <c r="EX10" s="555"/>
      <c r="EY10" s="555"/>
      <c r="EZ10" s="555"/>
      <c r="FA10" s="555"/>
      <c r="FB10" s="555"/>
      <c r="FC10" s="555"/>
      <c r="FD10" s="555"/>
      <c r="FE10" s="555"/>
      <c r="FF10" s="555"/>
      <c r="FG10" s="555"/>
      <c r="FH10" s="555"/>
      <c r="FI10" s="555"/>
      <c r="FJ10" s="555"/>
      <c r="FK10" s="555"/>
      <c r="FL10" s="555"/>
      <c r="FM10" s="555"/>
      <c r="FN10" s="555"/>
      <c r="FO10" s="555"/>
      <c r="FP10" s="555"/>
      <c r="FQ10" s="555"/>
      <c r="FR10" s="555"/>
      <c r="FS10" s="555"/>
      <c r="FT10" s="555"/>
      <c r="FU10" s="555"/>
      <c r="FV10" s="555"/>
      <c r="FW10" s="555"/>
      <c r="FX10" s="555"/>
      <c r="FY10" s="555"/>
      <c r="FZ10" s="555"/>
      <c r="GA10" s="555"/>
      <c r="GB10" s="555"/>
      <c r="GC10" s="555"/>
      <c r="GD10" s="555"/>
      <c r="GE10" s="555"/>
      <c r="GF10" s="555"/>
      <c r="GG10" s="555"/>
      <c r="GH10" s="555"/>
      <c r="GI10" s="555"/>
      <c r="GJ10" s="555"/>
      <c r="GK10" s="555"/>
      <c r="GL10" s="555"/>
      <c r="GM10" s="555"/>
      <c r="GN10" s="555"/>
      <c r="GO10" s="555"/>
      <c r="GP10" s="555"/>
      <c r="GQ10" s="555"/>
      <c r="GR10" s="555"/>
      <c r="GS10" s="555"/>
      <c r="GT10" s="555"/>
      <c r="GU10" s="555"/>
      <c r="GV10" s="555"/>
      <c r="GW10" s="555"/>
      <c r="GX10" s="555"/>
      <c r="GY10" s="555"/>
      <c r="GZ10" s="555"/>
      <c r="HA10" s="555"/>
      <c r="HB10" s="555"/>
      <c r="HC10" s="555"/>
      <c r="HD10" s="555"/>
      <c r="HE10" s="555"/>
      <c r="HF10" s="555"/>
      <c r="HG10" s="555"/>
      <c r="HH10" s="555"/>
      <c r="HI10" s="555"/>
      <c r="HJ10" s="555"/>
      <c r="HK10" s="555"/>
      <c r="HL10" s="555"/>
      <c r="HM10" s="555"/>
      <c r="HN10" s="555"/>
      <c r="HO10" s="555"/>
      <c r="HP10" s="555"/>
      <c r="HQ10" s="555"/>
      <c r="HR10" s="555"/>
      <c r="HS10" s="555"/>
      <c r="HT10" s="555"/>
      <c r="HU10" s="555"/>
      <c r="HV10" s="555"/>
      <c r="HW10" s="555"/>
      <c r="HX10" s="555"/>
      <c r="HY10" s="555"/>
      <c r="HZ10" s="555"/>
      <c r="IA10" s="555"/>
      <c r="IB10" s="555"/>
      <c r="IC10" s="555"/>
      <c r="ID10" s="555"/>
      <c r="IE10" s="555"/>
      <c r="IF10" s="555"/>
      <c r="IG10" s="555"/>
      <c r="IH10" s="555"/>
      <c r="II10" s="555"/>
      <c r="IJ10" s="555"/>
      <c r="IK10" s="555"/>
      <c r="IL10" s="555"/>
      <c r="IM10" s="555"/>
      <c r="IN10" s="555"/>
      <c r="IO10" s="555"/>
      <c r="IP10" s="555"/>
      <c r="IQ10" s="555"/>
      <c r="IR10" s="555"/>
      <c r="IS10" s="555"/>
      <c r="IT10" s="555"/>
      <c r="IU10" s="555"/>
      <c r="IV10" s="555"/>
      <c r="IW10" s="555"/>
    </row>
    <row r="11" customFormat="false" ht="18" hidden="false" customHeight="true" outlineLevel="0" collapsed="false">
      <c r="A11" s="559" t="s">
        <v>583</v>
      </c>
      <c r="B11" s="561" t="s">
        <v>584</v>
      </c>
      <c r="C11" s="561"/>
      <c r="D11" s="649"/>
      <c r="E11" s="649"/>
      <c r="F11" s="649"/>
      <c r="G11" s="649"/>
      <c r="H11" s="650"/>
      <c r="I11" s="561" t="s">
        <v>585</v>
      </c>
      <c r="J11" s="561"/>
      <c r="K11" s="561"/>
      <c r="L11" s="561"/>
      <c r="M11" s="555"/>
      <c r="N11" s="555"/>
      <c r="O11" s="555"/>
      <c r="P11" s="555"/>
      <c r="Q11" s="555"/>
      <c r="R11" s="555"/>
      <c r="S11" s="555"/>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555"/>
      <c r="AU11" s="555"/>
      <c r="AV11" s="555"/>
      <c r="AW11" s="555"/>
      <c r="AX11" s="555"/>
      <c r="AY11" s="555"/>
      <c r="AZ11" s="555"/>
      <c r="BA11" s="555"/>
      <c r="BB11" s="555"/>
      <c r="BC11" s="555"/>
      <c r="BD11" s="555"/>
      <c r="BE11" s="555"/>
      <c r="BF11" s="555"/>
      <c r="BG11" s="555"/>
      <c r="BH11" s="555"/>
      <c r="BI11" s="555"/>
      <c r="BJ11" s="555"/>
      <c r="BK11" s="555"/>
      <c r="BL11" s="555"/>
      <c r="BM11" s="555"/>
      <c r="BN11" s="555"/>
      <c r="BO11" s="555"/>
      <c r="BP11" s="555"/>
      <c r="BQ11" s="555"/>
      <c r="BR11" s="555"/>
      <c r="BS11" s="555"/>
      <c r="BT11" s="555"/>
      <c r="BU11" s="555"/>
      <c r="BV11" s="555"/>
      <c r="BW11" s="555"/>
      <c r="BX11" s="555"/>
      <c r="BY11" s="555"/>
      <c r="BZ11" s="555"/>
      <c r="CA11" s="555"/>
      <c r="CB11" s="555"/>
      <c r="CC11" s="555"/>
      <c r="CD11" s="555"/>
      <c r="CE11" s="555"/>
      <c r="CF11" s="555"/>
      <c r="CG11" s="555"/>
      <c r="CH11" s="555"/>
      <c r="CI11" s="555"/>
      <c r="CJ11" s="555"/>
      <c r="CK11" s="555"/>
      <c r="CL11" s="555"/>
      <c r="CM11" s="555"/>
      <c r="CN11" s="555"/>
      <c r="CO11" s="555"/>
      <c r="CP11" s="555"/>
      <c r="CQ11" s="555"/>
      <c r="CR11" s="555"/>
      <c r="CS11" s="555"/>
      <c r="CT11" s="555"/>
      <c r="CU11" s="555"/>
      <c r="CV11" s="555"/>
      <c r="CW11" s="555"/>
      <c r="CX11" s="555"/>
      <c r="CY11" s="555"/>
      <c r="CZ11" s="555"/>
      <c r="DA11" s="555"/>
      <c r="DB11" s="555"/>
      <c r="DC11" s="555"/>
      <c r="DD11" s="555"/>
      <c r="DE11" s="555"/>
      <c r="DF11" s="555"/>
      <c r="DG11" s="555"/>
      <c r="DH11" s="555"/>
      <c r="DI11" s="555"/>
      <c r="DJ11" s="555"/>
      <c r="DK11" s="555"/>
      <c r="DL11" s="555"/>
      <c r="DM11" s="555"/>
      <c r="DN11" s="555"/>
      <c r="DO11" s="555"/>
      <c r="DP11" s="555"/>
      <c r="DQ11" s="555"/>
      <c r="DR11" s="555"/>
      <c r="DS11" s="555"/>
      <c r="DT11" s="555"/>
      <c r="DU11" s="555"/>
      <c r="DV11" s="555"/>
      <c r="DW11" s="555"/>
      <c r="DX11" s="555"/>
      <c r="DY11" s="555"/>
      <c r="DZ11" s="555"/>
      <c r="EA11" s="555"/>
      <c r="EB11" s="555"/>
      <c r="EC11" s="555"/>
      <c r="ED11" s="555"/>
      <c r="EE11" s="555"/>
      <c r="EF11" s="555"/>
      <c r="EG11" s="555"/>
      <c r="EH11" s="555"/>
      <c r="EI11" s="555"/>
      <c r="EJ11" s="555"/>
      <c r="EK11" s="555"/>
      <c r="EL11" s="555"/>
      <c r="EM11" s="555"/>
      <c r="EN11" s="555"/>
      <c r="EO11" s="555"/>
      <c r="EP11" s="555"/>
      <c r="EQ11" s="555"/>
      <c r="ER11" s="555"/>
      <c r="ES11" s="555"/>
      <c r="ET11" s="555"/>
      <c r="EU11" s="555"/>
      <c r="EV11" s="555"/>
      <c r="EW11" s="555"/>
      <c r="EX11" s="555"/>
      <c r="EY11" s="555"/>
      <c r="EZ11" s="555"/>
      <c r="FA11" s="555"/>
      <c r="FB11" s="555"/>
      <c r="FC11" s="555"/>
      <c r="FD11" s="555"/>
      <c r="FE11" s="555"/>
      <c r="FF11" s="555"/>
      <c r="FG11" s="555"/>
      <c r="FH11" s="555"/>
      <c r="FI11" s="555"/>
      <c r="FJ11" s="555"/>
      <c r="FK11" s="555"/>
      <c r="FL11" s="555"/>
      <c r="FM11" s="555"/>
      <c r="FN11" s="555"/>
      <c r="FO11" s="555"/>
      <c r="FP11" s="555"/>
      <c r="FQ11" s="555"/>
      <c r="FR11" s="555"/>
      <c r="FS11" s="555"/>
      <c r="FT11" s="555"/>
      <c r="FU11" s="555"/>
      <c r="FV11" s="555"/>
      <c r="FW11" s="555"/>
      <c r="FX11" s="555"/>
      <c r="FY11" s="555"/>
      <c r="FZ11" s="555"/>
      <c r="GA11" s="555"/>
      <c r="GB11" s="555"/>
      <c r="GC11" s="555"/>
      <c r="GD11" s="555"/>
      <c r="GE11" s="555"/>
      <c r="GF11" s="555"/>
      <c r="GG11" s="555"/>
      <c r="GH11" s="555"/>
      <c r="GI11" s="555"/>
      <c r="GJ11" s="555"/>
      <c r="GK11" s="555"/>
      <c r="GL11" s="555"/>
      <c r="GM11" s="555"/>
      <c r="GN11" s="555"/>
      <c r="GO11" s="555"/>
      <c r="GP11" s="555"/>
      <c r="GQ11" s="555"/>
      <c r="GR11" s="555"/>
      <c r="GS11" s="555"/>
      <c r="GT11" s="555"/>
      <c r="GU11" s="555"/>
      <c r="GV11" s="555"/>
      <c r="GW11" s="555"/>
      <c r="GX11" s="555"/>
      <c r="GY11" s="555"/>
      <c r="GZ11" s="555"/>
      <c r="HA11" s="555"/>
      <c r="HB11" s="555"/>
      <c r="HC11" s="555"/>
      <c r="HD11" s="555"/>
      <c r="HE11" s="555"/>
      <c r="HF11" s="555"/>
      <c r="HG11" s="555"/>
      <c r="HH11" s="555"/>
      <c r="HI11" s="555"/>
      <c r="HJ11" s="555"/>
      <c r="HK11" s="555"/>
      <c r="HL11" s="555"/>
      <c r="HM11" s="555"/>
      <c r="HN11" s="555"/>
      <c r="HO11" s="555"/>
      <c r="HP11" s="555"/>
      <c r="HQ11" s="555"/>
      <c r="HR11" s="555"/>
      <c r="HS11" s="555"/>
      <c r="HT11" s="555"/>
      <c r="HU11" s="555"/>
      <c r="HV11" s="555"/>
      <c r="HW11" s="555"/>
      <c r="HX11" s="555"/>
      <c r="HY11" s="555"/>
      <c r="HZ11" s="555"/>
      <c r="IA11" s="555"/>
      <c r="IB11" s="555"/>
      <c r="IC11" s="555"/>
      <c r="ID11" s="555"/>
      <c r="IE11" s="555"/>
      <c r="IF11" s="555"/>
      <c r="IG11" s="555"/>
      <c r="IH11" s="555"/>
      <c r="II11" s="555"/>
      <c r="IJ11" s="555"/>
      <c r="IK11" s="555"/>
      <c r="IL11" s="555"/>
      <c r="IM11" s="555"/>
      <c r="IN11" s="555"/>
      <c r="IO11" s="555"/>
      <c r="IP11" s="555"/>
      <c r="IQ11" s="555"/>
      <c r="IR11" s="555"/>
      <c r="IS11" s="555"/>
      <c r="IT11" s="555"/>
      <c r="IU11" s="555"/>
      <c r="IV11" s="555"/>
      <c r="IW11" s="555"/>
    </row>
    <row r="12" customFormat="false" ht="15.75" hidden="false" customHeight="true" outlineLevel="0" collapsed="false">
      <c r="A12" s="559"/>
      <c r="B12" s="651" t="inlineStr">
        <is>
          <t xml:space="preserve">㈜승진소방ENG</t>
        </is>
      </c>
      <c r="C12" s="651"/>
      <c r="D12" s="651"/>
      <c r="E12" s="651"/>
      <c r="F12" s="651"/>
      <c r="G12" s="651"/>
      <c r="H12" s="651"/>
      <c r="I12" s="638" t="inlineStr">
        <is>
          <t xml:space="preserve">586-86-00740</t>
        </is>
      </c>
      <c r="J12" s="638"/>
      <c r="K12" s="638"/>
      <c r="L12" s="638"/>
      <c r="M12" s="555"/>
      <c r="N12" s="555"/>
      <c r="O12" s="555"/>
      <c r="P12" s="555"/>
      <c r="Q12" s="555"/>
      <c r="R12" s="555"/>
      <c r="S12" s="555"/>
      <c r="T12" s="555"/>
      <c r="U12" s="555"/>
      <c r="V12" s="555"/>
      <c r="W12" s="555"/>
      <c r="X12" s="555"/>
      <c r="Y12" s="555"/>
      <c r="Z12" s="555"/>
      <c r="AA12" s="555"/>
      <c r="AB12" s="555"/>
      <c r="AC12" s="555"/>
      <c r="AD12" s="555"/>
      <c r="AE12" s="555"/>
      <c r="AF12" s="555"/>
      <c r="AG12" s="555"/>
      <c r="AH12" s="555"/>
      <c r="AI12" s="555"/>
      <c r="AJ12" s="555"/>
      <c r="AK12" s="555"/>
      <c r="AL12" s="555"/>
      <c r="AM12" s="555"/>
      <c r="AN12" s="555"/>
      <c r="AO12" s="555"/>
      <c r="AP12" s="555"/>
      <c r="AQ12" s="555"/>
      <c r="AR12" s="555"/>
      <c r="AS12" s="555"/>
      <c r="AT12" s="555"/>
      <c r="AU12" s="555"/>
      <c r="AV12" s="555"/>
      <c r="AW12" s="555"/>
      <c r="AX12" s="555"/>
      <c r="AY12" s="555"/>
      <c r="AZ12" s="555"/>
      <c r="BA12" s="555"/>
      <c r="BB12" s="555"/>
      <c r="BC12" s="555"/>
      <c r="BD12" s="555"/>
      <c r="BE12" s="555"/>
      <c r="BF12" s="555"/>
      <c r="BG12" s="555"/>
      <c r="BH12" s="555"/>
      <c r="BI12" s="555"/>
      <c r="BJ12" s="555"/>
      <c r="BK12" s="555"/>
      <c r="BL12" s="555"/>
      <c r="BM12" s="555"/>
      <c r="BN12" s="555"/>
      <c r="BO12" s="555"/>
      <c r="BP12" s="555"/>
      <c r="BQ12" s="555"/>
      <c r="BR12" s="555"/>
      <c r="BS12" s="555"/>
      <c r="BT12" s="555"/>
      <c r="BU12" s="555"/>
      <c r="BV12" s="555"/>
      <c r="BW12" s="555"/>
      <c r="BX12" s="555"/>
      <c r="BY12" s="555"/>
      <c r="BZ12" s="555"/>
      <c r="CA12" s="555"/>
      <c r="CB12" s="555"/>
      <c r="CC12" s="555"/>
      <c r="CD12" s="555"/>
      <c r="CE12" s="555"/>
      <c r="CF12" s="555"/>
      <c r="CG12" s="555"/>
      <c r="CH12" s="555"/>
      <c r="CI12" s="555"/>
      <c r="CJ12" s="555"/>
      <c r="CK12" s="555"/>
      <c r="CL12" s="555"/>
      <c r="CM12" s="555"/>
      <c r="CN12" s="555"/>
      <c r="CO12" s="555"/>
      <c r="CP12" s="555"/>
      <c r="CQ12" s="555"/>
      <c r="CR12" s="555"/>
      <c r="CS12" s="555"/>
      <c r="CT12" s="555"/>
      <c r="CU12" s="555"/>
      <c r="CV12" s="555"/>
      <c r="CW12" s="555"/>
      <c r="CX12" s="555"/>
      <c r="CY12" s="555"/>
      <c r="CZ12" s="555"/>
      <c r="DA12" s="555"/>
      <c r="DB12" s="555"/>
      <c r="DC12" s="555"/>
      <c r="DD12" s="555"/>
      <c r="DE12" s="555"/>
      <c r="DF12" s="555"/>
      <c r="DG12" s="555"/>
      <c r="DH12" s="555"/>
      <c r="DI12" s="555"/>
      <c r="DJ12" s="555"/>
      <c r="DK12" s="555"/>
      <c r="DL12" s="555"/>
      <c r="DM12" s="555"/>
      <c r="DN12" s="555"/>
      <c r="DO12" s="555"/>
      <c r="DP12" s="555"/>
      <c r="DQ12" s="555"/>
      <c r="DR12" s="555"/>
      <c r="DS12" s="555"/>
      <c r="DT12" s="555"/>
      <c r="DU12" s="555"/>
      <c r="DV12" s="555"/>
      <c r="DW12" s="555"/>
      <c r="DX12" s="555"/>
      <c r="DY12" s="555"/>
      <c r="DZ12" s="555"/>
      <c r="EA12" s="555"/>
      <c r="EB12" s="555"/>
      <c r="EC12" s="555"/>
      <c r="ED12" s="555"/>
      <c r="EE12" s="555"/>
      <c r="EF12" s="555"/>
      <c r="EG12" s="555"/>
      <c r="EH12" s="555"/>
      <c r="EI12" s="555"/>
      <c r="EJ12" s="555"/>
      <c r="EK12" s="555"/>
      <c r="EL12" s="555"/>
      <c r="EM12" s="555"/>
      <c r="EN12" s="555"/>
      <c r="EO12" s="555"/>
      <c r="EP12" s="555"/>
      <c r="EQ12" s="555"/>
      <c r="ER12" s="555"/>
      <c r="ES12" s="555"/>
      <c r="ET12" s="555"/>
      <c r="EU12" s="555"/>
      <c r="EV12" s="555"/>
      <c r="EW12" s="555"/>
      <c r="EX12" s="555"/>
      <c r="EY12" s="555"/>
      <c r="EZ12" s="555"/>
      <c r="FA12" s="555"/>
      <c r="FB12" s="555"/>
      <c r="FC12" s="555"/>
      <c r="FD12" s="555"/>
      <c r="FE12" s="555"/>
      <c r="FF12" s="555"/>
      <c r="FG12" s="555"/>
      <c r="FH12" s="555"/>
      <c r="FI12" s="555"/>
      <c r="FJ12" s="555"/>
      <c r="FK12" s="555"/>
      <c r="FL12" s="555"/>
      <c r="FM12" s="555"/>
      <c r="FN12" s="555"/>
      <c r="FO12" s="555"/>
      <c r="FP12" s="555"/>
      <c r="FQ12" s="555"/>
      <c r="FR12" s="555"/>
      <c r="FS12" s="555"/>
      <c r="FT12" s="555"/>
      <c r="FU12" s="555"/>
      <c r="FV12" s="555"/>
      <c r="FW12" s="555"/>
      <c r="FX12" s="555"/>
      <c r="FY12" s="555"/>
      <c r="FZ12" s="555"/>
      <c r="GA12" s="555"/>
      <c r="GB12" s="555"/>
      <c r="GC12" s="555"/>
      <c r="GD12" s="555"/>
      <c r="GE12" s="555"/>
      <c r="GF12" s="555"/>
      <c r="GG12" s="555"/>
      <c r="GH12" s="555"/>
      <c r="GI12" s="555"/>
      <c r="GJ12" s="555"/>
      <c r="GK12" s="555"/>
      <c r="GL12" s="555"/>
      <c r="GM12" s="555"/>
      <c r="GN12" s="555"/>
      <c r="GO12" s="555"/>
      <c r="GP12" s="555"/>
      <c r="GQ12" s="555"/>
      <c r="GR12" s="555"/>
      <c r="GS12" s="555"/>
      <c r="GT12" s="555"/>
      <c r="GU12" s="555"/>
      <c r="GV12" s="555"/>
      <c r="GW12" s="555"/>
      <c r="GX12" s="555"/>
      <c r="GY12" s="555"/>
      <c r="GZ12" s="555"/>
      <c r="HA12" s="555"/>
      <c r="HB12" s="555"/>
      <c r="HC12" s="555"/>
      <c r="HD12" s="555"/>
      <c r="HE12" s="555"/>
      <c r="HF12" s="555"/>
      <c r="HG12" s="555"/>
      <c r="HH12" s="555"/>
      <c r="HI12" s="555"/>
      <c r="HJ12" s="555"/>
      <c r="HK12" s="555"/>
      <c r="HL12" s="555"/>
      <c r="HM12" s="555"/>
      <c r="HN12" s="555"/>
      <c r="HO12" s="555"/>
      <c r="HP12" s="555"/>
      <c r="HQ12" s="555"/>
      <c r="HR12" s="555"/>
      <c r="HS12" s="555"/>
      <c r="HT12" s="555"/>
      <c r="HU12" s="555"/>
      <c r="HV12" s="555"/>
      <c r="HW12" s="555"/>
      <c r="HX12" s="555"/>
      <c r="HY12" s="555"/>
      <c r="HZ12" s="555"/>
      <c r="IA12" s="555"/>
      <c r="IB12" s="555"/>
      <c r="IC12" s="555"/>
      <c r="ID12" s="555"/>
      <c r="IE12" s="555"/>
      <c r="IF12" s="555"/>
      <c r="IG12" s="555"/>
      <c r="IH12" s="555"/>
      <c r="II12" s="555"/>
      <c r="IJ12" s="555"/>
      <c r="IK12" s="555"/>
      <c r="IL12" s="555"/>
      <c r="IM12" s="555"/>
      <c r="IN12" s="555"/>
      <c r="IO12" s="555"/>
      <c r="IP12" s="555"/>
      <c r="IQ12" s="555"/>
      <c r="IR12" s="555"/>
      <c r="IS12" s="555"/>
      <c r="IT12" s="555"/>
      <c r="IU12" s="555"/>
      <c r="IV12" s="555"/>
      <c r="IW12" s="555"/>
    </row>
    <row r="13" customFormat="false" ht="16.5" hidden="false" customHeight="true" outlineLevel="0" collapsed="false">
      <c r="A13" s="559"/>
      <c r="B13" s="652" t="s">
        <v>586</v>
      </c>
      <c r="C13" s="652"/>
      <c r="D13" s="652"/>
      <c r="E13" s="652"/>
      <c r="F13" s="652"/>
      <c r="G13" s="652"/>
      <c r="H13" s="652"/>
      <c r="I13" s="652"/>
      <c r="J13" s="653"/>
      <c r="K13" s="653"/>
      <c r="L13" s="653"/>
      <c r="M13" s="555"/>
      <c r="N13" s="555"/>
      <c r="O13" s="555"/>
      <c r="P13" s="555"/>
      <c r="Q13" s="555"/>
      <c r="R13" s="555"/>
      <c r="S13" s="555"/>
      <c r="T13" s="555"/>
      <c r="U13" s="555"/>
      <c r="V13" s="555"/>
      <c r="W13" s="555"/>
      <c r="X13" s="555"/>
      <c r="Y13" s="555"/>
      <c r="Z13" s="555"/>
      <c r="AA13" s="555"/>
      <c r="AB13" s="555"/>
      <c r="AC13" s="555"/>
      <c r="AD13" s="555"/>
      <c r="AE13" s="555"/>
      <c r="AF13" s="555"/>
      <c r="AG13" s="555"/>
      <c r="AH13" s="555"/>
      <c r="AI13" s="555"/>
      <c r="AJ13" s="555"/>
      <c r="AK13" s="555"/>
      <c r="AL13" s="555"/>
      <c r="AM13" s="555"/>
      <c r="AN13" s="555"/>
      <c r="AO13" s="555"/>
      <c r="AP13" s="555"/>
      <c r="AQ13" s="555"/>
      <c r="AR13" s="555"/>
      <c r="AS13" s="555"/>
      <c r="AT13" s="555"/>
      <c r="AU13" s="555"/>
      <c r="AV13" s="555"/>
      <c r="AW13" s="555"/>
      <c r="AX13" s="555"/>
      <c r="AY13" s="555"/>
      <c r="AZ13" s="555"/>
      <c r="BA13" s="555"/>
      <c r="BB13" s="555"/>
      <c r="BC13" s="555"/>
      <c r="BD13" s="555"/>
      <c r="BE13" s="555"/>
      <c r="BF13" s="555"/>
      <c r="BG13" s="555"/>
      <c r="BH13" s="555"/>
      <c r="BI13" s="555"/>
      <c r="BJ13" s="555"/>
      <c r="BK13" s="555"/>
      <c r="BL13" s="555"/>
      <c r="BM13" s="555"/>
      <c r="BN13" s="555"/>
      <c r="BO13" s="555"/>
      <c r="BP13" s="555"/>
      <c r="BQ13" s="555"/>
      <c r="BR13" s="555"/>
      <c r="BS13" s="555"/>
      <c r="BT13" s="555"/>
      <c r="BU13" s="555"/>
      <c r="BV13" s="555"/>
      <c r="BW13" s="555"/>
      <c r="BX13" s="555"/>
      <c r="BY13" s="555"/>
      <c r="BZ13" s="555"/>
      <c r="CA13" s="555"/>
      <c r="CB13" s="555"/>
      <c r="CC13" s="555"/>
      <c r="CD13" s="555"/>
      <c r="CE13" s="555"/>
      <c r="CF13" s="555"/>
      <c r="CG13" s="555"/>
      <c r="CH13" s="555"/>
      <c r="CI13" s="555"/>
      <c r="CJ13" s="555"/>
      <c r="CK13" s="555"/>
      <c r="CL13" s="555"/>
      <c r="CM13" s="555"/>
      <c r="CN13" s="555"/>
      <c r="CO13" s="555"/>
      <c r="CP13" s="555"/>
      <c r="CQ13" s="555"/>
      <c r="CR13" s="555"/>
      <c r="CS13" s="555"/>
      <c r="CT13" s="555"/>
      <c r="CU13" s="555"/>
      <c r="CV13" s="555"/>
      <c r="CW13" s="555"/>
      <c r="CX13" s="555"/>
      <c r="CY13" s="555"/>
      <c r="CZ13" s="555"/>
      <c r="DA13" s="555"/>
      <c r="DB13" s="555"/>
      <c r="DC13" s="555"/>
      <c r="DD13" s="555"/>
      <c r="DE13" s="555"/>
      <c r="DF13" s="555"/>
      <c r="DG13" s="555"/>
      <c r="DH13" s="555"/>
      <c r="DI13" s="555"/>
      <c r="DJ13" s="555"/>
      <c r="DK13" s="555"/>
      <c r="DL13" s="555"/>
      <c r="DM13" s="555"/>
      <c r="DN13" s="555"/>
      <c r="DO13" s="555"/>
      <c r="DP13" s="555"/>
      <c r="DQ13" s="555"/>
      <c r="DR13" s="555"/>
      <c r="DS13" s="555"/>
      <c r="DT13" s="555"/>
      <c r="DU13" s="555"/>
      <c r="DV13" s="555"/>
      <c r="DW13" s="555"/>
      <c r="DX13" s="555"/>
      <c r="DY13" s="555"/>
      <c r="DZ13" s="555"/>
      <c r="EA13" s="555"/>
      <c r="EB13" s="555"/>
      <c r="EC13" s="555"/>
      <c r="ED13" s="555"/>
      <c r="EE13" s="555"/>
      <c r="EF13" s="555"/>
      <c r="EG13" s="555"/>
      <c r="EH13" s="555"/>
      <c r="EI13" s="555"/>
      <c r="EJ13" s="555"/>
      <c r="EK13" s="555"/>
      <c r="EL13" s="555"/>
      <c r="EM13" s="555"/>
      <c r="EN13" s="555"/>
      <c r="EO13" s="555"/>
      <c r="EP13" s="555"/>
      <c r="EQ13" s="555"/>
      <c r="ER13" s="555"/>
      <c r="ES13" s="555"/>
      <c r="ET13" s="555"/>
      <c r="EU13" s="555"/>
      <c r="EV13" s="555"/>
      <c r="EW13" s="555"/>
      <c r="EX13" s="555"/>
      <c r="EY13" s="555"/>
      <c r="EZ13" s="555"/>
      <c r="FA13" s="555"/>
      <c r="FB13" s="555"/>
      <c r="FC13" s="555"/>
      <c r="FD13" s="555"/>
      <c r="FE13" s="555"/>
      <c r="FF13" s="555"/>
      <c r="FG13" s="555"/>
      <c r="FH13" s="555"/>
      <c r="FI13" s="555"/>
      <c r="FJ13" s="555"/>
      <c r="FK13" s="555"/>
      <c r="FL13" s="555"/>
      <c r="FM13" s="555"/>
      <c r="FN13" s="555"/>
      <c r="FO13" s="555"/>
      <c r="FP13" s="555"/>
      <c r="FQ13" s="555"/>
      <c r="FR13" s="555"/>
      <c r="FS13" s="555"/>
      <c r="FT13" s="555"/>
      <c r="FU13" s="555"/>
      <c r="FV13" s="555"/>
      <c r="FW13" s="555"/>
      <c r="FX13" s="555"/>
      <c r="FY13" s="555"/>
      <c r="FZ13" s="555"/>
      <c r="GA13" s="555"/>
      <c r="GB13" s="555"/>
      <c r="GC13" s="555"/>
      <c r="GD13" s="555"/>
      <c r="GE13" s="555"/>
      <c r="GF13" s="555"/>
      <c r="GG13" s="555"/>
      <c r="GH13" s="555"/>
      <c r="GI13" s="555"/>
      <c r="GJ13" s="555"/>
      <c r="GK13" s="555"/>
      <c r="GL13" s="555"/>
      <c r="GM13" s="555"/>
      <c r="GN13" s="555"/>
      <c r="GO13" s="555"/>
      <c r="GP13" s="555"/>
      <c r="GQ13" s="555"/>
      <c r="GR13" s="555"/>
      <c r="GS13" s="555"/>
      <c r="GT13" s="555"/>
      <c r="GU13" s="555"/>
      <c r="GV13" s="555"/>
      <c r="GW13" s="555"/>
      <c r="GX13" s="555"/>
      <c r="GY13" s="555"/>
      <c r="GZ13" s="555"/>
      <c r="HA13" s="555"/>
      <c r="HB13" s="555"/>
      <c r="HC13" s="555"/>
      <c r="HD13" s="555"/>
      <c r="HE13" s="555"/>
      <c r="HF13" s="555"/>
      <c r="HG13" s="555"/>
      <c r="HH13" s="555"/>
      <c r="HI13" s="555"/>
      <c r="HJ13" s="555"/>
      <c r="HK13" s="555"/>
      <c r="HL13" s="555"/>
      <c r="HM13" s="555"/>
      <c r="HN13" s="555"/>
      <c r="HO13" s="555"/>
      <c r="HP13" s="555"/>
      <c r="HQ13" s="555"/>
      <c r="HR13" s="555"/>
      <c r="HS13" s="555"/>
      <c r="HT13" s="555"/>
      <c r="HU13" s="555"/>
      <c r="HV13" s="555"/>
      <c r="HW13" s="555"/>
      <c r="HX13" s="555"/>
      <c r="HY13" s="555"/>
      <c r="HZ13" s="555"/>
      <c r="IA13" s="555"/>
      <c r="IB13" s="555"/>
      <c r="IC13" s="555"/>
      <c r="ID13" s="555"/>
      <c r="IE13" s="555"/>
      <c r="IF13" s="555"/>
      <c r="IG13" s="555"/>
      <c r="IH13" s="555"/>
      <c r="II13" s="555"/>
      <c r="IJ13" s="555"/>
      <c r="IK13" s="555"/>
      <c r="IL13" s="555"/>
      <c r="IM13" s="555"/>
      <c r="IN13" s="555"/>
      <c r="IO13" s="555"/>
      <c r="IP13" s="555"/>
      <c r="IQ13" s="555"/>
      <c r="IR13" s="555"/>
      <c r="IS13" s="555"/>
      <c r="IT13" s="555"/>
      <c r="IU13" s="555"/>
      <c r="IV13" s="555"/>
      <c r="IW13" s="555"/>
    </row>
    <row r="14" customFormat="false" ht="16.5" hidden="false" customHeight="true" outlineLevel="0" collapsed="false">
      <c r="A14" s="559"/>
      <c r="B14" s="639" t="s">
        <v>580</v>
      </c>
      <c r="C14" s="654" t="inlineStr">
        <is>
          <t xml:space="preserve">김흥준</t>
        </is>
      </c>
      <c r="D14" s="654"/>
      <c r="E14" s="641" t="s">
        <v>112</v>
      </c>
      <c r="F14" s="654" t="inlineStr">
        <is>
          <t xml:space="preserve">031-772-3019</t>
        </is>
      </c>
      <c r="G14" s="654"/>
      <c r="H14" s="641" t="s">
        <v>557</v>
      </c>
      <c r="I14" s="655"/>
      <c r="J14" s="653"/>
      <c r="K14" s="653"/>
      <c r="L14" s="653"/>
      <c r="M14" s="555"/>
      <c r="N14" s="555"/>
      <c r="O14" s="555"/>
      <c r="P14" s="555"/>
      <c r="Q14" s="555"/>
      <c r="R14" s="555"/>
      <c r="S14" s="555"/>
      <c r="T14" s="555"/>
      <c r="U14" s="555"/>
      <c r="V14" s="555"/>
      <c r="W14" s="555"/>
      <c r="X14" s="555"/>
      <c r="Y14" s="555"/>
      <c r="Z14" s="555"/>
      <c r="AA14" s="555"/>
      <c r="AB14" s="555"/>
      <c r="AC14" s="555"/>
      <c r="AD14" s="555"/>
      <c r="AE14" s="555"/>
      <c r="AF14" s="555"/>
      <c r="AG14" s="555"/>
      <c r="AH14" s="555"/>
      <c r="AI14" s="555"/>
      <c r="AJ14" s="555"/>
      <c r="AK14" s="555"/>
      <c r="AL14" s="555"/>
      <c r="AM14" s="555"/>
      <c r="AN14" s="555"/>
      <c r="AO14" s="555"/>
      <c r="AP14" s="555"/>
      <c r="AQ14" s="555"/>
      <c r="AR14" s="555"/>
      <c r="AS14" s="555"/>
      <c r="AT14" s="555"/>
      <c r="AU14" s="555"/>
      <c r="AV14" s="555"/>
      <c r="AW14" s="555"/>
      <c r="AX14" s="555"/>
      <c r="AY14" s="555"/>
      <c r="AZ14" s="555"/>
      <c r="BA14" s="555"/>
      <c r="BB14" s="555"/>
      <c r="BC14" s="555"/>
      <c r="BD14" s="555"/>
      <c r="BE14" s="555"/>
      <c r="BF14" s="555"/>
      <c r="BG14" s="555"/>
      <c r="BH14" s="555"/>
      <c r="BI14" s="555"/>
      <c r="BJ14" s="555"/>
      <c r="BK14" s="555"/>
      <c r="BL14" s="555"/>
      <c r="BM14" s="555"/>
      <c r="BN14" s="555"/>
      <c r="BO14" s="555"/>
      <c r="BP14" s="555"/>
      <c r="BQ14" s="555"/>
      <c r="BR14" s="555"/>
      <c r="BS14" s="555"/>
      <c r="BT14" s="555"/>
      <c r="BU14" s="555"/>
      <c r="BV14" s="555"/>
      <c r="BW14" s="555"/>
      <c r="BX14" s="555"/>
      <c r="BY14" s="555"/>
      <c r="BZ14" s="555"/>
      <c r="CA14" s="555"/>
      <c r="CB14" s="555"/>
      <c r="CC14" s="555"/>
      <c r="CD14" s="555"/>
      <c r="CE14" s="555"/>
      <c r="CF14" s="555"/>
      <c r="CG14" s="555"/>
      <c r="CH14" s="555"/>
      <c r="CI14" s="555"/>
      <c r="CJ14" s="555"/>
      <c r="CK14" s="555"/>
      <c r="CL14" s="555"/>
      <c r="CM14" s="555"/>
      <c r="CN14" s="555"/>
      <c r="CO14" s="555"/>
      <c r="CP14" s="555"/>
      <c r="CQ14" s="555"/>
      <c r="CR14" s="555"/>
      <c r="CS14" s="555"/>
      <c r="CT14" s="555"/>
      <c r="CU14" s="555"/>
      <c r="CV14" s="555"/>
      <c r="CW14" s="555"/>
      <c r="CX14" s="555"/>
      <c r="CY14" s="555"/>
      <c r="CZ14" s="555"/>
      <c r="DA14" s="555"/>
      <c r="DB14" s="555"/>
      <c r="DC14" s="555"/>
      <c r="DD14" s="555"/>
      <c r="DE14" s="555"/>
      <c r="DF14" s="555"/>
      <c r="DG14" s="555"/>
      <c r="DH14" s="555"/>
      <c r="DI14" s="555"/>
      <c r="DJ14" s="555"/>
      <c r="DK14" s="555"/>
      <c r="DL14" s="555"/>
      <c r="DM14" s="555"/>
      <c r="DN14" s="555"/>
      <c r="DO14" s="555"/>
      <c r="DP14" s="555"/>
      <c r="DQ14" s="555"/>
      <c r="DR14" s="555"/>
      <c r="DS14" s="555"/>
      <c r="DT14" s="555"/>
      <c r="DU14" s="555"/>
      <c r="DV14" s="555"/>
      <c r="DW14" s="555"/>
      <c r="DX14" s="555"/>
      <c r="DY14" s="555"/>
      <c r="DZ14" s="555"/>
      <c r="EA14" s="555"/>
      <c r="EB14" s="555"/>
      <c r="EC14" s="555"/>
      <c r="ED14" s="555"/>
      <c r="EE14" s="555"/>
      <c r="EF14" s="555"/>
      <c r="EG14" s="555"/>
      <c r="EH14" s="555"/>
      <c r="EI14" s="555"/>
      <c r="EJ14" s="555"/>
      <c r="EK14" s="555"/>
      <c r="EL14" s="555"/>
      <c r="EM14" s="555"/>
      <c r="EN14" s="555"/>
      <c r="EO14" s="555"/>
      <c r="EP14" s="555"/>
      <c r="EQ14" s="555"/>
      <c r="ER14" s="555"/>
      <c r="ES14" s="555"/>
      <c r="ET14" s="555"/>
      <c r="EU14" s="555"/>
      <c r="EV14" s="555"/>
      <c r="EW14" s="555"/>
      <c r="EX14" s="555"/>
      <c r="EY14" s="555"/>
      <c r="EZ14" s="555"/>
      <c r="FA14" s="555"/>
      <c r="FB14" s="555"/>
      <c r="FC14" s="555"/>
      <c r="FD14" s="555"/>
      <c r="FE14" s="555"/>
      <c r="FF14" s="555"/>
      <c r="FG14" s="555"/>
      <c r="FH14" s="555"/>
      <c r="FI14" s="555"/>
      <c r="FJ14" s="555"/>
      <c r="FK14" s="555"/>
      <c r="FL14" s="555"/>
      <c r="FM14" s="555"/>
      <c r="FN14" s="555"/>
      <c r="FO14" s="555"/>
      <c r="FP14" s="555"/>
      <c r="FQ14" s="555"/>
      <c r="FR14" s="555"/>
      <c r="FS14" s="555"/>
      <c r="FT14" s="555"/>
      <c r="FU14" s="555"/>
      <c r="FV14" s="555"/>
      <c r="FW14" s="555"/>
      <c r="FX14" s="555"/>
      <c r="FY14" s="555"/>
      <c r="FZ14" s="555"/>
      <c r="GA14" s="555"/>
      <c r="GB14" s="555"/>
      <c r="GC14" s="555"/>
      <c r="GD14" s="555"/>
      <c r="GE14" s="555"/>
      <c r="GF14" s="555"/>
      <c r="GG14" s="555"/>
      <c r="GH14" s="555"/>
      <c r="GI14" s="555"/>
      <c r="GJ14" s="555"/>
      <c r="GK14" s="555"/>
      <c r="GL14" s="555"/>
      <c r="GM14" s="555"/>
      <c r="GN14" s="555"/>
      <c r="GO14" s="555"/>
      <c r="GP14" s="555"/>
      <c r="GQ14" s="555"/>
      <c r="GR14" s="555"/>
      <c r="GS14" s="555"/>
      <c r="GT14" s="555"/>
      <c r="GU14" s="555"/>
      <c r="GV14" s="555"/>
      <c r="GW14" s="555"/>
      <c r="GX14" s="555"/>
      <c r="GY14" s="555"/>
      <c r="GZ14" s="555"/>
      <c r="HA14" s="555"/>
      <c r="HB14" s="555"/>
      <c r="HC14" s="555"/>
      <c r="HD14" s="555"/>
      <c r="HE14" s="555"/>
      <c r="HF14" s="555"/>
      <c r="HG14" s="555"/>
      <c r="HH14" s="555"/>
      <c r="HI14" s="555"/>
      <c r="HJ14" s="555"/>
      <c r="HK14" s="555"/>
      <c r="HL14" s="555"/>
      <c r="HM14" s="555"/>
      <c r="HN14" s="555"/>
      <c r="HO14" s="555"/>
      <c r="HP14" s="555"/>
      <c r="HQ14" s="555"/>
      <c r="HR14" s="555"/>
      <c r="HS14" s="555"/>
      <c r="HT14" s="555"/>
      <c r="HU14" s="555"/>
      <c r="HV14" s="555"/>
      <c r="HW14" s="555"/>
      <c r="HX14" s="555"/>
      <c r="HY14" s="555"/>
      <c r="HZ14" s="555"/>
      <c r="IA14" s="555"/>
      <c r="IB14" s="555"/>
      <c r="IC14" s="555"/>
      <c r="ID14" s="555"/>
      <c r="IE14" s="555"/>
      <c r="IF14" s="555"/>
      <c r="IG14" s="555"/>
      <c r="IH14" s="555"/>
      <c r="II14" s="555"/>
      <c r="IJ14" s="555"/>
      <c r="IK14" s="555"/>
      <c r="IL14" s="555"/>
      <c r="IM14" s="555"/>
      <c r="IN14" s="555"/>
      <c r="IO14" s="555"/>
      <c r="IP14" s="555"/>
      <c r="IQ14" s="555"/>
      <c r="IR14" s="555"/>
      <c r="IS14" s="555"/>
      <c r="IT14" s="555"/>
      <c r="IU14" s="555"/>
      <c r="IV14" s="555"/>
      <c r="IW14" s="555"/>
    </row>
    <row r="15" customFormat="false" ht="18" hidden="false" customHeight="true" outlineLevel="0" collapsed="false">
      <c r="A15" s="559"/>
      <c r="B15" s="648" t="s">
        <v>559</v>
      </c>
      <c r="C15" s="574"/>
      <c r="D15" s="574"/>
      <c r="E15" s="574"/>
      <c r="F15" s="574"/>
      <c r="G15" s="574"/>
      <c r="H15" s="574"/>
      <c r="I15" s="574"/>
      <c r="J15" s="656"/>
      <c r="K15" s="656"/>
      <c r="L15" s="656"/>
      <c r="M15" s="555"/>
      <c r="N15" s="555"/>
      <c r="O15" s="555"/>
      <c r="P15" s="555"/>
      <c r="Q15" s="555"/>
      <c r="R15" s="555"/>
      <c r="S15" s="555"/>
      <c r="T15" s="555"/>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55"/>
      <c r="BL15" s="555"/>
      <c r="BM15" s="555"/>
      <c r="BN15" s="555"/>
      <c r="BO15" s="555"/>
      <c r="BP15" s="555"/>
      <c r="BQ15" s="555"/>
      <c r="BR15" s="555"/>
      <c r="BS15" s="555"/>
      <c r="BT15" s="555"/>
      <c r="BU15" s="555"/>
      <c r="BV15" s="555"/>
      <c r="BW15" s="555"/>
      <c r="BX15" s="555"/>
      <c r="BY15" s="555"/>
      <c r="BZ15" s="555"/>
      <c r="CA15" s="555"/>
      <c r="CB15" s="555"/>
      <c r="CC15" s="555"/>
      <c r="CD15" s="555"/>
      <c r="CE15" s="555"/>
      <c r="CF15" s="555"/>
      <c r="CG15" s="555"/>
      <c r="CH15" s="555"/>
      <c r="CI15" s="555"/>
      <c r="CJ15" s="555"/>
      <c r="CK15" s="555"/>
      <c r="CL15" s="555"/>
      <c r="CM15" s="555"/>
      <c r="CN15" s="555"/>
      <c r="CO15" s="555"/>
      <c r="CP15" s="555"/>
      <c r="CQ15" s="555"/>
      <c r="CR15" s="555"/>
      <c r="CS15" s="555"/>
      <c r="CT15" s="555"/>
      <c r="CU15" s="555"/>
      <c r="CV15" s="555"/>
      <c r="CW15" s="555"/>
      <c r="CX15" s="555"/>
      <c r="CY15" s="555"/>
      <c r="CZ15" s="555"/>
      <c r="DA15" s="555"/>
      <c r="DB15" s="555"/>
      <c r="DC15" s="555"/>
      <c r="DD15" s="555"/>
      <c r="DE15" s="555"/>
      <c r="DF15" s="555"/>
      <c r="DG15" s="555"/>
      <c r="DH15" s="555"/>
      <c r="DI15" s="555"/>
      <c r="DJ15" s="555"/>
      <c r="DK15" s="555"/>
      <c r="DL15" s="555"/>
      <c r="DM15" s="555"/>
      <c r="DN15" s="555"/>
      <c r="DO15" s="555"/>
      <c r="DP15" s="555"/>
      <c r="DQ15" s="555"/>
      <c r="DR15" s="555"/>
      <c r="DS15" s="555"/>
      <c r="DT15" s="555"/>
      <c r="DU15" s="555"/>
      <c r="DV15" s="555"/>
      <c r="DW15" s="555"/>
      <c r="DX15" s="555"/>
      <c r="DY15" s="555"/>
      <c r="DZ15" s="555"/>
      <c r="EA15" s="555"/>
      <c r="EB15" s="555"/>
      <c r="EC15" s="555"/>
      <c r="ED15" s="555"/>
      <c r="EE15" s="555"/>
      <c r="EF15" s="555"/>
      <c r="EG15" s="555"/>
      <c r="EH15" s="555"/>
      <c r="EI15" s="555"/>
      <c r="EJ15" s="555"/>
      <c r="EK15" s="555"/>
      <c r="EL15" s="555"/>
      <c r="EM15" s="555"/>
      <c r="EN15" s="555"/>
      <c r="EO15" s="555"/>
      <c r="EP15" s="555"/>
      <c r="EQ15" s="555"/>
      <c r="ER15" s="555"/>
      <c r="ES15" s="555"/>
      <c r="ET15" s="555"/>
      <c r="EU15" s="555"/>
      <c r="EV15" s="555"/>
      <c r="EW15" s="555"/>
      <c r="EX15" s="555"/>
      <c r="EY15" s="555"/>
      <c r="EZ15" s="555"/>
      <c r="FA15" s="555"/>
      <c r="FB15" s="555"/>
      <c r="FC15" s="555"/>
      <c r="FD15" s="555"/>
      <c r="FE15" s="555"/>
      <c r="FF15" s="555"/>
      <c r="FG15" s="555"/>
      <c r="FH15" s="555"/>
      <c r="FI15" s="555"/>
      <c r="FJ15" s="555"/>
      <c r="FK15" s="555"/>
      <c r="FL15" s="555"/>
      <c r="FM15" s="555"/>
      <c r="FN15" s="555"/>
      <c r="FO15" s="555"/>
      <c r="FP15" s="555"/>
      <c r="FQ15" s="555"/>
      <c r="FR15" s="555"/>
      <c r="FS15" s="555"/>
      <c r="FT15" s="555"/>
      <c r="FU15" s="555"/>
      <c r="FV15" s="555"/>
      <c r="FW15" s="555"/>
      <c r="FX15" s="555"/>
      <c r="FY15" s="555"/>
      <c r="FZ15" s="555"/>
      <c r="GA15" s="555"/>
      <c r="GB15" s="555"/>
      <c r="GC15" s="555"/>
      <c r="GD15" s="555"/>
      <c r="GE15" s="555"/>
      <c r="GF15" s="555"/>
      <c r="GG15" s="555"/>
      <c r="GH15" s="555"/>
      <c r="GI15" s="555"/>
      <c r="GJ15" s="555"/>
      <c r="GK15" s="555"/>
      <c r="GL15" s="555"/>
      <c r="GM15" s="555"/>
      <c r="GN15" s="555"/>
      <c r="GO15" s="555"/>
      <c r="GP15" s="555"/>
      <c r="GQ15" s="555"/>
      <c r="GR15" s="555"/>
      <c r="GS15" s="555"/>
      <c r="GT15" s="555"/>
      <c r="GU15" s="555"/>
      <c r="GV15" s="555"/>
      <c r="GW15" s="555"/>
      <c r="GX15" s="555"/>
      <c r="GY15" s="555"/>
      <c r="GZ15" s="555"/>
      <c r="HA15" s="555"/>
      <c r="HB15" s="555"/>
      <c r="HC15" s="555"/>
      <c r="HD15" s="555"/>
      <c r="HE15" s="555"/>
      <c r="HF15" s="555"/>
      <c r="HG15" s="555"/>
      <c r="HH15" s="555"/>
      <c r="HI15" s="555"/>
      <c r="HJ15" s="555"/>
      <c r="HK15" s="555"/>
      <c r="HL15" s="555"/>
      <c r="HM15" s="555"/>
      <c r="HN15" s="555"/>
      <c r="HO15" s="555"/>
      <c r="HP15" s="555"/>
      <c r="HQ15" s="555"/>
      <c r="HR15" s="555"/>
      <c r="HS15" s="555"/>
      <c r="HT15" s="555"/>
      <c r="HU15" s="555"/>
      <c r="HV15" s="555"/>
      <c r="HW15" s="555"/>
      <c r="HX15" s="555"/>
      <c r="HY15" s="555"/>
      <c r="HZ15" s="555"/>
      <c r="IA15" s="555"/>
      <c r="IB15" s="555"/>
      <c r="IC15" s="555"/>
      <c r="ID15" s="555"/>
      <c r="IE15" s="555"/>
      <c r="IF15" s="555"/>
      <c r="IG15" s="555"/>
      <c r="IH15" s="555"/>
      <c r="II15" s="555"/>
      <c r="IJ15" s="555"/>
      <c r="IK15" s="555"/>
      <c r="IL15" s="555"/>
      <c r="IM15" s="555"/>
      <c r="IN15" s="555"/>
      <c r="IO15" s="555"/>
      <c r="IP15" s="555"/>
      <c r="IQ15" s="555"/>
      <c r="IR15" s="555"/>
      <c r="IS15" s="555"/>
      <c r="IT15" s="555"/>
      <c r="IU15" s="555"/>
      <c r="IV15" s="555"/>
      <c r="IW15" s="555"/>
    </row>
    <row r="16" customFormat="false" ht="16.5" hidden="false" customHeight="true" outlineLevel="0" collapsed="false">
      <c r="A16" s="559"/>
      <c r="B16" s="575" t="inlineStr">
        <is>
          <t xml:space="preserve">경기도 양평군 양평읍 잿말길10번길 50-1 (덕평리 98-1)</t>
        </is>
      </c>
      <c r="C16" s="575"/>
      <c r="D16" s="575"/>
      <c r="E16" s="575"/>
      <c r="F16" s="575"/>
      <c r="G16" s="575"/>
      <c r="H16" s="575"/>
      <c r="I16" s="575"/>
      <c r="J16" s="575"/>
      <c r="K16" s="575"/>
      <c r="L16" s="575"/>
      <c r="M16" s="555"/>
      <c r="N16" s="555"/>
      <c r="O16" s="555"/>
      <c r="P16" s="555"/>
      <c r="Q16" s="555"/>
      <c r="R16" s="555"/>
      <c r="S16" s="555"/>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c r="CX16" s="555"/>
      <c r="CY16" s="555"/>
      <c r="CZ16" s="555"/>
      <c r="DA16" s="555"/>
      <c r="DB16" s="555"/>
      <c r="DC16" s="555"/>
      <c r="DD16" s="555"/>
      <c r="DE16" s="555"/>
      <c r="DF16" s="555"/>
      <c r="DG16" s="555"/>
      <c r="DH16" s="555"/>
      <c r="DI16" s="555"/>
      <c r="DJ16" s="555"/>
      <c r="DK16" s="555"/>
      <c r="DL16" s="555"/>
      <c r="DM16" s="555"/>
      <c r="DN16" s="555"/>
      <c r="DO16" s="555"/>
      <c r="DP16" s="555"/>
      <c r="DQ16" s="555"/>
      <c r="DR16" s="555"/>
      <c r="DS16" s="555"/>
      <c r="DT16" s="555"/>
      <c r="DU16" s="555"/>
      <c r="DV16" s="555"/>
      <c r="DW16" s="555"/>
      <c r="DX16" s="555"/>
      <c r="DY16" s="555"/>
      <c r="DZ16" s="555"/>
      <c r="EA16" s="555"/>
      <c r="EB16" s="555"/>
      <c r="EC16" s="555"/>
      <c r="ED16" s="555"/>
      <c r="EE16" s="555"/>
      <c r="EF16" s="555"/>
      <c r="EG16" s="555"/>
      <c r="EH16" s="555"/>
      <c r="EI16" s="555"/>
      <c r="EJ16" s="555"/>
      <c r="EK16" s="555"/>
      <c r="EL16" s="555"/>
      <c r="EM16" s="555"/>
      <c r="EN16" s="555"/>
      <c r="EO16" s="555"/>
      <c r="EP16" s="555"/>
      <c r="EQ16" s="555"/>
      <c r="ER16" s="555"/>
      <c r="ES16" s="555"/>
      <c r="ET16" s="555"/>
      <c r="EU16" s="555"/>
      <c r="EV16" s="555"/>
      <c r="EW16" s="555"/>
      <c r="EX16" s="555"/>
      <c r="EY16" s="555"/>
      <c r="EZ16" s="555"/>
      <c r="FA16" s="555"/>
      <c r="FB16" s="555"/>
      <c r="FC16" s="555"/>
      <c r="FD16" s="555"/>
      <c r="FE16" s="555"/>
      <c r="FF16" s="555"/>
      <c r="FG16" s="555"/>
      <c r="FH16" s="555"/>
      <c r="FI16" s="555"/>
      <c r="FJ16" s="555"/>
      <c r="FK16" s="555"/>
      <c r="FL16" s="555"/>
      <c r="FM16" s="555"/>
      <c r="FN16" s="555"/>
      <c r="FO16" s="555"/>
      <c r="FP16" s="555"/>
      <c r="FQ16" s="555"/>
      <c r="FR16" s="555"/>
      <c r="FS16" s="555"/>
      <c r="FT16" s="555"/>
      <c r="FU16" s="555"/>
      <c r="FV16" s="555"/>
      <c r="FW16" s="555"/>
      <c r="FX16" s="555"/>
      <c r="FY16" s="555"/>
      <c r="FZ16" s="555"/>
      <c r="GA16" s="555"/>
      <c r="GB16" s="555"/>
      <c r="GC16" s="555"/>
      <c r="GD16" s="555"/>
      <c r="GE16" s="555"/>
      <c r="GF16" s="555"/>
      <c r="GG16" s="555"/>
      <c r="GH16" s="555"/>
      <c r="GI16" s="555"/>
      <c r="GJ16" s="555"/>
      <c r="GK16" s="555"/>
      <c r="GL16" s="555"/>
      <c r="GM16" s="555"/>
      <c r="GN16" s="555"/>
      <c r="GO16" s="555"/>
      <c r="GP16" s="555"/>
      <c r="GQ16" s="555"/>
      <c r="GR16" s="555"/>
      <c r="GS16" s="555"/>
      <c r="GT16" s="555"/>
      <c r="GU16" s="555"/>
      <c r="GV16" s="555"/>
      <c r="GW16" s="555"/>
      <c r="GX16" s="555"/>
      <c r="GY16" s="555"/>
      <c r="GZ16" s="555"/>
      <c r="HA16" s="555"/>
      <c r="HB16" s="555"/>
      <c r="HC16" s="555"/>
      <c r="HD16" s="555"/>
      <c r="HE16" s="555"/>
      <c r="HF16" s="555"/>
      <c r="HG16" s="555"/>
      <c r="HH16" s="555"/>
      <c r="HI16" s="555"/>
      <c r="HJ16" s="555"/>
      <c r="HK16" s="555"/>
      <c r="HL16" s="555"/>
      <c r="HM16" s="555"/>
      <c r="HN16" s="555"/>
      <c r="HO16" s="555"/>
      <c r="HP16" s="555"/>
      <c r="HQ16" s="555"/>
      <c r="HR16" s="555"/>
      <c r="HS16" s="555"/>
      <c r="HT16" s="555"/>
      <c r="HU16" s="555"/>
      <c r="HV16" s="555"/>
      <c r="HW16" s="555"/>
      <c r="HX16" s="555"/>
      <c r="HY16" s="555"/>
      <c r="HZ16" s="555"/>
      <c r="IA16" s="555"/>
      <c r="IB16" s="555"/>
      <c r="IC16" s="555"/>
      <c r="ID16" s="555"/>
      <c r="IE16" s="555"/>
      <c r="IF16" s="555"/>
      <c r="IG16" s="555"/>
      <c r="IH16" s="555"/>
      <c r="II16" s="555"/>
      <c r="IJ16" s="555"/>
      <c r="IK16" s="555"/>
      <c r="IL16" s="555"/>
      <c r="IM16" s="555"/>
      <c r="IN16" s="555"/>
      <c r="IO16" s="555"/>
      <c r="IP16" s="555"/>
      <c r="IQ16" s="555"/>
      <c r="IR16" s="555"/>
      <c r="IS16" s="555"/>
      <c r="IT16" s="555"/>
      <c r="IU16" s="555"/>
      <c r="IV16" s="555"/>
      <c r="IW16" s="555"/>
    </row>
    <row r="17" customFormat="false" ht="9.75" hidden="false" customHeight="true" outlineLevel="0" collapsed="false">
      <c r="A17" s="576"/>
      <c r="B17" s="576"/>
      <c r="C17" s="576"/>
      <c r="D17" s="576"/>
      <c r="E17" s="576"/>
      <c r="F17" s="576"/>
      <c r="G17" s="576"/>
      <c r="H17" s="576"/>
      <c r="I17" s="576"/>
      <c r="J17" s="577"/>
      <c r="K17" s="577"/>
      <c r="L17" s="577"/>
      <c r="M17" s="555"/>
      <c r="N17" s="555"/>
      <c r="O17" s="555"/>
      <c r="P17" s="555"/>
      <c r="Q17" s="555"/>
      <c r="R17" s="555"/>
      <c r="S17" s="555"/>
      <c r="T17" s="555"/>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5"/>
      <c r="BO17" s="555"/>
      <c r="BP17" s="555"/>
      <c r="BQ17" s="555"/>
      <c r="BR17" s="555"/>
      <c r="BS17" s="555"/>
      <c r="BT17" s="555"/>
      <c r="BU17" s="555"/>
      <c r="BV17" s="555"/>
      <c r="BW17" s="555"/>
      <c r="BX17" s="555"/>
      <c r="BY17" s="555"/>
      <c r="BZ17" s="555"/>
      <c r="CA17" s="555"/>
      <c r="CB17" s="555"/>
      <c r="CC17" s="555"/>
      <c r="CD17" s="555"/>
      <c r="CE17" s="555"/>
      <c r="CF17" s="555"/>
      <c r="CG17" s="555"/>
      <c r="CH17" s="555"/>
      <c r="CI17" s="555"/>
      <c r="CJ17" s="555"/>
      <c r="CK17" s="555"/>
      <c r="CL17" s="555"/>
      <c r="CM17" s="555"/>
      <c r="CN17" s="555"/>
      <c r="CO17" s="555"/>
      <c r="CP17" s="555"/>
      <c r="CQ17" s="555"/>
      <c r="CR17" s="555"/>
      <c r="CS17" s="555"/>
      <c r="CT17" s="555"/>
      <c r="CU17" s="555"/>
      <c r="CV17" s="555"/>
      <c r="CW17" s="555"/>
      <c r="CX17" s="555"/>
      <c r="CY17" s="555"/>
      <c r="CZ17" s="555"/>
      <c r="DA17" s="555"/>
      <c r="DB17" s="555"/>
      <c r="DC17" s="555"/>
      <c r="DD17" s="555"/>
      <c r="DE17" s="555"/>
      <c r="DF17" s="555"/>
      <c r="DG17" s="555"/>
      <c r="DH17" s="555"/>
      <c r="DI17" s="555"/>
      <c r="DJ17" s="555"/>
      <c r="DK17" s="555"/>
      <c r="DL17" s="555"/>
      <c r="DM17" s="555"/>
      <c r="DN17" s="555"/>
      <c r="DO17" s="555"/>
      <c r="DP17" s="555"/>
      <c r="DQ17" s="555"/>
      <c r="DR17" s="555"/>
      <c r="DS17" s="555"/>
      <c r="DT17" s="555"/>
      <c r="DU17" s="555"/>
      <c r="DV17" s="555"/>
      <c r="DW17" s="555"/>
      <c r="DX17" s="555"/>
      <c r="DY17" s="555"/>
      <c r="DZ17" s="555"/>
      <c r="EA17" s="555"/>
      <c r="EB17" s="555"/>
      <c r="EC17" s="555"/>
      <c r="ED17" s="555"/>
      <c r="EE17" s="555"/>
      <c r="EF17" s="555"/>
      <c r="EG17" s="555"/>
      <c r="EH17" s="555"/>
      <c r="EI17" s="555"/>
      <c r="EJ17" s="555"/>
      <c r="EK17" s="555"/>
      <c r="EL17" s="555"/>
      <c r="EM17" s="555"/>
      <c r="EN17" s="555"/>
      <c r="EO17" s="555"/>
      <c r="EP17" s="555"/>
      <c r="EQ17" s="555"/>
      <c r="ER17" s="555"/>
      <c r="ES17" s="555"/>
      <c r="ET17" s="555"/>
      <c r="EU17" s="555"/>
      <c r="EV17" s="555"/>
      <c r="EW17" s="555"/>
      <c r="EX17" s="555"/>
      <c r="EY17" s="555"/>
      <c r="EZ17" s="555"/>
      <c r="FA17" s="555"/>
      <c r="FB17" s="555"/>
      <c r="FC17" s="555"/>
      <c r="FD17" s="555"/>
      <c r="FE17" s="555"/>
      <c r="FF17" s="555"/>
      <c r="FG17" s="555"/>
      <c r="FH17" s="555"/>
      <c r="FI17" s="555"/>
      <c r="FJ17" s="555"/>
      <c r="FK17" s="555"/>
      <c r="FL17" s="555"/>
      <c r="FM17" s="555"/>
      <c r="FN17" s="555"/>
      <c r="FO17" s="555"/>
      <c r="FP17" s="555"/>
      <c r="FQ17" s="555"/>
      <c r="FR17" s="555"/>
      <c r="FS17" s="555"/>
      <c r="FT17" s="555"/>
      <c r="FU17" s="555"/>
      <c r="FV17" s="555"/>
      <c r="FW17" s="555"/>
      <c r="FX17" s="555"/>
      <c r="FY17" s="555"/>
      <c r="FZ17" s="555"/>
      <c r="GA17" s="555"/>
      <c r="GB17" s="555"/>
      <c r="GC17" s="555"/>
      <c r="GD17" s="555"/>
      <c r="GE17" s="555"/>
      <c r="GF17" s="555"/>
      <c r="GG17" s="555"/>
      <c r="GH17" s="555"/>
      <c r="GI17" s="555"/>
      <c r="GJ17" s="555"/>
      <c r="GK17" s="555"/>
      <c r="GL17" s="555"/>
      <c r="GM17" s="555"/>
      <c r="GN17" s="555"/>
      <c r="GO17" s="555"/>
      <c r="GP17" s="555"/>
      <c r="GQ17" s="555"/>
      <c r="GR17" s="555"/>
      <c r="GS17" s="555"/>
      <c r="GT17" s="555"/>
      <c r="GU17" s="555"/>
      <c r="GV17" s="555"/>
      <c r="GW17" s="555"/>
      <c r="GX17" s="555"/>
      <c r="GY17" s="555"/>
      <c r="GZ17" s="555"/>
      <c r="HA17" s="555"/>
      <c r="HB17" s="555"/>
      <c r="HC17" s="555"/>
      <c r="HD17" s="555"/>
      <c r="HE17" s="555"/>
      <c r="HF17" s="555"/>
      <c r="HG17" s="555"/>
      <c r="HH17" s="555"/>
      <c r="HI17" s="555"/>
      <c r="HJ17" s="555"/>
      <c r="HK17" s="555"/>
      <c r="HL17" s="555"/>
      <c r="HM17" s="555"/>
      <c r="HN17" s="555"/>
      <c r="HO17" s="555"/>
      <c r="HP17" s="555"/>
      <c r="HQ17" s="555"/>
      <c r="HR17" s="555"/>
      <c r="HS17" s="555"/>
      <c r="HT17" s="555"/>
      <c r="HU17" s="555"/>
      <c r="HV17" s="555"/>
      <c r="HW17" s="555"/>
      <c r="HX17" s="555"/>
      <c r="HY17" s="555"/>
      <c r="HZ17" s="555"/>
      <c r="IA17" s="555"/>
      <c r="IB17" s="555"/>
      <c r="IC17" s="555"/>
      <c r="ID17" s="555"/>
      <c r="IE17" s="555"/>
      <c r="IF17" s="555"/>
      <c r="IG17" s="555"/>
      <c r="IH17" s="555"/>
      <c r="II17" s="555"/>
      <c r="IJ17" s="555"/>
      <c r="IK17" s="555"/>
      <c r="IL17" s="555"/>
      <c r="IM17" s="555"/>
      <c r="IN17" s="555"/>
      <c r="IO17" s="555"/>
      <c r="IP17" s="555"/>
      <c r="IQ17" s="555"/>
      <c r="IR17" s="555"/>
      <c r="IS17" s="555"/>
      <c r="IT17" s="555"/>
      <c r="IU17" s="555"/>
      <c r="IV17" s="555"/>
      <c r="IW17" s="555"/>
    </row>
    <row r="18" customFormat="false" ht="28.5" hidden="false" customHeight="true" outlineLevel="0" collapsed="false">
      <c r="A18" s="559" t="s">
        <v>587</v>
      </c>
      <c r="B18" s="578" t="s">
        <v>588</v>
      </c>
      <c r="C18" s="578"/>
      <c r="D18" s="578"/>
      <c r="E18" s="578"/>
      <c r="F18" s="578"/>
      <c r="G18" s="578"/>
      <c r="H18" s="578"/>
      <c r="I18" s="579" t="s">
        <v>562</v>
      </c>
      <c r="J18" s="579"/>
      <c r="K18" s="579"/>
      <c r="L18" s="579"/>
      <c r="M18" s="555"/>
      <c r="N18" s="555"/>
      <c r="O18" s="555"/>
      <c r="P18" s="555"/>
      <c r="Q18" s="555"/>
      <c r="R18" s="555"/>
      <c r="S18" s="555"/>
      <c r="T18" s="555"/>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5"/>
      <c r="BS18" s="555"/>
      <c r="BT18" s="555"/>
      <c r="BU18" s="555"/>
      <c r="BV18" s="555"/>
      <c r="BW18" s="555"/>
      <c r="BX18" s="555"/>
      <c r="BY18" s="555"/>
      <c r="BZ18" s="555"/>
      <c r="CA18" s="555"/>
      <c r="CB18" s="555"/>
      <c r="CC18" s="555"/>
      <c r="CD18" s="555"/>
      <c r="CE18" s="555"/>
      <c r="CF18" s="555"/>
      <c r="CG18" s="555"/>
      <c r="CH18" s="555"/>
      <c r="CI18" s="555"/>
      <c r="CJ18" s="555"/>
      <c r="CK18" s="555"/>
      <c r="CL18" s="555"/>
      <c r="CM18" s="555"/>
      <c r="CN18" s="555"/>
      <c r="CO18" s="555"/>
      <c r="CP18" s="555"/>
      <c r="CQ18" s="555"/>
      <c r="CR18" s="555"/>
      <c r="CS18" s="555"/>
      <c r="CT18" s="555"/>
      <c r="CU18" s="555"/>
      <c r="CV18" s="555"/>
      <c r="CW18" s="555"/>
      <c r="CX18" s="555"/>
      <c r="CY18" s="555"/>
      <c r="CZ18" s="555"/>
      <c r="DA18" s="555"/>
      <c r="DB18" s="555"/>
      <c r="DC18" s="555"/>
      <c r="DD18" s="555"/>
      <c r="DE18" s="555"/>
      <c r="DF18" s="555"/>
      <c r="DG18" s="555"/>
      <c r="DH18" s="555"/>
      <c r="DI18" s="555"/>
      <c r="DJ18" s="555"/>
      <c r="DK18" s="555"/>
      <c r="DL18" s="555"/>
      <c r="DM18" s="555"/>
      <c r="DN18" s="555"/>
      <c r="DO18" s="555"/>
      <c r="DP18" s="555"/>
      <c r="DQ18" s="555"/>
      <c r="DR18" s="555"/>
      <c r="DS18" s="555"/>
      <c r="DT18" s="555"/>
      <c r="DU18" s="555"/>
      <c r="DV18" s="555"/>
      <c r="DW18" s="555"/>
      <c r="DX18" s="555"/>
      <c r="DY18" s="555"/>
      <c r="DZ18" s="555"/>
      <c r="EA18" s="555"/>
      <c r="EB18" s="555"/>
      <c r="EC18" s="555"/>
      <c r="ED18" s="555"/>
      <c r="EE18" s="555"/>
      <c r="EF18" s="555"/>
      <c r="EG18" s="555"/>
      <c r="EH18" s="555"/>
      <c r="EI18" s="555"/>
      <c r="EJ18" s="555"/>
      <c r="EK18" s="555"/>
      <c r="EL18" s="555"/>
      <c r="EM18" s="555"/>
      <c r="EN18" s="555"/>
      <c r="EO18" s="555"/>
      <c r="EP18" s="555"/>
      <c r="EQ18" s="555"/>
      <c r="ER18" s="555"/>
      <c r="ES18" s="555"/>
      <c r="ET18" s="555"/>
      <c r="EU18" s="555"/>
      <c r="EV18" s="555"/>
      <c r="EW18" s="555"/>
      <c r="EX18" s="555"/>
      <c r="EY18" s="555"/>
      <c r="EZ18" s="555"/>
      <c r="FA18" s="555"/>
      <c r="FB18" s="555"/>
      <c r="FC18" s="555"/>
      <c r="FD18" s="555"/>
      <c r="FE18" s="555"/>
      <c r="FF18" s="555"/>
      <c r="FG18" s="555"/>
      <c r="FH18" s="555"/>
      <c r="FI18" s="555"/>
      <c r="FJ18" s="555"/>
      <c r="FK18" s="555"/>
      <c r="FL18" s="555"/>
      <c r="FM18" s="555"/>
      <c r="FN18" s="555"/>
      <c r="FO18" s="555"/>
      <c r="FP18" s="555"/>
      <c r="FQ18" s="555"/>
      <c r="FR18" s="555"/>
      <c r="FS18" s="555"/>
      <c r="FT18" s="555"/>
      <c r="FU18" s="555"/>
      <c r="FV18" s="555"/>
      <c r="FW18" s="555"/>
      <c r="FX18" s="555"/>
      <c r="FY18" s="555"/>
      <c r="FZ18" s="555"/>
      <c r="GA18" s="555"/>
      <c r="GB18" s="555"/>
      <c r="GC18" s="555"/>
      <c r="GD18" s="555"/>
      <c r="GE18" s="555"/>
      <c r="GF18" s="555"/>
      <c r="GG18" s="555"/>
      <c r="GH18" s="555"/>
      <c r="GI18" s="555"/>
      <c r="GJ18" s="555"/>
      <c r="GK18" s="555"/>
      <c r="GL18" s="555"/>
      <c r="GM18" s="555"/>
      <c r="GN18" s="555"/>
      <c r="GO18" s="555"/>
      <c r="GP18" s="555"/>
      <c r="GQ18" s="555"/>
      <c r="GR18" s="555"/>
      <c r="GS18" s="555"/>
      <c r="GT18" s="555"/>
      <c r="GU18" s="555"/>
      <c r="GV18" s="555"/>
      <c r="GW18" s="555"/>
      <c r="GX18" s="555"/>
      <c r="GY18" s="555"/>
      <c r="GZ18" s="555"/>
      <c r="HA18" s="555"/>
      <c r="HB18" s="555"/>
      <c r="HC18" s="555"/>
      <c r="HD18" s="555"/>
      <c r="HE18" s="555"/>
      <c r="HF18" s="555"/>
      <c r="HG18" s="555"/>
      <c r="HH18" s="555"/>
      <c r="HI18" s="555"/>
      <c r="HJ18" s="555"/>
      <c r="HK18" s="555"/>
      <c r="HL18" s="555"/>
      <c r="HM18" s="555"/>
      <c r="HN18" s="555"/>
      <c r="HO18" s="555"/>
      <c r="HP18" s="555"/>
      <c r="HQ18" s="555"/>
      <c r="HR18" s="555"/>
      <c r="HS18" s="555"/>
      <c r="HT18" s="555"/>
      <c r="HU18" s="555"/>
      <c r="HV18" s="555"/>
      <c r="HW18" s="555"/>
      <c r="HX18" s="555"/>
      <c r="HY18" s="555"/>
      <c r="HZ18" s="555"/>
      <c r="IA18" s="555"/>
      <c r="IB18" s="555"/>
      <c r="IC18" s="555"/>
      <c r="ID18" s="555"/>
      <c r="IE18" s="555"/>
      <c r="IF18" s="555"/>
      <c r="IG18" s="555"/>
      <c r="IH18" s="555"/>
      <c r="II18" s="555"/>
      <c r="IJ18" s="555"/>
      <c r="IK18" s="555"/>
      <c r="IL18" s="555"/>
      <c r="IM18" s="555"/>
      <c r="IN18" s="555"/>
      <c r="IO18" s="555"/>
      <c r="IP18" s="555"/>
      <c r="IQ18" s="555"/>
      <c r="IR18" s="555"/>
      <c r="IS18" s="555"/>
      <c r="IT18" s="555"/>
      <c r="IU18" s="555"/>
      <c r="IV18" s="555"/>
      <c r="IW18" s="555"/>
    </row>
    <row r="19" customFormat="false" ht="31.5" hidden="false" customHeight="true" outlineLevel="0" collapsed="false">
      <c r="A19" s="559"/>
      <c r="B19" s="657"/>
      <c r="C19" s="657"/>
      <c r="D19" s="657"/>
      <c r="E19" s="657"/>
      <c r="F19" s="657"/>
      <c r="G19" s="657"/>
      <c r="H19" s="657"/>
      <c r="I19" s="870"/>
      <c r="J19" s="658"/>
      <c r="K19" s="658"/>
      <c r="L19" s="658"/>
      <c r="M19" s="555"/>
      <c r="N19" s="555"/>
      <c r="O19" s="555"/>
      <c r="P19" s="555"/>
      <c r="Q19" s="555"/>
      <c r="R19" s="555"/>
      <c r="S19" s="555"/>
      <c r="T19" s="555"/>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5"/>
      <c r="AW19" s="555"/>
      <c r="AX19" s="555"/>
      <c r="AY19" s="555"/>
      <c r="AZ19" s="555"/>
      <c r="BA19" s="555"/>
      <c r="BB19" s="555"/>
      <c r="BC19" s="555"/>
      <c r="BD19" s="555"/>
      <c r="BE19" s="555"/>
      <c r="BF19" s="555"/>
      <c r="BG19" s="555"/>
      <c r="BH19" s="555"/>
      <c r="BI19" s="555"/>
      <c r="BJ19" s="555"/>
      <c r="BK19" s="555"/>
      <c r="BL19" s="555"/>
      <c r="BM19" s="555"/>
      <c r="BN19" s="555"/>
      <c r="BO19" s="555"/>
      <c r="BP19" s="555"/>
      <c r="BQ19" s="555"/>
      <c r="BR19" s="555"/>
      <c r="BS19" s="555"/>
      <c r="BT19" s="555"/>
      <c r="BU19" s="555"/>
      <c r="BV19" s="555"/>
      <c r="BW19" s="555"/>
      <c r="BX19" s="555"/>
      <c r="BY19" s="555"/>
      <c r="BZ19" s="555"/>
      <c r="CA19" s="555"/>
      <c r="CB19" s="555"/>
      <c r="CC19" s="555"/>
      <c r="CD19" s="555"/>
      <c r="CE19" s="555"/>
      <c r="CF19" s="555"/>
      <c r="CG19" s="555"/>
      <c r="CH19" s="555"/>
      <c r="CI19" s="555"/>
      <c r="CJ19" s="555"/>
      <c r="CK19" s="555"/>
      <c r="CL19" s="555"/>
      <c r="CM19" s="555"/>
      <c r="CN19" s="555"/>
      <c r="CO19" s="555"/>
      <c r="CP19" s="555"/>
      <c r="CQ19" s="555"/>
      <c r="CR19" s="555"/>
      <c r="CS19" s="555"/>
      <c r="CT19" s="555"/>
      <c r="CU19" s="555"/>
      <c r="CV19" s="555"/>
      <c r="CW19" s="555"/>
      <c r="CX19" s="555"/>
      <c r="CY19" s="555"/>
      <c r="CZ19" s="555"/>
      <c r="DA19" s="555"/>
      <c r="DB19" s="555"/>
      <c r="DC19" s="555"/>
      <c r="DD19" s="555"/>
      <c r="DE19" s="555"/>
      <c r="DF19" s="555"/>
      <c r="DG19" s="555"/>
      <c r="DH19" s="555"/>
      <c r="DI19" s="555"/>
      <c r="DJ19" s="555"/>
      <c r="DK19" s="555"/>
      <c r="DL19" s="555"/>
      <c r="DM19" s="555"/>
      <c r="DN19" s="555"/>
      <c r="DO19" s="555"/>
      <c r="DP19" s="555"/>
      <c r="DQ19" s="555"/>
      <c r="DR19" s="555"/>
      <c r="DS19" s="555"/>
      <c r="DT19" s="555"/>
      <c r="DU19" s="555"/>
      <c r="DV19" s="555"/>
      <c r="DW19" s="555"/>
      <c r="DX19" s="555"/>
      <c r="DY19" s="555"/>
      <c r="DZ19" s="555"/>
      <c r="EA19" s="555"/>
      <c r="EB19" s="555"/>
      <c r="EC19" s="555"/>
      <c r="ED19" s="555"/>
      <c r="EE19" s="555"/>
      <c r="EF19" s="555"/>
      <c r="EG19" s="555"/>
      <c r="EH19" s="555"/>
      <c r="EI19" s="555"/>
      <c r="EJ19" s="555"/>
      <c r="EK19" s="555"/>
      <c r="EL19" s="555"/>
      <c r="EM19" s="555"/>
      <c r="EN19" s="555"/>
      <c r="EO19" s="555"/>
      <c r="EP19" s="555"/>
      <c r="EQ19" s="555"/>
      <c r="ER19" s="555"/>
      <c r="ES19" s="555"/>
      <c r="ET19" s="555"/>
      <c r="EU19" s="555"/>
      <c r="EV19" s="555"/>
      <c r="EW19" s="555"/>
      <c r="EX19" s="555"/>
      <c r="EY19" s="555"/>
      <c r="EZ19" s="555"/>
      <c r="FA19" s="555"/>
      <c r="FB19" s="555"/>
      <c r="FC19" s="555"/>
      <c r="FD19" s="555"/>
      <c r="FE19" s="555"/>
      <c r="FF19" s="555"/>
      <c r="FG19" s="555"/>
      <c r="FH19" s="555"/>
      <c r="FI19" s="555"/>
      <c r="FJ19" s="555"/>
      <c r="FK19" s="555"/>
      <c r="FL19" s="555"/>
      <c r="FM19" s="555"/>
      <c r="FN19" s="555"/>
      <c r="FO19" s="555"/>
      <c r="FP19" s="555"/>
      <c r="FQ19" s="555"/>
      <c r="FR19" s="555"/>
      <c r="FS19" s="555"/>
      <c r="FT19" s="555"/>
      <c r="FU19" s="555"/>
      <c r="FV19" s="555"/>
      <c r="FW19" s="555"/>
      <c r="FX19" s="555"/>
      <c r="FY19" s="555"/>
      <c r="FZ19" s="555"/>
      <c r="GA19" s="555"/>
      <c r="GB19" s="555"/>
      <c r="GC19" s="555"/>
      <c r="GD19" s="555"/>
      <c r="GE19" s="555"/>
      <c r="GF19" s="555"/>
      <c r="GG19" s="555"/>
      <c r="GH19" s="555"/>
      <c r="GI19" s="555"/>
      <c r="GJ19" s="555"/>
      <c r="GK19" s="555"/>
      <c r="GL19" s="555"/>
      <c r="GM19" s="555"/>
      <c r="GN19" s="555"/>
      <c r="GO19" s="555"/>
      <c r="GP19" s="555"/>
      <c r="GQ19" s="555"/>
      <c r="GR19" s="555"/>
      <c r="GS19" s="555"/>
      <c r="GT19" s="555"/>
      <c r="GU19" s="555"/>
      <c r="GV19" s="555"/>
      <c r="GW19" s="555"/>
      <c r="GX19" s="555"/>
      <c r="GY19" s="555"/>
      <c r="GZ19" s="555"/>
      <c r="HA19" s="555"/>
      <c r="HB19" s="555"/>
      <c r="HC19" s="555"/>
      <c r="HD19" s="555"/>
      <c r="HE19" s="555"/>
      <c r="HF19" s="555"/>
      <c r="HG19" s="555"/>
      <c r="HH19" s="555"/>
      <c r="HI19" s="555"/>
      <c r="HJ19" s="555"/>
      <c r="HK19" s="555"/>
      <c r="HL19" s="555"/>
      <c r="HM19" s="555"/>
      <c r="HN19" s="555"/>
      <c r="HO19" s="555"/>
      <c r="HP19" s="555"/>
      <c r="HQ19" s="555"/>
      <c r="HR19" s="555"/>
      <c r="HS19" s="555"/>
      <c r="HT19" s="555"/>
      <c r="HU19" s="555"/>
      <c r="HV19" s="555"/>
      <c r="HW19" s="555"/>
      <c r="HX19" s="555"/>
      <c r="HY19" s="555"/>
      <c r="HZ19" s="555"/>
      <c r="IA19" s="555"/>
      <c r="IB19" s="555"/>
      <c r="IC19" s="555"/>
      <c r="ID19" s="555"/>
      <c r="IE19" s="555"/>
      <c r="IF19" s="555"/>
      <c r="IG19" s="555"/>
      <c r="IH19" s="555"/>
      <c r="II19" s="555"/>
      <c r="IJ19" s="555"/>
      <c r="IK19" s="555"/>
      <c r="IL19" s="555"/>
      <c r="IM19" s="555"/>
      <c r="IN19" s="555"/>
      <c r="IO19" s="555"/>
      <c r="IP19" s="555"/>
      <c r="IQ19" s="555"/>
      <c r="IR19" s="555"/>
      <c r="IS19" s="555"/>
      <c r="IT19" s="555"/>
      <c r="IU19" s="555"/>
      <c r="IV19" s="555"/>
      <c r="IW19" s="555"/>
    </row>
    <row r="20" customFormat="false" ht="31.5" hidden="false" customHeight="true" outlineLevel="0" collapsed="false">
      <c r="A20" s="559"/>
      <c r="B20" s="659"/>
      <c r="C20" s="659"/>
      <c r="D20" s="659"/>
      <c r="E20" s="659"/>
      <c r="F20" s="659"/>
      <c r="G20" s="659"/>
      <c r="H20" s="659"/>
      <c r="I20" s="660">
        <f aca="false">개요!G10</f>
      </c>
      <c r="J20" s="660"/>
      <c r="K20" s="660"/>
      <c r="L20" s="660"/>
      <c r="M20" s="555"/>
      <c r="N20" s="555"/>
      <c r="O20" s="555"/>
      <c r="P20" s="555"/>
      <c r="Q20" s="555"/>
      <c r="R20" s="555"/>
      <c r="S20" s="555"/>
      <c r="T20" s="555"/>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5"/>
      <c r="AW20" s="555"/>
      <c r="AX20" s="555"/>
      <c r="AY20" s="555"/>
      <c r="AZ20" s="555"/>
      <c r="BA20" s="555"/>
      <c r="BB20" s="555"/>
      <c r="BC20" s="555"/>
      <c r="BD20" s="555"/>
      <c r="BE20" s="555"/>
      <c r="BF20" s="555"/>
      <c r="BG20" s="555"/>
      <c r="BH20" s="555"/>
      <c r="BI20" s="555"/>
      <c r="BJ20" s="555"/>
      <c r="BK20" s="555"/>
      <c r="BL20" s="555"/>
      <c r="BM20" s="555"/>
      <c r="BN20" s="555"/>
      <c r="BO20" s="555"/>
      <c r="BP20" s="555"/>
      <c r="BQ20" s="555"/>
      <c r="BR20" s="555"/>
      <c r="BS20" s="555"/>
      <c r="BT20" s="555"/>
      <c r="BU20" s="555"/>
      <c r="BV20" s="555"/>
      <c r="BW20" s="555"/>
      <c r="BX20" s="555"/>
      <c r="BY20" s="555"/>
      <c r="BZ20" s="555"/>
      <c r="CA20" s="555"/>
      <c r="CB20" s="555"/>
      <c r="CC20" s="555"/>
      <c r="CD20" s="555"/>
      <c r="CE20" s="555"/>
      <c r="CF20" s="555"/>
      <c r="CG20" s="555"/>
      <c r="CH20" s="555"/>
      <c r="CI20" s="555"/>
      <c r="CJ20" s="555"/>
      <c r="CK20" s="555"/>
      <c r="CL20" s="555"/>
      <c r="CM20" s="555"/>
      <c r="CN20" s="555"/>
      <c r="CO20" s="555"/>
      <c r="CP20" s="555"/>
      <c r="CQ20" s="555"/>
      <c r="CR20" s="555"/>
      <c r="CS20" s="555"/>
      <c r="CT20" s="555"/>
      <c r="CU20" s="555"/>
      <c r="CV20" s="555"/>
      <c r="CW20" s="555"/>
      <c r="CX20" s="555"/>
      <c r="CY20" s="555"/>
      <c r="CZ20" s="555"/>
      <c r="DA20" s="555"/>
      <c r="DB20" s="555"/>
      <c r="DC20" s="555"/>
      <c r="DD20" s="555"/>
      <c r="DE20" s="555"/>
      <c r="DF20" s="555"/>
      <c r="DG20" s="555"/>
      <c r="DH20" s="555"/>
      <c r="DI20" s="555"/>
      <c r="DJ20" s="555"/>
      <c r="DK20" s="555"/>
      <c r="DL20" s="555"/>
      <c r="DM20" s="555"/>
      <c r="DN20" s="555"/>
      <c r="DO20" s="555"/>
      <c r="DP20" s="555"/>
      <c r="DQ20" s="555"/>
      <c r="DR20" s="555"/>
      <c r="DS20" s="555"/>
      <c r="DT20" s="555"/>
      <c r="DU20" s="555"/>
      <c r="DV20" s="555"/>
      <c r="DW20" s="555"/>
      <c r="DX20" s="555"/>
      <c r="DY20" s="555"/>
      <c r="DZ20" s="555"/>
      <c r="EA20" s="555"/>
      <c r="EB20" s="555"/>
      <c r="EC20" s="555"/>
      <c r="ED20" s="555"/>
      <c r="EE20" s="555"/>
      <c r="EF20" s="555"/>
      <c r="EG20" s="555"/>
      <c r="EH20" s="555"/>
      <c r="EI20" s="555"/>
      <c r="EJ20" s="555"/>
      <c r="EK20" s="555"/>
      <c r="EL20" s="555"/>
      <c r="EM20" s="555"/>
      <c r="EN20" s="555"/>
      <c r="EO20" s="555"/>
      <c r="EP20" s="555"/>
      <c r="EQ20" s="555"/>
      <c r="ER20" s="555"/>
      <c r="ES20" s="555"/>
      <c r="ET20" s="555"/>
      <c r="EU20" s="555"/>
      <c r="EV20" s="555"/>
      <c r="EW20" s="555"/>
      <c r="EX20" s="555"/>
      <c r="EY20" s="555"/>
      <c r="EZ20" s="555"/>
      <c r="FA20" s="555"/>
      <c r="FB20" s="555"/>
      <c r="FC20" s="555"/>
      <c r="FD20" s="555"/>
      <c r="FE20" s="555"/>
      <c r="FF20" s="555"/>
      <c r="FG20" s="555"/>
      <c r="FH20" s="555"/>
      <c r="FI20" s="555"/>
      <c r="FJ20" s="555"/>
      <c r="FK20" s="555"/>
      <c r="FL20" s="555"/>
      <c r="FM20" s="555"/>
      <c r="FN20" s="555"/>
      <c r="FO20" s="555"/>
      <c r="FP20" s="555"/>
      <c r="FQ20" s="555"/>
      <c r="FR20" s="555"/>
      <c r="FS20" s="555"/>
      <c r="FT20" s="555"/>
      <c r="FU20" s="555"/>
      <c r="FV20" s="555"/>
      <c r="FW20" s="555"/>
      <c r="FX20" s="555"/>
      <c r="FY20" s="555"/>
      <c r="FZ20" s="555"/>
      <c r="GA20" s="555"/>
      <c r="GB20" s="555"/>
      <c r="GC20" s="555"/>
      <c r="GD20" s="555"/>
      <c r="GE20" s="555"/>
      <c r="GF20" s="555"/>
      <c r="GG20" s="555"/>
      <c r="GH20" s="555"/>
      <c r="GI20" s="555"/>
      <c r="GJ20" s="555"/>
      <c r="GK20" s="555"/>
      <c r="GL20" s="555"/>
      <c r="GM20" s="555"/>
      <c r="GN20" s="555"/>
      <c r="GO20" s="555"/>
      <c r="GP20" s="555"/>
      <c r="GQ20" s="555"/>
      <c r="GR20" s="555"/>
      <c r="GS20" s="555"/>
      <c r="GT20" s="555"/>
      <c r="GU20" s="555"/>
      <c r="GV20" s="555"/>
      <c r="GW20" s="555"/>
      <c r="GX20" s="555"/>
      <c r="GY20" s="555"/>
      <c r="GZ20" s="555"/>
      <c r="HA20" s="555"/>
      <c r="HB20" s="555"/>
      <c r="HC20" s="555"/>
      <c r="HD20" s="555"/>
      <c r="HE20" s="555"/>
      <c r="HF20" s="555"/>
      <c r="HG20" s="555"/>
      <c r="HH20" s="555"/>
      <c r="HI20" s="555"/>
      <c r="HJ20" s="555"/>
      <c r="HK20" s="555"/>
      <c r="HL20" s="555"/>
      <c r="HM20" s="555"/>
      <c r="HN20" s="555"/>
      <c r="HO20" s="555"/>
      <c r="HP20" s="555"/>
      <c r="HQ20" s="555"/>
      <c r="HR20" s="555"/>
      <c r="HS20" s="555"/>
      <c r="HT20" s="555"/>
      <c r="HU20" s="555"/>
      <c r="HV20" s="555"/>
      <c r="HW20" s="555"/>
      <c r="HX20" s="555"/>
      <c r="HY20" s="555"/>
      <c r="HZ20" s="555"/>
      <c r="IA20" s="555"/>
      <c r="IB20" s="555"/>
      <c r="IC20" s="555"/>
      <c r="ID20" s="555"/>
      <c r="IE20" s="555"/>
      <c r="IF20" s="555"/>
      <c r="IG20" s="555"/>
      <c r="IH20" s="555"/>
      <c r="II20" s="555"/>
      <c r="IJ20" s="555"/>
      <c r="IK20" s="555"/>
      <c r="IL20" s="555"/>
      <c r="IM20" s="555"/>
      <c r="IN20" s="555"/>
      <c r="IO20" s="555"/>
      <c r="IP20" s="555"/>
      <c r="IQ20" s="555"/>
      <c r="IR20" s="555"/>
      <c r="IS20" s="555"/>
      <c r="IT20" s="555"/>
      <c r="IU20" s="555"/>
      <c r="IV20" s="555"/>
      <c r="IW20" s="555"/>
    </row>
    <row r="21" customFormat="false" ht="31.5" hidden="false" customHeight="true" outlineLevel="0" collapsed="false">
      <c r="A21" s="559"/>
      <c r="B21" s="661"/>
      <c r="C21" s="661"/>
      <c r="D21" s="661"/>
      <c r="E21" s="661"/>
      <c r="F21" s="661"/>
      <c r="G21" s="661"/>
      <c r="H21" s="661"/>
      <c r="I21" s="871"/>
      <c r="J21" s="662"/>
      <c r="K21" s="662"/>
      <c r="L21" s="662"/>
      <c r="M21" s="555"/>
      <c r="N21" s="555"/>
      <c r="O21" s="555"/>
      <c r="P21" s="555"/>
      <c r="Q21" s="555"/>
      <c r="R21" s="555"/>
      <c r="S21" s="555"/>
      <c r="T21" s="555"/>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5"/>
      <c r="AW21" s="555"/>
      <c r="AX21" s="555"/>
      <c r="AY21" s="555"/>
      <c r="AZ21" s="555"/>
      <c r="BA21" s="555"/>
      <c r="BB21" s="555"/>
      <c r="BC21" s="555"/>
      <c r="BD21" s="555"/>
      <c r="BE21" s="555"/>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555"/>
      <c r="CG21" s="555"/>
      <c r="CH21" s="555"/>
      <c r="CI21" s="555"/>
      <c r="CJ21" s="555"/>
      <c r="CK21" s="555"/>
      <c r="CL21" s="555"/>
      <c r="CM21" s="555"/>
      <c r="CN21" s="555"/>
      <c r="CO21" s="555"/>
      <c r="CP21" s="555"/>
      <c r="CQ21" s="555"/>
      <c r="CR21" s="555"/>
      <c r="CS21" s="555"/>
      <c r="CT21" s="555"/>
      <c r="CU21" s="555"/>
      <c r="CV21" s="555"/>
      <c r="CW21" s="555"/>
      <c r="CX21" s="555"/>
      <c r="CY21" s="555"/>
      <c r="CZ21" s="555"/>
      <c r="DA21" s="555"/>
      <c r="DB21" s="555"/>
      <c r="DC21" s="555"/>
      <c r="DD21" s="555"/>
      <c r="DE21" s="555"/>
      <c r="DF21" s="555"/>
      <c r="DG21" s="555"/>
      <c r="DH21" s="555"/>
      <c r="DI21" s="555"/>
      <c r="DJ21" s="555"/>
      <c r="DK21" s="555"/>
      <c r="DL21" s="555"/>
      <c r="DM21" s="555"/>
      <c r="DN21" s="555"/>
      <c r="DO21" s="555"/>
      <c r="DP21" s="555"/>
      <c r="DQ21" s="555"/>
      <c r="DR21" s="555"/>
      <c r="DS21" s="555"/>
      <c r="DT21" s="555"/>
      <c r="DU21" s="555"/>
      <c r="DV21" s="555"/>
      <c r="DW21" s="555"/>
      <c r="DX21" s="555"/>
      <c r="DY21" s="555"/>
      <c r="DZ21" s="555"/>
      <c r="EA21" s="555"/>
      <c r="EB21" s="555"/>
      <c r="EC21" s="555"/>
      <c r="ED21" s="555"/>
      <c r="EE21" s="555"/>
      <c r="EF21" s="555"/>
      <c r="EG21" s="555"/>
      <c r="EH21" s="555"/>
      <c r="EI21" s="555"/>
      <c r="EJ21" s="555"/>
      <c r="EK21" s="555"/>
      <c r="EL21" s="555"/>
      <c r="EM21" s="555"/>
      <c r="EN21" s="555"/>
      <c r="EO21" s="555"/>
      <c r="EP21" s="555"/>
      <c r="EQ21" s="555"/>
      <c r="ER21" s="555"/>
      <c r="ES21" s="555"/>
      <c r="ET21" s="555"/>
      <c r="EU21" s="555"/>
      <c r="EV21" s="555"/>
      <c r="EW21" s="555"/>
      <c r="EX21" s="555"/>
      <c r="EY21" s="555"/>
      <c r="EZ21" s="555"/>
      <c r="FA21" s="555"/>
      <c r="FB21" s="555"/>
      <c r="FC21" s="555"/>
      <c r="FD21" s="555"/>
      <c r="FE21" s="555"/>
      <c r="FF21" s="555"/>
      <c r="FG21" s="555"/>
      <c r="FH21" s="555"/>
      <c r="FI21" s="555"/>
      <c r="FJ21" s="555"/>
      <c r="FK21" s="555"/>
      <c r="FL21" s="555"/>
      <c r="FM21" s="555"/>
      <c r="FN21" s="555"/>
      <c r="FO21" s="555"/>
      <c r="FP21" s="555"/>
      <c r="FQ21" s="555"/>
      <c r="FR21" s="555"/>
      <c r="FS21" s="555"/>
      <c r="FT21" s="555"/>
      <c r="FU21" s="555"/>
      <c r="FV21" s="555"/>
      <c r="FW21" s="555"/>
      <c r="FX21" s="555"/>
      <c r="FY21" s="555"/>
      <c r="FZ21" s="555"/>
      <c r="GA21" s="555"/>
      <c r="GB21" s="555"/>
      <c r="GC21" s="555"/>
      <c r="GD21" s="555"/>
      <c r="GE21" s="555"/>
      <c r="GF21" s="555"/>
      <c r="GG21" s="555"/>
      <c r="GH21" s="555"/>
      <c r="GI21" s="555"/>
      <c r="GJ21" s="555"/>
      <c r="GK21" s="555"/>
      <c r="GL21" s="555"/>
      <c r="GM21" s="555"/>
      <c r="GN21" s="555"/>
      <c r="GO21" s="555"/>
      <c r="GP21" s="555"/>
      <c r="GQ21" s="555"/>
      <c r="GR21" s="555"/>
      <c r="GS21" s="555"/>
      <c r="GT21" s="555"/>
      <c r="GU21" s="555"/>
      <c r="GV21" s="555"/>
      <c r="GW21" s="555"/>
      <c r="GX21" s="555"/>
      <c r="GY21" s="555"/>
      <c r="GZ21" s="555"/>
      <c r="HA21" s="555"/>
      <c r="HB21" s="555"/>
      <c r="HC21" s="555"/>
      <c r="HD21" s="555"/>
      <c r="HE21" s="555"/>
      <c r="HF21" s="555"/>
      <c r="HG21" s="555"/>
      <c r="HH21" s="555"/>
      <c r="HI21" s="555"/>
      <c r="HJ21" s="555"/>
      <c r="HK21" s="555"/>
      <c r="HL21" s="555"/>
      <c r="HM21" s="555"/>
      <c r="HN21" s="555"/>
      <c r="HO21" s="555"/>
      <c r="HP21" s="555"/>
      <c r="HQ21" s="555"/>
      <c r="HR21" s="555"/>
      <c r="HS21" s="555"/>
      <c r="HT21" s="555"/>
      <c r="HU21" s="555"/>
      <c r="HV21" s="555"/>
      <c r="HW21" s="555"/>
      <c r="HX21" s="555"/>
      <c r="HY21" s="555"/>
      <c r="HZ21" s="555"/>
      <c r="IA21" s="555"/>
      <c r="IB21" s="555"/>
      <c r="IC21" s="555"/>
      <c r="ID21" s="555"/>
      <c r="IE21" s="555"/>
      <c r="IF21" s="555"/>
      <c r="IG21" s="555"/>
      <c r="IH21" s="555"/>
      <c r="II21" s="555"/>
      <c r="IJ21" s="555"/>
      <c r="IK21" s="555"/>
      <c r="IL21" s="555"/>
      <c r="IM21" s="555"/>
      <c r="IN21" s="555"/>
      <c r="IO21" s="555"/>
      <c r="IP21" s="555"/>
      <c r="IQ21" s="555"/>
      <c r="IR21" s="555"/>
      <c r="IS21" s="555"/>
      <c r="IT21" s="555"/>
      <c r="IU21" s="555"/>
      <c r="IV21" s="555"/>
      <c r="IW21" s="555"/>
    </row>
    <row r="22" customFormat="false" ht="31.5" hidden="false" customHeight="true" outlineLevel="0" collapsed="false">
      <c r="A22" s="559"/>
      <c r="B22" s="663"/>
      <c r="C22" s="663"/>
      <c r="D22" s="663"/>
      <c r="E22" s="663"/>
      <c r="F22" s="663"/>
      <c r="G22" s="663"/>
      <c r="H22" s="663"/>
      <c r="I22" s="872"/>
      <c r="J22" s="664"/>
      <c r="K22" s="664"/>
      <c r="L22" s="664"/>
      <c r="M22" s="555"/>
      <c r="N22" s="555"/>
      <c r="O22" s="555"/>
      <c r="P22" s="555"/>
      <c r="Q22" s="555"/>
      <c r="R22" s="555"/>
      <c r="S22" s="555"/>
      <c r="T22" s="555"/>
      <c r="U22" s="555"/>
      <c r="V22" s="555"/>
      <c r="W22" s="555"/>
      <c r="X22" s="555"/>
      <c r="Y22" s="555"/>
      <c r="Z22" s="555"/>
      <c r="AA22" s="555"/>
      <c r="AB22" s="555"/>
      <c r="AC22" s="555"/>
      <c r="AD22" s="555"/>
      <c r="AE22" s="555"/>
      <c r="AF22" s="555"/>
      <c r="AG22" s="555"/>
      <c r="AH22" s="555"/>
      <c r="AI22" s="555"/>
      <c r="AJ22" s="555"/>
      <c r="AK22" s="555"/>
      <c r="AL22" s="555"/>
      <c r="AM22" s="555"/>
      <c r="AN22" s="555"/>
      <c r="AO22" s="555"/>
      <c r="AP22" s="555"/>
      <c r="AQ22" s="555"/>
      <c r="AR22" s="555"/>
      <c r="AS22" s="555"/>
      <c r="AT22" s="555"/>
      <c r="AU22" s="555"/>
      <c r="AV22" s="555"/>
      <c r="AW22" s="555"/>
      <c r="AX22" s="555"/>
      <c r="AY22" s="555"/>
      <c r="AZ22" s="555"/>
      <c r="BA22" s="555"/>
      <c r="BB22" s="555"/>
      <c r="BC22" s="555"/>
      <c r="BD22" s="555"/>
      <c r="BE22" s="555"/>
      <c r="BF22" s="555"/>
      <c r="BG22" s="555"/>
      <c r="BH22" s="555"/>
      <c r="BI22" s="555"/>
      <c r="BJ22" s="555"/>
      <c r="BK22" s="555"/>
      <c r="BL22" s="555"/>
      <c r="BM22" s="555"/>
      <c r="BN22" s="555"/>
      <c r="BO22" s="555"/>
      <c r="BP22" s="555"/>
      <c r="BQ22" s="555"/>
      <c r="BR22" s="555"/>
      <c r="BS22" s="555"/>
      <c r="BT22" s="555"/>
      <c r="BU22" s="555"/>
      <c r="BV22" s="555"/>
      <c r="BW22" s="555"/>
      <c r="BX22" s="555"/>
      <c r="BY22" s="555"/>
      <c r="BZ22" s="555"/>
      <c r="CA22" s="555"/>
      <c r="CB22" s="555"/>
      <c r="CC22" s="555"/>
      <c r="CD22" s="555"/>
      <c r="CE22" s="555"/>
      <c r="CF22" s="555"/>
      <c r="CG22" s="555"/>
      <c r="CH22" s="555"/>
      <c r="CI22" s="555"/>
      <c r="CJ22" s="555"/>
      <c r="CK22" s="555"/>
      <c r="CL22" s="555"/>
      <c r="CM22" s="555"/>
      <c r="CN22" s="555"/>
      <c r="CO22" s="555"/>
      <c r="CP22" s="555"/>
      <c r="CQ22" s="555"/>
      <c r="CR22" s="555"/>
      <c r="CS22" s="555"/>
      <c r="CT22" s="555"/>
      <c r="CU22" s="555"/>
      <c r="CV22" s="555"/>
      <c r="CW22" s="555"/>
      <c r="CX22" s="555"/>
      <c r="CY22" s="555"/>
      <c r="CZ22" s="555"/>
      <c r="DA22" s="555"/>
      <c r="DB22" s="555"/>
      <c r="DC22" s="555"/>
      <c r="DD22" s="555"/>
      <c r="DE22" s="555"/>
      <c r="DF22" s="555"/>
      <c r="DG22" s="555"/>
      <c r="DH22" s="555"/>
      <c r="DI22" s="555"/>
      <c r="DJ22" s="555"/>
      <c r="DK22" s="555"/>
      <c r="DL22" s="555"/>
      <c r="DM22" s="555"/>
      <c r="DN22" s="555"/>
      <c r="DO22" s="555"/>
      <c r="DP22" s="555"/>
      <c r="DQ22" s="555"/>
      <c r="DR22" s="555"/>
      <c r="DS22" s="555"/>
      <c r="DT22" s="555"/>
      <c r="DU22" s="555"/>
      <c r="DV22" s="555"/>
      <c r="DW22" s="555"/>
      <c r="DX22" s="555"/>
      <c r="DY22" s="555"/>
      <c r="DZ22" s="555"/>
      <c r="EA22" s="555"/>
      <c r="EB22" s="555"/>
      <c r="EC22" s="555"/>
      <c r="ED22" s="555"/>
      <c r="EE22" s="555"/>
      <c r="EF22" s="555"/>
      <c r="EG22" s="555"/>
      <c r="EH22" s="555"/>
      <c r="EI22" s="555"/>
      <c r="EJ22" s="555"/>
      <c r="EK22" s="555"/>
      <c r="EL22" s="555"/>
      <c r="EM22" s="555"/>
      <c r="EN22" s="555"/>
      <c r="EO22" s="555"/>
      <c r="EP22" s="555"/>
      <c r="EQ22" s="555"/>
      <c r="ER22" s="555"/>
      <c r="ES22" s="555"/>
      <c r="ET22" s="555"/>
      <c r="EU22" s="555"/>
      <c r="EV22" s="555"/>
      <c r="EW22" s="555"/>
      <c r="EX22" s="555"/>
      <c r="EY22" s="555"/>
      <c r="EZ22" s="555"/>
      <c r="FA22" s="555"/>
      <c r="FB22" s="555"/>
      <c r="FC22" s="555"/>
      <c r="FD22" s="555"/>
      <c r="FE22" s="555"/>
      <c r="FF22" s="555"/>
      <c r="FG22" s="555"/>
      <c r="FH22" s="555"/>
      <c r="FI22" s="555"/>
      <c r="FJ22" s="555"/>
      <c r="FK22" s="555"/>
      <c r="FL22" s="555"/>
      <c r="FM22" s="555"/>
      <c r="FN22" s="555"/>
      <c r="FO22" s="555"/>
      <c r="FP22" s="555"/>
      <c r="FQ22" s="555"/>
      <c r="FR22" s="555"/>
      <c r="FS22" s="555"/>
      <c r="FT22" s="555"/>
      <c r="FU22" s="555"/>
      <c r="FV22" s="555"/>
      <c r="FW22" s="555"/>
      <c r="FX22" s="555"/>
      <c r="FY22" s="555"/>
      <c r="FZ22" s="555"/>
      <c r="GA22" s="555"/>
      <c r="GB22" s="555"/>
      <c r="GC22" s="555"/>
      <c r="GD22" s="555"/>
      <c r="GE22" s="555"/>
      <c r="GF22" s="555"/>
      <c r="GG22" s="555"/>
      <c r="GH22" s="555"/>
      <c r="GI22" s="555"/>
      <c r="GJ22" s="555"/>
      <c r="GK22" s="555"/>
      <c r="GL22" s="555"/>
      <c r="GM22" s="555"/>
      <c r="GN22" s="555"/>
      <c r="GO22" s="555"/>
      <c r="GP22" s="555"/>
      <c r="GQ22" s="555"/>
      <c r="GR22" s="555"/>
      <c r="GS22" s="555"/>
      <c r="GT22" s="555"/>
      <c r="GU22" s="555"/>
      <c r="GV22" s="555"/>
      <c r="GW22" s="555"/>
      <c r="GX22" s="555"/>
      <c r="GY22" s="555"/>
      <c r="GZ22" s="555"/>
      <c r="HA22" s="555"/>
      <c r="HB22" s="555"/>
      <c r="HC22" s="555"/>
      <c r="HD22" s="555"/>
      <c r="HE22" s="555"/>
      <c r="HF22" s="555"/>
      <c r="HG22" s="555"/>
      <c r="HH22" s="555"/>
      <c r="HI22" s="555"/>
      <c r="HJ22" s="555"/>
      <c r="HK22" s="555"/>
      <c r="HL22" s="555"/>
      <c r="HM22" s="555"/>
      <c r="HN22" s="555"/>
      <c r="HO22" s="555"/>
      <c r="HP22" s="555"/>
      <c r="HQ22" s="555"/>
      <c r="HR22" s="555"/>
      <c r="HS22" s="555"/>
      <c r="HT22" s="555"/>
      <c r="HU22" s="555"/>
      <c r="HV22" s="555"/>
      <c r="HW22" s="555"/>
      <c r="HX22" s="555"/>
      <c r="HY22" s="555"/>
      <c r="HZ22" s="555"/>
      <c r="IA22" s="555"/>
      <c r="IB22" s="555"/>
      <c r="IC22" s="555"/>
      <c r="ID22" s="555"/>
      <c r="IE22" s="555"/>
      <c r="IF22" s="555"/>
      <c r="IG22" s="555"/>
      <c r="IH22" s="555"/>
      <c r="II22" s="555"/>
      <c r="IJ22" s="555"/>
      <c r="IK22" s="555"/>
      <c r="IL22" s="555"/>
      <c r="IM22" s="555"/>
      <c r="IN22" s="555"/>
      <c r="IO22" s="555"/>
      <c r="IP22" s="555"/>
      <c r="IQ22" s="555"/>
      <c r="IR22" s="555"/>
      <c r="IS22" s="555"/>
      <c r="IT22" s="555"/>
      <c r="IU22" s="555"/>
      <c r="IV22" s="555"/>
      <c r="IW22" s="555"/>
    </row>
    <row r="23" customFormat="false" ht="6.75" hidden="false" customHeight="true" outlineLevel="0" collapsed="false">
      <c r="A23" s="665"/>
      <c r="B23" s="665"/>
      <c r="C23" s="665"/>
      <c r="D23" s="665"/>
      <c r="E23" s="665"/>
      <c r="F23" s="665"/>
      <c r="G23" s="665"/>
      <c r="H23" s="665"/>
      <c r="I23" s="665"/>
      <c r="J23" s="613"/>
      <c r="K23" s="613"/>
      <c r="L23" s="613"/>
      <c r="M23" s="555"/>
      <c r="N23" s="555"/>
      <c r="O23" s="555"/>
      <c r="P23" s="555"/>
      <c r="Q23" s="555"/>
      <c r="R23" s="555"/>
      <c r="S23" s="555"/>
      <c r="T23" s="555"/>
      <c r="U23" s="555"/>
      <c r="V23" s="555"/>
      <c r="W23" s="555"/>
      <c r="X23" s="555"/>
      <c r="Y23" s="555"/>
      <c r="Z23" s="555"/>
      <c r="AA23" s="555"/>
      <c r="AB23" s="555"/>
      <c r="AC23" s="555"/>
      <c r="AD23" s="555"/>
      <c r="AE23" s="555"/>
      <c r="AF23" s="555"/>
      <c r="AG23" s="555"/>
      <c r="AH23" s="555"/>
      <c r="AI23" s="555"/>
      <c r="AJ23" s="555"/>
      <c r="AK23" s="555"/>
      <c r="AL23" s="555"/>
      <c r="AM23" s="555"/>
      <c r="AN23" s="555"/>
      <c r="AO23" s="555"/>
      <c r="AP23" s="555"/>
      <c r="AQ23" s="555"/>
      <c r="AR23" s="555"/>
      <c r="AS23" s="555"/>
      <c r="AT23" s="555"/>
      <c r="AU23" s="555"/>
      <c r="AV23" s="555"/>
      <c r="AW23" s="555"/>
      <c r="AX23" s="555"/>
      <c r="AY23" s="555"/>
      <c r="AZ23" s="555"/>
      <c r="BA23" s="555"/>
      <c r="BB23" s="555"/>
      <c r="BC23" s="555"/>
      <c r="BD23" s="555"/>
      <c r="BE23" s="555"/>
      <c r="BF23" s="555"/>
      <c r="BG23" s="555"/>
      <c r="BH23" s="555"/>
      <c r="BI23" s="555"/>
      <c r="BJ23" s="555"/>
      <c r="BK23" s="555"/>
      <c r="BL23" s="555"/>
      <c r="BM23" s="555"/>
      <c r="BN23" s="555"/>
      <c r="BO23" s="555"/>
      <c r="BP23" s="555"/>
      <c r="BQ23" s="555"/>
      <c r="BR23" s="555"/>
      <c r="BS23" s="555"/>
      <c r="BT23" s="555"/>
      <c r="BU23" s="555"/>
      <c r="BV23" s="555"/>
      <c r="BW23" s="555"/>
      <c r="BX23" s="555"/>
      <c r="BY23" s="555"/>
      <c r="BZ23" s="555"/>
      <c r="CA23" s="555"/>
      <c r="CB23" s="555"/>
      <c r="CC23" s="555"/>
      <c r="CD23" s="555"/>
      <c r="CE23" s="555"/>
      <c r="CF23" s="555"/>
      <c r="CG23" s="555"/>
      <c r="CH23" s="555"/>
      <c r="CI23" s="555"/>
      <c r="CJ23" s="555"/>
      <c r="CK23" s="555"/>
      <c r="CL23" s="555"/>
      <c r="CM23" s="555"/>
      <c r="CN23" s="555"/>
      <c r="CO23" s="555"/>
      <c r="CP23" s="555"/>
      <c r="CQ23" s="555"/>
      <c r="CR23" s="555"/>
      <c r="CS23" s="555"/>
      <c r="CT23" s="555"/>
      <c r="CU23" s="555"/>
      <c r="CV23" s="555"/>
      <c r="CW23" s="555"/>
      <c r="CX23" s="555"/>
      <c r="CY23" s="555"/>
      <c r="CZ23" s="555"/>
      <c r="DA23" s="555"/>
      <c r="DB23" s="555"/>
      <c r="DC23" s="555"/>
      <c r="DD23" s="555"/>
      <c r="DE23" s="555"/>
      <c r="DF23" s="555"/>
      <c r="DG23" s="555"/>
      <c r="DH23" s="555"/>
      <c r="DI23" s="555"/>
      <c r="DJ23" s="555"/>
      <c r="DK23" s="555"/>
      <c r="DL23" s="555"/>
      <c r="DM23" s="555"/>
      <c r="DN23" s="555"/>
      <c r="DO23" s="555"/>
      <c r="DP23" s="555"/>
      <c r="DQ23" s="555"/>
      <c r="DR23" s="555"/>
      <c r="DS23" s="555"/>
      <c r="DT23" s="555"/>
      <c r="DU23" s="555"/>
      <c r="DV23" s="555"/>
      <c r="DW23" s="555"/>
      <c r="DX23" s="555"/>
      <c r="DY23" s="555"/>
      <c r="DZ23" s="555"/>
      <c r="EA23" s="555"/>
      <c r="EB23" s="555"/>
      <c r="EC23" s="555"/>
      <c r="ED23" s="555"/>
      <c r="EE23" s="555"/>
      <c r="EF23" s="555"/>
      <c r="EG23" s="555"/>
      <c r="EH23" s="555"/>
      <c r="EI23" s="555"/>
      <c r="EJ23" s="555"/>
      <c r="EK23" s="555"/>
      <c r="EL23" s="555"/>
      <c r="EM23" s="555"/>
      <c r="EN23" s="555"/>
      <c r="EO23" s="555"/>
      <c r="EP23" s="555"/>
      <c r="EQ23" s="555"/>
      <c r="ER23" s="555"/>
      <c r="ES23" s="555"/>
      <c r="ET23" s="555"/>
      <c r="EU23" s="555"/>
      <c r="EV23" s="555"/>
      <c r="EW23" s="555"/>
      <c r="EX23" s="555"/>
      <c r="EY23" s="555"/>
      <c r="EZ23" s="555"/>
      <c r="FA23" s="555"/>
      <c r="FB23" s="555"/>
      <c r="FC23" s="555"/>
      <c r="FD23" s="555"/>
      <c r="FE23" s="555"/>
      <c r="FF23" s="555"/>
      <c r="FG23" s="555"/>
      <c r="FH23" s="555"/>
      <c r="FI23" s="555"/>
      <c r="FJ23" s="555"/>
      <c r="FK23" s="555"/>
      <c r="FL23" s="555"/>
      <c r="FM23" s="555"/>
      <c r="FN23" s="555"/>
      <c r="FO23" s="555"/>
      <c r="FP23" s="555"/>
      <c r="FQ23" s="555"/>
      <c r="FR23" s="555"/>
      <c r="FS23" s="555"/>
      <c r="FT23" s="555"/>
      <c r="FU23" s="555"/>
      <c r="FV23" s="555"/>
      <c r="FW23" s="555"/>
      <c r="FX23" s="555"/>
      <c r="FY23" s="555"/>
      <c r="FZ23" s="555"/>
      <c r="GA23" s="555"/>
      <c r="GB23" s="555"/>
      <c r="GC23" s="555"/>
      <c r="GD23" s="555"/>
      <c r="GE23" s="555"/>
      <c r="GF23" s="555"/>
      <c r="GG23" s="555"/>
      <c r="GH23" s="555"/>
      <c r="GI23" s="555"/>
      <c r="GJ23" s="555"/>
      <c r="GK23" s="555"/>
      <c r="GL23" s="555"/>
      <c r="GM23" s="555"/>
      <c r="GN23" s="555"/>
      <c r="GO23" s="555"/>
      <c r="GP23" s="555"/>
      <c r="GQ23" s="555"/>
      <c r="GR23" s="555"/>
      <c r="GS23" s="555"/>
      <c r="GT23" s="555"/>
      <c r="GU23" s="555"/>
      <c r="GV23" s="555"/>
      <c r="GW23" s="555"/>
      <c r="GX23" s="555"/>
      <c r="GY23" s="555"/>
      <c r="GZ23" s="555"/>
      <c r="HA23" s="555"/>
      <c r="HB23" s="555"/>
      <c r="HC23" s="555"/>
      <c r="HD23" s="555"/>
      <c r="HE23" s="555"/>
      <c r="HF23" s="555"/>
      <c r="HG23" s="555"/>
      <c r="HH23" s="555"/>
      <c r="HI23" s="555"/>
      <c r="HJ23" s="555"/>
      <c r="HK23" s="555"/>
      <c r="HL23" s="555"/>
      <c r="HM23" s="555"/>
      <c r="HN23" s="555"/>
      <c r="HO23" s="555"/>
      <c r="HP23" s="555"/>
      <c r="HQ23" s="555"/>
      <c r="HR23" s="555"/>
      <c r="HS23" s="555"/>
      <c r="HT23" s="555"/>
      <c r="HU23" s="555"/>
      <c r="HV23" s="555"/>
      <c r="HW23" s="555"/>
      <c r="HX23" s="555"/>
      <c r="HY23" s="555"/>
      <c r="HZ23" s="555"/>
      <c r="IA23" s="555"/>
      <c r="IB23" s="555"/>
      <c r="IC23" s="555"/>
      <c r="ID23" s="555"/>
      <c r="IE23" s="555"/>
      <c r="IF23" s="555"/>
      <c r="IG23" s="555"/>
      <c r="IH23" s="555"/>
      <c r="II23" s="555"/>
      <c r="IJ23" s="555"/>
      <c r="IK23" s="555"/>
      <c r="IL23" s="555"/>
      <c r="IM23" s="555"/>
      <c r="IN23" s="555"/>
      <c r="IO23" s="555"/>
      <c r="IP23" s="555"/>
      <c r="IQ23" s="555"/>
      <c r="IR23" s="555"/>
      <c r="IS23" s="555"/>
      <c r="IT23" s="555"/>
      <c r="IU23" s="555"/>
      <c r="IV23" s="555"/>
      <c r="IW23" s="555"/>
    </row>
    <row r="24" customFormat="false" ht="38.25" hidden="false" customHeight="true" outlineLevel="0" collapsed="false">
      <c r="A24" s="539" t="s">
        <v>589</v>
      </c>
      <c r="B24" s="539"/>
      <c r="C24" s="539"/>
      <c r="D24" s="539"/>
      <c r="E24" s="539"/>
      <c r="F24" s="539"/>
      <c r="G24" s="539"/>
      <c r="H24" s="539"/>
      <c r="I24" s="539"/>
      <c r="J24" s="539"/>
      <c r="K24" s="539"/>
      <c r="L24" s="539"/>
      <c r="M24" s="555"/>
      <c r="N24" s="555"/>
      <c r="O24" s="555"/>
      <c r="P24" s="555"/>
      <c r="Q24" s="555"/>
      <c r="R24" s="555"/>
      <c r="S24" s="555"/>
      <c r="T24" s="555"/>
      <c r="U24" s="555"/>
      <c r="V24" s="555"/>
      <c r="W24" s="555"/>
      <c r="X24" s="555"/>
      <c r="Y24" s="555"/>
      <c r="Z24" s="555"/>
      <c r="AA24" s="555"/>
      <c r="AB24" s="555"/>
      <c r="AC24" s="555"/>
      <c r="AD24" s="555"/>
      <c r="AE24" s="555"/>
      <c r="AF24" s="555"/>
      <c r="AG24" s="555"/>
      <c r="AH24" s="555"/>
      <c r="AI24" s="555"/>
      <c r="AJ24" s="555"/>
      <c r="AK24" s="555"/>
      <c r="AL24" s="555"/>
      <c r="AM24" s="555"/>
      <c r="AN24" s="555"/>
      <c r="AO24" s="555"/>
      <c r="AP24" s="555"/>
      <c r="AQ24" s="555"/>
      <c r="AR24" s="555"/>
      <c r="AS24" s="555"/>
      <c r="AT24" s="555"/>
      <c r="AU24" s="555"/>
      <c r="AV24" s="555"/>
      <c r="AW24" s="555"/>
      <c r="AX24" s="555"/>
      <c r="AY24" s="555"/>
      <c r="AZ24" s="555"/>
      <c r="BA24" s="555"/>
      <c r="BB24" s="555"/>
      <c r="BC24" s="555"/>
      <c r="BD24" s="555"/>
      <c r="BE24" s="555"/>
      <c r="BF24" s="555"/>
      <c r="BG24" s="555"/>
      <c r="BH24" s="555"/>
      <c r="BI24" s="555"/>
      <c r="BJ24" s="555"/>
      <c r="BK24" s="555"/>
      <c r="BL24" s="555"/>
      <c r="BM24" s="555"/>
      <c r="BN24" s="555"/>
      <c r="BO24" s="555"/>
      <c r="BP24" s="555"/>
      <c r="BQ24" s="555"/>
      <c r="BR24" s="555"/>
      <c r="BS24" s="555"/>
      <c r="BT24" s="555"/>
      <c r="BU24" s="555"/>
      <c r="BV24" s="555"/>
      <c r="BW24" s="555"/>
      <c r="BX24" s="555"/>
      <c r="BY24" s="555"/>
      <c r="BZ24" s="555"/>
      <c r="CA24" s="555"/>
      <c r="CB24" s="555"/>
      <c r="CC24" s="555"/>
      <c r="CD24" s="555"/>
      <c r="CE24" s="555"/>
      <c r="CF24" s="555"/>
      <c r="CG24" s="555"/>
      <c r="CH24" s="555"/>
      <c r="CI24" s="555"/>
      <c r="CJ24" s="555"/>
      <c r="CK24" s="555"/>
      <c r="CL24" s="555"/>
      <c r="CM24" s="555"/>
      <c r="CN24" s="555"/>
      <c r="CO24" s="555"/>
      <c r="CP24" s="555"/>
      <c r="CQ24" s="555"/>
      <c r="CR24" s="555"/>
      <c r="CS24" s="555"/>
      <c r="CT24" s="555"/>
      <c r="CU24" s="555"/>
      <c r="CV24" s="555"/>
      <c r="CW24" s="555"/>
      <c r="CX24" s="555"/>
      <c r="CY24" s="555"/>
      <c r="CZ24" s="555"/>
      <c r="DA24" s="555"/>
      <c r="DB24" s="555"/>
      <c r="DC24" s="555"/>
      <c r="DD24" s="555"/>
      <c r="DE24" s="555"/>
      <c r="DF24" s="555"/>
      <c r="DG24" s="555"/>
      <c r="DH24" s="555"/>
      <c r="DI24" s="555"/>
      <c r="DJ24" s="555"/>
      <c r="DK24" s="555"/>
      <c r="DL24" s="555"/>
      <c r="DM24" s="555"/>
      <c r="DN24" s="555"/>
      <c r="DO24" s="555"/>
      <c r="DP24" s="555"/>
      <c r="DQ24" s="555"/>
      <c r="DR24" s="555"/>
      <c r="DS24" s="555"/>
      <c r="DT24" s="555"/>
      <c r="DU24" s="555"/>
      <c r="DV24" s="555"/>
      <c r="DW24" s="555"/>
      <c r="DX24" s="555"/>
      <c r="DY24" s="555"/>
      <c r="DZ24" s="555"/>
      <c r="EA24" s="555"/>
      <c r="EB24" s="555"/>
      <c r="EC24" s="555"/>
      <c r="ED24" s="555"/>
      <c r="EE24" s="555"/>
      <c r="EF24" s="555"/>
      <c r="EG24" s="555"/>
      <c r="EH24" s="555"/>
      <c r="EI24" s="555"/>
      <c r="EJ24" s="555"/>
      <c r="EK24" s="555"/>
      <c r="EL24" s="555"/>
      <c r="EM24" s="555"/>
      <c r="EN24" s="555"/>
      <c r="EO24" s="555"/>
      <c r="EP24" s="555"/>
      <c r="EQ24" s="555"/>
      <c r="ER24" s="555"/>
      <c r="ES24" s="555"/>
      <c r="ET24" s="555"/>
      <c r="EU24" s="555"/>
      <c r="EV24" s="555"/>
      <c r="EW24" s="555"/>
      <c r="EX24" s="555"/>
      <c r="EY24" s="555"/>
      <c r="EZ24" s="555"/>
      <c r="FA24" s="555"/>
      <c r="FB24" s="555"/>
      <c r="FC24" s="555"/>
      <c r="FD24" s="555"/>
      <c r="FE24" s="555"/>
      <c r="FF24" s="555"/>
      <c r="FG24" s="555"/>
      <c r="FH24" s="555"/>
      <c r="FI24" s="555"/>
      <c r="FJ24" s="555"/>
      <c r="FK24" s="555"/>
      <c r="FL24" s="555"/>
      <c r="FM24" s="555"/>
      <c r="FN24" s="555"/>
      <c r="FO24" s="555"/>
      <c r="FP24" s="555"/>
      <c r="FQ24" s="555"/>
      <c r="FR24" s="555"/>
      <c r="FS24" s="555"/>
      <c r="FT24" s="555"/>
      <c r="FU24" s="555"/>
      <c r="FV24" s="555"/>
      <c r="FW24" s="555"/>
      <c r="FX24" s="555"/>
      <c r="FY24" s="555"/>
      <c r="FZ24" s="555"/>
      <c r="GA24" s="555"/>
      <c r="GB24" s="555"/>
      <c r="GC24" s="555"/>
      <c r="GD24" s="555"/>
      <c r="GE24" s="555"/>
      <c r="GF24" s="555"/>
      <c r="GG24" s="555"/>
      <c r="GH24" s="555"/>
      <c r="GI24" s="555"/>
      <c r="GJ24" s="555"/>
      <c r="GK24" s="555"/>
      <c r="GL24" s="555"/>
      <c r="GM24" s="555"/>
      <c r="GN24" s="555"/>
      <c r="GO24" s="555"/>
      <c r="GP24" s="555"/>
      <c r="GQ24" s="555"/>
      <c r="GR24" s="555"/>
      <c r="GS24" s="555"/>
      <c r="GT24" s="555"/>
      <c r="GU24" s="555"/>
      <c r="GV24" s="555"/>
      <c r="GW24" s="555"/>
      <c r="GX24" s="555"/>
      <c r="GY24" s="555"/>
      <c r="GZ24" s="555"/>
      <c r="HA24" s="555"/>
      <c r="HB24" s="555"/>
      <c r="HC24" s="555"/>
      <c r="HD24" s="555"/>
      <c r="HE24" s="555"/>
      <c r="HF24" s="555"/>
      <c r="HG24" s="555"/>
      <c r="HH24" s="555"/>
      <c r="HI24" s="555"/>
      <c r="HJ24" s="555"/>
      <c r="HK24" s="555"/>
      <c r="HL24" s="555"/>
      <c r="HM24" s="555"/>
      <c r="HN24" s="555"/>
      <c r="HO24" s="555"/>
      <c r="HP24" s="555"/>
      <c r="HQ24" s="555"/>
      <c r="HR24" s="555"/>
      <c r="HS24" s="555"/>
      <c r="HT24" s="555"/>
      <c r="HU24" s="555"/>
      <c r="HV24" s="555"/>
      <c r="HW24" s="555"/>
      <c r="HX24" s="555"/>
      <c r="HY24" s="555"/>
      <c r="HZ24" s="555"/>
      <c r="IA24" s="555"/>
      <c r="IB24" s="555"/>
      <c r="IC24" s="555"/>
      <c r="ID24" s="555"/>
      <c r="IE24" s="555"/>
      <c r="IF24" s="555"/>
      <c r="IG24" s="555"/>
      <c r="IH24" s="555"/>
      <c r="II24" s="555"/>
      <c r="IJ24" s="555"/>
      <c r="IK24" s="555"/>
      <c r="IL24" s="555"/>
      <c r="IM24" s="555"/>
      <c r="IN24" s="555"/>
      <c r="IO24" s="555"/>
      <c r="IP24" s="555"/>
      <c r="IQ24" s="555"/>
      <c r="IR24" s="555"/>
      <c r="IS24" s="555"/>
      <c r="IT24" s="555"/>
      <c r="IU24" s="555"/>
      <c r="IV24" s="555"/>
      <c r="IW24" s="555"/>
    </row>
    <row r="25" customFormat="false" ht="16.5" hidden="false" customHeight="true" outlineLevel="0" collapsed="false">
      <c r="A25" s="615"/>
      <c r="B25" s="615"/>
      <c r="C25" s="615"/>
      <c r="D25" s="615"/>
      <c r="E25" s="615"/>
      <c r="F25" s="615"/>
      <c r="G25" s="617">
        <f aca="false">개요!G10+5</f>
      </c>
      <c r="H25" s="617"/>
      <c r="I25" s="617"/>
      <c r="J25" s="617"/>
      <c r="K25" s="617"/>
      <c r="L25" s="617"/>
      <c r="M25" s="555"/>
      <c r="N25" s="555"/>
      <c r="O25" s="555"/>
      <c r="P25" s="555"/>
      <c r="Q25" s="555"/>
      <c r="R25" s="555"/>
      <c r="S25" s="555"/>
      <c r="T25" s="555"/>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5"/>
      <c r="BO25" s="555"/>
      <c r="BP25" s="555"/>
      <c r="BQ25" s="555"/>
      <c r="BR25" s="555"/>
      <c r="BS25" s="555"/>
      <c r="BT25" s="555"/>
      <c r="BU25" s="555"/>
      <c r="BV25" s="555"/>
      <c r="BW25" s="555"/>
      <c r="BX25" s="555"/>
      <c r="BY25" s="555"/>
      <c r="BZ25" s="555"/>
      <c r="CA25" s="555"/>
      <c r="CB25" s="555"/>
      <c r="CC25" s="555"/>
      <c r="CD25" s="555"/>
      <c r="CE25" s="555"/>
      <c r="CF25" s="555"/>
      <c r="CG25" s="555"/>
      <c r="CH25" s="555"/>
      <c r="CI25" s="555"/>
      <c r="CJ25" s="555"/>
      <c r="CK25" s="555"/>
      <c r="CL25" s="555"/>
      <c r="CM25" s="555"/>
      <c r="CN25" s="555"/>
      <c r="CO25" s="555"/>
      <c r="CP25" s="555"/>
      <c r="CQ25" s="555"/>
      <c r="CR25" s="555"/>
      <c r="CS25" s="555"/>
      <c r="CT25" s="555"/>
      <c r="CU25" s="555"/>
      <c r="CV25" s="555"/>
      <c r="CW25" s="555"/>
      <c r="CX25" s="555"/>
      <c r="CY25" s="555"/>
      <c r="CZ25" s="555"/>
      <c r="DA25" s="555"/>
      <c r="DB25" s="555"/>
      <c r="DC25" s="555"/>
      <c r="DD25" s="555"/>
      <c r="DE25" s="555"/>
      <c r="DF25" s="555"/>
      <c r="DG25" s="555"/>
      <c r="DH25" s="555"/>
      <c r="DI25" s="555"/>
      <c r="DJ25" s="555"/>
      <c r="DK25" s="555"/>
      <c r="DL25" s="555"/>
      <c r="DM25" s="555"/>
      <c r="DN25" s="555"/>
      <c r="DO25" s="555"/>
      <c r="DP25" s="555"/>
      <c r="DQ25" s="555"/>
      <c r="DR25" s="555"/>
      <c r="DS25" s="555"/>
      <c r="DT25" s="555"/>
      <c r="DU25" s="555"/>
      <c r="DV25" s="555"/>
      <c r="DW25" s="555"/>
      <c r="DX25" s="555"/>
      <c r="DY25" s="555"/>
      <c r="DZ25" s="555"/>
      <c r="EA25" s="555"/>
      <c r="EB25" s="555"/>
      <c r="EC25" s="555"/>
      <c r="ED25" s="555"/>
      <c r="EE25" s="555"/>
      <c r="EF25" s="555"/>
      <c r="EG25" s="555"/>
      <c r="EH25" s="555"/>
      <c r="EI25" s="555"/>
      <c r="EJ25" s="555"/>
      <c r="EK25" s="555"/>
      <c r="EL25" s="555"/>
      <c r="EM25" s="555"/>
      <c r="EN25" s="555"/>
      <c r="EO25" s="555"/>
      <c r="EP25" s="555"/>
      <c r="EQ25" s="555"/>
      <c r="ER25" s="555"/>
      <c r="ES25" s="555"/>
      <c r="ET25" s="555"/>
      <c r="EU25" s="555"/>
      <c r="EV25" s="555"/>
      <c r="EW25" s="555"/>
      <c r="EX25" s="555"/>
      <c r="EY25" s="555"/>
      <c r="EZ25" s="555"/>
      <c r="FA25" s="555"/>
      <c r="FB25" s="555"/>
      <c r="FC25" s="555"/>
      <c r="FD25" s="555"/>
      <c r="FE25" s="555"/>
      <c r="FF25" s="555"/>
      <c r="FG25" s="555"/>
      <c r="FH25" s="555"/>
      <c r="FI25" s="555"/>
      <c r="FJ25" s="555"/>
      <c r="FK25" s="555"/>
      <c r="FL25" s="555"/>
      <c r="FM25" s="555"/>
      <c r="FN25" s="555"/>
      <c r="FO25" s="555"/>
      <c r="FP25" s="555"/>
      <c r="FQ25" s="555"/>
      <c r="FR25" s="555"/>
      <c r="FS25" s="555"/>
      <c r="FT25" s="555"/>
      <c r="FU25" s="555"/>
      <c r="FV25" s="555"/>
      <c r="FW25" s="555"/>
      <c r="FX25" s="555"/>
      <c r="FY25" s="555"/>
      <c r="FZ25" s="555"/>
      <c r="GA25" s="555"/>
      <c r="GB25" s="555"/>
      <c r="GC25" s="555"/>
      <c r="GD25" s="555"/>
      <c r="GE25" s="555"/>
      <c r="GF25" s="555"/>
      <c r="GG25" s="555"/>
      <c r="GH25" s="555"/>
      <c r="GI25" s="555"/>
      <c r="GJ25" s="555"/>
      <c r="GK25" s="555"/>
      <c r="GL25" s="555"/>
      <c r="GM25" s="555"/>
      <c r="GN25" s="555"/>
      <c r="GO25" s="555"/>
      <c r="GP25" s="555"/>
      <c r="GQ25" s="555"/>
      <c r="GR25" s="555"/>
      <c r="GS25" s="555"/>
      <c r="GT25" s="555"/>
      <c r="GU25" s="555"/>
      <c r="GV25" s="555"/>
      <c r="GW25" s="555"/>
      <c r="GX25" s="555"/>
      <c r="GY25" s="555"/>
      <c r="GZ25" s="555"/>
      <c r="HA25" s="555"/>
      <c r="HB25" s="555"/>
      <c r="HC25" s="555"/>
      <c r="HD25" s="555"/>
      <c r="HE25" s="555"/>
      <c r="HF25" s="555"/>
      <c r="HG25" s="555"/>
      <c r="HH25" s="555"/>
      <c r="HI25" s="555"/>
      <c r="HJ25" s="555"/>
      <c r="HK25" s="555"/>
      <c r="HL25" s="555"/>
      <c r="HM25" s="555"/>
      <c r="HN25" s="555"/>
      <c r="HO25" s="555"/>
      <c r="HP25" s="555"/>
      <c r="HQ25" s="555"/>
      <c r="HR25" s="555"/>
      <c r="HS25" s="555"/>
      <c r="HT25" s="555"/>
      <c r="HU25" s="555"/>
      <c r="HV25" s="555"/>
      <c r="HW25" s="555"/>
      <c r="HX25" s="555"/>
      <c r="HY25" s="555"/>
      <c r="HZ25" s="555"/>
      <c r="IA25" s="555"/>
      <c r="IB25" s="555"/>
      <c r="IC25" s="555"/>
      <c r="ID25" s="555"/>
      <c r="IE25" s="555"/>
      <c r="IF25" s="555"/>
      <c r="IG25" s="555"/>
      <c r="IH25" s="555"/>
      <c r="II25" s="555"/>
      <c r="IJ25" s="555"/>
      <c r="IK25" s="555"/>
      <c r="IL25" s="555"/>
      <c r="IM25" s="555"/>
      <c r="IN25" s="555"/>
      <c r="IO25" s="555"/>
      <c r="IP25" s="555"/>
      <c r="IQ25" s="555"/>
      <c r="IR25" s="555"/>
      <c r="IS25" s="555"/>
      <c r="IT25" s="555"/>
      <c r="IU25" s="555"/>
      <c r="IV25" s="555"/>
      <c r="IW25" s="555"/>
    </row>
    <row r="26" customFormat="false" ht="8.25" hidden="false" customHeight="true" outlineLevel="0" collapsed="false">
      <c r="A26" s="615"/>
      <c r="B26" s="615"/>
      <c r="C26" s="615"/>
      <c r="D26" s="615"/>
      <c r="E26" s="615"/>
      <c r="F26" s="615"/>
      <c r="G26" s="615"/>
      <c r="H26" s="615"/>
      <c r="I26" s="615"/>
      <c r="J26" s="615"/>
      <c r="K26" s="615"/>
      <c r="L26" s="615"/>
      <c r="M26" s="555"/>
      <c r="N26" s="555"/>
      <c r="O26" s="555"/>
      <c r="P26" s="555"/>
      <c r="Q26" s="555"/>
      <c r="R26" s="555"/>
      <c r="S26" s="555"/>
      <c r="T26" s="555"/>
      <c r="U26" s="555"/>
      <c r="V26" s="555"/>
      <c r="W26" s="555"/>
      <c r="X26" s="555"/>
      <c r="Y26" s="555"/>
      <c r="Z26" s="555"/>
      <c r="AA26" s="555"/>
      <c r="AB26" s="555"/>
      <c r="AC26" s="555"/>
      <c r="AD26" s="555"/>
      <c r="AE26" s="555"/>
      <c r="AF26" s="555"/>
      <c r="AG26" s="555"/>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5"/>
      <c r="BD26" s="555"/>
      <c r="BE26" s="555"/>
      <c r="BF26" s="555"/>
      <c r="BG26" s="555"/>
      <c r="BH26" s="555"/>
      <c r="BI26" s="555"/>
      <c r="BJ26" s="555"/>
      <c r="BK26" s="555"/>
      <c r="BL26" s="555"/>
      <c r="BM26" s="555"/>
      <c r="BN26" s="555"/>
      <c r="BO26" s="555"/>
      <c r="BP26" s="555"/>
      <c r="BQ26" s="555"/>
      <c r="BR26" s="555"/>
      <c r="BS26" s="555"/>
      <c r="BT26" s="555"/>
      <c r="BU26" s="555"/>
      <c r="BV26" s="555"/>
      <c r="BW26" s="555"/>
      <c r="BX26" s="555"/>
      <c r="BY26" s="555"/>
      <c r="BZ26" s="555"/>
      <c r="CA26" s="555"/>
      <c r="CB26" s="555"/>
      <c r="CC26" s="555"/>
      <c r="CD26" s="555"/>
      <c r="CE26" s="555"/>
      <c r="CF26" s="555"/>
      <c r="CG26" s="555"/>
      <c r="CH26" s="555"/>
      <c r="CI26" s="555"/>
      <c r="CJ26" s="555"/>
      <c r="CK26" s="555"/>
      <c r="CL26" s="555"/>
      <c r="CM26" s="555"/>
      <c r="CN26" s="555"/>
      <c r="CO26" s="555"/>
      <c r="CP26" s="555"/>
      <c r="CQ26" s="555"/>
      <c r="CR26" s="555"/>
      <c r="CS26" s="555"/>
      <c r="CT26" s="555"/>
      <c r="CU26" s="555"/>
      <c r="CV26" s="555"/>
      <c r="CW26" s="555"/>
      <c r="CX26" s="555"/>
      <c r="CY26" s="555"/>
      <c r="CZ26" s="555"/>
      <c r="DA26" s="555"/>
      <c r="DB26" s="555"/>
      <c r="DC26" s="555"/>
      <c r="DD26" s="555"/>
      <c r="DE26" s="555"/>
      <c r="DF26" s="555"/>
      <c r="DG26" s="555"/>
      <c r="DH26" s="555"/>
      <c r="DI26" s="555"/>
      <c r="DJ26" s="555"/>
      <c r="DK26" s="555"/>
      <c r="DL26" s="555"/>
      <c r="DM26" s="555"/>
      <c r="DN26" s="555"/>
      <c r="DO26" s="555"/>
      <c r="DP26" s="555"/>
      <c r="DQ26" s="555"/>
      <c r="DR26" s="555"/>
      <c r="DS26" s="555"/>
      <c r="DT26" s="555"/>
      <c r="DU26" s="555"/>
      <c r="DV26" s="555"/>
      <c r="DW26" s="555"/>
      <c r="DX26" s="555"/>
      <c r="DY26" s="555"/>
      <c r="DZ26" s="555"/>
      <c r="EA26" s="555"/>
      <c r="EB26" s="555"/>
      <c r="EC26" s="555"/>
      <c r="ED26" s="555"/>
      <c r="EE26" s="555"/>
      <c r="EF26" s="555"/>
      <c r="EG26" s="555"/>
      <c r="EH26" s="555"/>
      <c r="EI26" s="555"/>
      <c r="EJ26" s="555"/>
      <c r="EK26" s="555"/>
      <c r="EL26" s="555"/>
      <c r="EM26" s="555"/>
      <c r="EN26" s="555"/>
      <c r="EO26" s="555"/>
      <c r="EP26" s="555"/>
      <c r="EQ26" s="555"/>
      <c r="ER26" s="555"/>
      <c r="ES26" s="555"/>
      <c r="ET26" s="555"/>
      <c r="EU26" s="555"/>
      <c r="EV26" s="555"/>
      <c r="EW26" s="555"/>
      <c r="EX26" s="555"/>
      <c r="EY26" s="555"/>
      <c r="EZ26" s="555"/>
      <c r="FA26" s="555"/>
      <c r="FB26" s="555"/>
      <c r="FC26" s="555"/>
      <c r="FD26" s="555"/>
      <c r="FE26" s="555"/>
      <c r="FF26" s="555"/>
      <c r="FG26" s="555"/>
      <c r="FH26" s="555"/>
      <c r="FI26" s="555"/>
      <c r="FJ26" s="555"/>
      <c r="FK26" s="555"/>
      <c r="FL26" s="555"/>
      <c r="FM26" s="555"/>
      <c r="FN26" s="555"/>
      <c r="FO26" s="555"/>
      <c r="FP26" s="555"/>
      <c r="FQ26" s="555"/>
      <c r="FR26" s="555"/>
      <c r="FS26" s="555"/>
      <c r="FT26" s="555"/>
      <c r="FU26" s="555"/>
      <c r="FV26" s="555"/>
      <c r="FW26" s="555"/>
      <c r="FX26" s="555"/>
      <c r="FY26" s="555"/>
      <c r="FZ26" s="555"/>
      <c r="GA26" s="555"/>
      <c r="GB26" s="555"/>
      <c r="GC26" s="555"/>
      <c r="GD26" s="555"/>
      <c r="GE26" s="555"/>
      <c r="GF26" s="555"/>
      <c r="GG26" s="555"/>
      <c r="GH26" s="555"/>
      <c r="GI26" s="555"/>
      <c r="GJ26" s="555"/>
      <c r="GK26" s="555"/>
      <c r="GL26" s="555"/>
      <c r="GM26" s="555"/>
      <c r="GN26" s="555"/>
      <c r="GO26" s="555"/>
      <c r="GP26" s="555"/>
      <c r="GQ26" s="555"/>
      <c r="GR26" s="555"/>
      <c r="GS26" s="555"/>
      <c r="GT26" s="555"/>
      <c r="GU26" s="555"/>
      <c r="GV26" s="555"/>
      <c r="GW26" s="555"/>
      <c r="GX26" s="555"/>
      <c r="GY26" s="555"/>
      <c r="GZ26" s="555"/>
      <c r="HA26" s="555"/>
      <c r="HB26" s="555"/>
      <c r="HC26" s="555"/>
      <c r="HD26" s="555"/>
      <c r="HE26" s="555"/>
      <c r="HF26" s="555"/>
      <c r="HG26" s="555"/>
      <c r="HH26" s="555"/>
      <c r="HI26" s="555"/>
      <c r="HJ26" s="555"/>
      <c r="HK26" s="555"/>
      <c r="HL26" s="555"/>
      <c r="HM26" s="555"/>
      <c r="HN26" s="555"/>
      <c r="HO26" s="555"/>
      <c r="HP26" s="555"/>
      <c r="HQ26" s="555"/>
      <c r="HR26" s="555"/>
      <c r="HS26" s="555"/>
      <c r="HT26" s="555"/>
      <c r="HU26" s="555"/>
      <c r="HV26" s="555"/>
      <c r="HW26" s="555"/>
      <c r="HX26" s="555"/>
      <c r="HY26" s="555"/>
      <c r="HZ26" s="555"/>
      <c r="IA26" s="555"/>
      <c r="IB26" s="555"/>
      <c r="IC26" s="555"/>
      <c r="ID26" s="555"/>
      <c r="IE26" s="555"/>
      <c r="IF26" s="555"/>
      <c r="IG26" s="555"/>
      <c r="IH26" s="555"/>
      <c r="II26" s="555"/>
      <c r="IJ26" s="555"/>
      <c r="IK26" s="555"/>
      <c r="IL26" s="555"/>
      <c r="IM26" s="555"/>
      <c r="IN26" s="555"/>
      <c r="IO26" s="555"/>
      <c r="IP26" s="555"/>
      <c r="IQ26" s="555"/>
      <c r="IR26" s="555"/>
      <c r="IS26" s="555"/>
      <c r="IT26" s="555"/>
      <c r="IU26" s="555"/>
      <c r="IV26" s="555"/>
      <c r="IW26" s="555"/>
    </row>
    <row r="27" customFormat="false" ht="34.5" hidden="false" customHeight="true" outlineLevel="0" collapsed="false">
      <c r="A27" s="538"/>
      <c r="B27" s="538"/>
      <c r="C27" s="538"/>
      <c r="D27" s="538"/>
      <c r="E27" s="555"/>
      <c r="F27" s="539" t="s">
        <v>569</v>
      </c>
      <c r="G27" s="539"/>
      <c r="H27" s="540">
        <f aca="false">C7</f>
      </c>
      <c r="I27" s="540"/>
      <c r="J27" s="540"/>
      <c r="K27" s="619" t="s">
        <v>570</v>
      </c>
      <c r="L27" s="619"/>
      <c r="M27" s="555"/>
      <c r="N27" s="555"/>
      <c r="O27" s="555"/>
      <c r="P27" s="555"/>
      <c r="Q27" s="555"/>
      <c r="R27" s="555"/>
      <c r="S27" s="555"/>
      <c r="T27" s="555"/>
      <c r="U27" s="555"/>
      <c r="V27" s="555"/>
      <c r="W27" s="555"/>
      <c r="X27" s="555"/>
      <c r="Y27" s="555"/>
      <c r="Z27" s="555"/>
      <c r="AA27" s="555"/>
      <c r="AB27" s="555"/>
      <c r="AC27" s="555"/>
      <c r="AD27" s="555"/>
      <c r="AE27" s="555"/>
      <c r="AF27" s="555"/>
      <c r="AG27" s="555"/>
      <c r="AH27" s="555"/>
      <c r="AI27" s="555"/>
      <c r="AJ27" s="555"/>
      <c r="AK27" s="555"/>
      <c r="AL27" s="555"/>
      <c r="AM27" s="555"/>
      <c r="AN27" s="555"/>
      <c r="AO27" s="555"/>
      <c r="AP27" s="555"/>
      <c r="AQ27" s="555"/>
      <c r="AR27" s="555"/>
      <c r="AS27" s="555"/>
      <c r="AT27" s="555"/>
      <c r="AU27" s="555"/>
      <c r="AV27" s="555"/>
      <c r="AW27" s="555"/>
      <c r="AX27" s="555"/>
      <c r="AY27" s="555"/>
      <c r="AZ27" s="555"/>
      <c r="BA27" s="555"/>
      <c r="BB27" s="555"/>
      <c r="BC27" s="555"/>
      <c r="BD27" s="555"/>
      <c r="BE27" s="555"/>
      <c r="BF27" s="555"/>
      <c r="BG27" s="555"/>
      <c r="BH27" s="555"/>
      <c r="BI27" s="555"/>
      <c r="BJ27" s="555"/>
      <c r="BK27" s="555"/>
      <c r="BL27" s="555"/>
      <c r="BM27" s="555"/>
      <c r="BN27" s="555"/>
      <c r="BO27" s="555"/>
      <c r="BP27" s="555"/>
      <c r="BQ27" s="555"/>
      <c r="BR27" s="555"/>
      <c r="BS27" s="555"/>
      <c r="BT27" s="555"/>
      <c r="BU27" s="555"/>
      <c r="BV27" s="555"/>
      <c r="BW27" s="555"/>
      <c r="BX27" s="555"/>
      <c r="BY27" s="555"/>
      <c r="BZ27" s="555"/>
      <c r="CA27" s="555"/>
      <c r="CB27" s="555"/>
      <c r="CC27" s="555"/>
      <c r="CD27" s="555"/>
      <c r="CE27" s="555"/>
      <c r="CF27" s="555"/>
      <c r="CG27" s="555"/>
      <c r="CH27" s="555"/>
      <c r="CI27" s="555"/>
      <c r="CJ27" s="555"/>
      <c r="CK27" s="555"/>
      <c r="CL27" s="555"/>
      <c r="CM27" s="555"/>
      <c r="CN27" s="555"/>
      <c r="CO27" s="555"/>
      <c r="CP27" s="555"/>
      <c r="CQ27" s="555"/>
      <c r="CR27" s="555"/>
      <c r="CS27" s="555"/>
      <c r="CT27" s="555"/>
      <c r="CU27" s="555"/>
      <c r="CV27" s="555"/>
      <c r="CW27" s="555"/>
      <c r="CX27" s="555"/>
      <c r="CY27" s="555"/>
      <c r="CZ27" s="555"/>
      <c r="DA27" s="555"/>
      <c r="DB27" s="555"/>
      <c r="DC27" s="555"/>
      <c r="DD27" s="555"/>
      <c r="DE27" s="555"/>
      <c r="DF27" s="555"/>
      <c r="DG27" s="555"/>
      <c r="DH27" s="555"/>
      <c r="DI27" s="555"/>
      <c r="DJ27" s="555"/>
      <c r="DK27" s="555"/>
      <c r="DL27" s="555"/>
      <c r="DM27" s="555"/>
      <c r="DN27" s="555"/>
      <c r="DO27" s="555"/>
      <c r="DP27" s="555"/>
      <c r="DQ27" s="555"/>
      <c r="DR27" s="555"/>
      <c r="DS27" s="555"/>
      <c r="DT27" s="555"/>
      <c r="DU27" s="555"/>
      <c r="DV27" s="555"/>
      <c r="DW27" s="555"/>
      <c r="DX27" s="555"/>
      <c r="DY27" s="555"/>
      <c r="DZ27" s="555"/>
      <c r="EA27" s="555"/>
      <c r="EB27" s="555"/>
      <c r="EC27" s="555"/>
      <c r="ED27" s="555"/>
      <c r="EE27" s="555"/>
      <c r="EF27" s="555"/>
      <c r="EG27" s="555"/>
      <c r="EH27" s="555"/>
      <c r="EI27" s="555"/>
      <c r="EJ27" s="555"/>
      <c r="EK27" s="555"/>
      <c r="EL27" s="555"/>
      <c r="EM27" s="555"/>
      <c r="EN27" s="555"/>
      <c r="EO27" s="555"/>
      <c r="EP27" s="555"/>
      <c r="EQ27" s="555"/>
      <c r="ER27" s="555"/>
      <c r="ES27" s="555"/>
      <c r="ET27" s="555"/>
      <c r="EU27" s="555"/>
      <c r="EV27" s="555"/>
      <c r="EW27" s="555"/>
      <c r="EX27" s="555"/>
      <c r="EY27" s="555"/>
      <c r="EZ27" s="555"/>
      <c r="FA27" s="555"/>
      <c r="FB27" s="555"/>
      <c r="FC27" s="555"/>
      <c r="FD27" s="555"/>
      <c r="FE27" s="555"/>
      <c r="FF27" s="555"/>
      <c r="FG27" s="555"/>
      <c r="FH27" s="555"/>
      <c r="FI27" s="555"/>
      <c r="FJ27" s="555"/>
      <c r="FK27" s="555"/>
      <c r="FL27" s="555"/>
      <c r="FM27" s="555"/>
      <c r="FN27" s="555"/>
      <c r="FO27" s="555"/>
      <c r="FP27" s="555"/>
      <c r="FQ27" s="555"/>
      <c r="FR27" s="555"/>
      <c r="FS27" s="555"/>
      <c r="FT27" s="555"/>
      <c r="FU27" s="555"/>
      <c r="FV27" s="555"/>
      <c r="FW27" s="555"/>
      <c r="FX27" s="555"/>
      <c r="FY27" s="555"/>
      <c r="FZ27" s="555"/>
      <c r="GA27" s="555"/>
      <c r="GB27" s="555"/>
      <c r="GC27" s="555"/>
      <c r="GD27" s="555"/>
      <c r="GE27" s="555"/>
      <c r="GF27" s="555"/>
      <c r="GG27" s="555"/>
      <c r="GH27" s="555"/>
      <c r="GI27" s="555"/>
      <c r="GJ27" s="555"/>
      <c r="GK27" s="555"/>
      <c r="GL27" s="555"/>
      <c r="GM27" s="555"/>
      <c r="GN27" s="555"/>
      <c r="GO27" s="555"/>
      <c r="GP27" s="555"/>
      <c r="GQ27" s="555"/>
      <c r="GR27" s="555"/>
      <c r="GS27" s="555"/>
      <c r="GT27" s="555"/>
      <c r="GU27" s="555"/>
      <c r="GV27" s="555"/>
      <c r="GW27" s="555"/>
      <c r="GX27" s="555"/>
      <c r="GY27" s="555"/>
      <c r="GZ27" s="555"/>
      <c r="HA27" s="555"/>
      <c r="HB27" s="555"/>
      <c r="HC27" s="555"/>
      <c r="HD27" s="555"/>
      <c r="HE27" s="555"/>
      <c r="HF27" s="555"/>
      <c r="HG27" s="555"/>
      <c r="HH27" s="555"/>
      <c r="HI27" s="555"/>
      <c r="HJ27" s="555"/>
      <c r="HK27" s="555"/>
      <c r="HL27" s="555"/>
      <c r="HM27" s="555"/>
      <c r="HN27" s="555"/>
      <c r="HO27" s="555"/>
      <c r="HP27" s="555"/>
      <c r="HQ27" s="555"/>
      <c r="HR27" s="555"/>
      <c r="HS27" s="555"/>
      <c r="HT27" s="555"/>
      <c r="HU27" s="555"/>
      <c r="HV27" s="555"/>
      <c r="HW27" s="555"/>
      <c r="HX27" s="555"/>
      <c r="HY27" s="555"/>
      <c r="HZ27" s="555"/>
      <c r="IA27" s="555"/>
      <c r="IB27" s="555"/>
      <c r="IC27" s="555"/>
      <c r="ID27" s="555"/>
      <c r="IE27" s="555"/>
      <c r="IF27" s="555"/>
      <c r="IG27" s="555"/>
      <c r="IH27" s="555"/>
      <c r="II27" s="555"/>
      <c r="IJ27" s="555"/>
      <c r="IK27" s="555"/>
      <c r="IL27" s="555"/>
      <c r="IM27" s="555"/>
      <c r="IN27" s="555"/>
      <c r="IO27" s="555"/>
      <c r="IP27" s="555"/>
      <c r="IQ27" s="555"/>
      <c r="IR27" s="555"/>
      <c r="IS27" s="555"/>
      <c r="IT27" s="555"/>
      <c r="IU27" s="555"/>
      <c r="IV27" s="555"/>
      <c r="IW27" s="555"/>
    </row>
    <row r="28" customFormat="false" ht="6.75" hidden="false" customHeight="true" outlineLevel="0" collapsed="false">
      <c r="A28" s="621"/>
      <c r="B28" s="621"/>
      <c r="C28" s="621"/>
      <c r="D28" s="621"/>
      <c r="E28" s="621"/>
      <c r="F28" s="621"/>
      <c r="G28" s="621"/>
      <c r="H28" s="621"/>
      <c r="I28" s="621"/>
      <c r="J28" s="615"/>
      <c r="K28" s="615"/>
      <c r="L28" s="615"/>
      <c r="M28" s="555"/>
      <c r="N28" s="555"/>
      <c r="O28" s="555"/>
      <c r="P28" s="555"/>
      <c r="Q28" s="555"/>
      <c r="R28" s="555"/>
      <c r="S28" s="555"/>
      <c r="T28" s="555"/>
      <c r="U28" s="555"/>
      <c r="V28" s="555"/>
      <c r="W28" s="555"/>
      <c r="X28" s="555"/>
      <c r="Y28" s="555"/>
      <c r="Z28" s="555"/>
      <c r="AA28" s="555"/>
      <c r="AB28" s="555"/>
      <c r="AC28" s="555"/>
      <c r="AD28" s="555"/>
      <c r="AE28" s="555"/>
      <c r="AF28" s="555"/>
      <c r="AG28" s="555"/>
      <c r="AH28" s="555"/>
      <c r="AI28" s="555"/>
      <c r="AJ28" s="555"/>
      <c r="AK28" s="555"/>
      <c r="AL28" s="555"/>
      <c r="AM28" s="555"/>
      <c r="AN28" s="555"/>
      <c r="AO28" s="555"/>
      <c r="AP28" s="555"/>
      <c r="AQ28" s="555"/>
      <c r="AR28" s="555"/>
      <c r="AS28" s="555"/>
      <c r="AT28" s="555"/>
      <c r="AU28" s="555"/>
      <c r="AV28" s="555"/>
      <c r="AW28" s="555"/>
      <c r="AX28" s="555"/>
      <c r="AY28" s="555"/>
      <c r="AZ28" s="555"/>
      <c r="BA28" s="555"/>
      <c r="BB28" s="555"/>
      <c r="BC28" s="555"/>
      <c r="BD28" s="555"/>
      <c r="BE28" s="555"/>
      <c r="BF28" s="555"/>
      <c r="BG28" s="555"/>
      <c r="BH28" s="555"/>
      <c r="BI28" s="555"/>
      <c r="BJ28" s="555"/>
      <c r="BK28" s="555"/>
      <c r="BL28" s="555"/>
      <c r="BM28" s="555"/>
      <c r="BN28" s="555"/>
      <c r="BO28" s="555"/>
      <c r="BP28" s="555"/>
      <c r="BQ28" s="555"/>
      <c r="BR28" s="555"/>
      <c r="BS28" s="555"/>
      <c r="BT28" s="555"/>
      <c r="BU28" s="555"/>
      <c r="BV28" s="555"/>
      <c r="BW28" s="555"/>
      <c r="BX28" s="555"/>
      <c r="BY28" s="555"/>
      <c r="BZ28" s="555"/>
      <c r="CA28" s="555"/>
      <c r="CB28" s="555"/>
      <c r="CC28" s="555"/>
      <c r="CD28" s="555"/>
      <c r="CE28" s="555"/>
      <c r="CF28" s="555"/>
      <c r="CG28" s="555"/>
      <c r="CH28" s="555"/>
      <c r="CI28" s="555"/>
      <c r="CJ28" s="555"/>
      <c r="CK28" s="555"/>
      <c r="CL28" s="555"/>
      <c r="CM28" s="555"/>
      <c r="CN28" s="555"/>
      <c r="CO28" s="555"/>
      <c r="CP28" s="555"/>
      <c r="CQ28" s="555"/>
      <c r="CR28" s="555"/>
      <c r="CS28" s="555"/>
      <c r="CT28" s="555"/>
      <c r="CU28" s="555"/>
      <c r="CV28" s="555"/>
      <c r="CW28" s="555"/>
      <c r="CX28" s="555"/>
      <c r="CY28" s="555"/>
      <c r="CZ28" s="555"/>
      <c r="DA28" s="555"/>
      <c r="DB28" s="555"/>
      <c r="DC28" s="555"/>
      <c r="DD28" s="555"/>
      <c r="DE28" s="555"/>
      <c r="DF28" s="555"/>
      <c r="DG28" s="555"/>
      <c r="DH28" s="555"/>
      <c r="DI28" s="555"/>
      <c r="DJ28" s="555"/>
      <c r="DK28" s="555"/>
      <c r="DL28" s="555"/>
      <c r="DM28" s="555"/>
      <c r="DN28" s="555"/>
      <c r="DO28" s="555"/>
      <c r="DP28" s="555"/>
      <c r="DQ28" s="555"/>
      <c r="DR28" s="555"/>
      <c r="DS28" s="555"/>
      <c r="DT28" s="555"/>
      <c r="DU28" s="555"/>
      <c r="DV28" s="555"/>
      <c r="DW28" s="555"/>
      <c r="DX28" s="555"/>
      <c r="DY28" s="555"/>
      <c r="DZ28" s="555"/>
      <c r="EA28" s="555"/>
      <c r="EB28" s="555"/>
      <c r="EC28" s="555"/>
      <c r="ED28" s="555"/>
      <c r="EE28" s="555"/>
      <c r="EF28" s="555"/>
      <c r="EG28" s="555"/>
      <c r="EH28" s="555"/>
      <c r="EI28" s="555"/>
      <c r="EJ28" s="555"/>
      <c r="EK28" s="555"/>
      <c r="EL28" s="555"/>
      <c r="EM28" s="555"/>
      <c r="EN28" s="555"/>
      <c r="EO28" s="555"/>
      <c r="EP28" s="555"/>
      <c r="EQ28" s="555"/>
      <c r="ER28" s="555"/>
      <c r="ES28" s="555"/>
      <c r="ET28" s="555"/>
      <c r="EU28" s="555"/>
      <c r="EV28" s="555"/>
      <c r="EW28" s="555"/>
      <c r="EX28" s="555"/>
      <c r="EY28" s="555"/>
      <c r="EZ28" s="555"/>
      <c r="FA28" s="555"/>
      <c r="FB28" s="555"/>
      <c r="FC28" s="555"/>
      <c r="FD28" s="555"/>
      <c r="FE28" s="555"/>
      <c r="FF28" s="555"/>
      <c r="FG28" s="555"/>
      <c r="FH28" s="555"/>
      <c r="FI28" s="555"/>
      <c r="FJ28" s="555"/>
      <c r="FK28" s="555"/>
      <c r="FL28" s="555"/>
      <c r="FM28" s="555"/>
      <c r="FN28" s="555"/>
      <c r="FO28" s="555"/>
      <c r="FP28" s="555"/>
      <c r="FQ28" s="555"/>
      <c r="FR28" s="555"/>
      <c r="FS28" s="555"/>
      <c r="FT28" s="555"/>
      <c r="FU28" s="555"/>
      <c r="FV28" s="555"/>
      <c r="FW28" s="555"/>
      <c r="FX28" s="555"/>
      <c r="FY28" s="555"/>
      <c r="FZ28" s="555"/>
      <c r="GA28" s="555"/>
      <c r="GB28" s="555"/>
      <c r="GC28" s="555"/>
      <c r="GD28" s="555"/>
      <c r="GE28" s="555"/>
      <c r="GF28" s="555"/>
      <c r="GG28" s="555"/>
      <c r="GH28" s="555"/>
      <c r="GI28" s="555"/>
      <c r="GJ28" s="555"/>
      <c r="GK28" s="555"/>
      <c r="GL28" s="555"/>
      <c r="GM28" s="555"/>
      <c r="GN28" s="555"/>
      <c r="GO28" s="555"/>
      <c r="GP28" s="555"/>
      <c r="GQ28" s="555"/>
      <c r="GR28" s="555"/>
      <c r="GS28" s="555"/>
      <c r="GT28" s="555"/>
      <c r="GU28" s="555"/>
      <c r="GV28" s="555"/>
      <c r="GW28" s="555"/>
      <c r="GX28" s="555"/>
      <c r="GY28" s="555"/>
      <c r="GZ28" s="555"/>
      <c r="HA28" s="555"/>
      <c r="HB28" s="555"/>
      <c r="HC28" s="555"/>
      <c r="HD28" s="555"/>
      <c r="HE28" s="555"/>
      <c r="HF28" s="555"/>
      <c r="HG28" s="555"/>
      <c r="HH28" s="555"/>
      <c r="HI28" s="555"/>
      <c r="HJ28" s="555"/>
      <c r="HK28" s="555"/>
      <c r="HL28" s="555"/>
      <c r="HM28" s="555"/>
      <c r="HN28" s="555"/>
      <c r="HO28" s="555"/>
      <c r="HP28" s="555"/>
      <c r="HQ28" s="555"/>
      <c r="HR28" s="555"/>
      <c r="HS28" s="555"/>
      <c r="HT28" s="555"/>
      <c r="HU28" s="555"/>
      <c r="HV28" s="555"/>
      <c r="HW28" s="555"/>
      <c r="HX28" s="555"/>
      <c r="HY28" s="555"/>
      <c r="HZ28" s="555"/>
      <c r="IA28" s="555"/>
      <c r="IB28" s="555"/>
      <c r="IC28" s="555"/>
      <c r="ID28" s="555"/>
      <c r="IE28" s="555"/>
      <c r="IF28" s="555"/>
      <c r="IG28" s="555"/>
      <c r="IH28" s="555"/>
      <c r="II28" s="555"/>
      <c r="IJ28" s="555"/>
      <c r="IK28" s="555"/>
      <c r="IL28" s="555"/>
      <c r="IM28" s="555"/>
      <c r="IN28" s="555"/>
      <c r="IO28" s="555"/>
      <c r="IP28" s="555"/>
      <c r="IQ28" s="555"/>
      <c r="IR28" s="555"/>
      <c r="IS28" s="555"/>
      <c r="IT28" s="555"/>
      <c r="IU28" s="555"/>
      <c r="IV28" s="555"/>
      <c r="IW28" s="555"/>
    </row>
    <row r="29" customFormat="false" ht="26.25" hidden="false" customHeight="true" outlineLevel="0" collapsed="false">
      <c r="A29" s="622">
        <f aca="false">개요!D14</f>
      </c>
      <c r="B29" s="623" t="s">
        <v>590</v>
      </c>
      <c r="C29" s="623"/>
      <c r="D29" s="623"/>
      <c r="E29" s="623"/>
      <c r="F29" s="624"/>
      <c r="G29" s="624"/>
      <c r="H29" s="624"/>
      <c r="I29" s="624"/>
      <c r="J29" s="625"/>
      <c r="K29" s="625"/>
      <c r="L29" s="625"/>
      <c r="M29" s="555"/>
      <c r="N29" s="555"/>
      <c r="O29" s="555"/>
      <c r="P29" s="555"/>
      <c r="Q29" s="555"/>
      <c r="R29" s="555"/>
      <c r="S29" s="555"/>
      <c r="T29" s="555"/>
      <c r="U29" s="555"/>
      <c r="V29" s="555"/>
      <c r="W29" s="555"/>
      <c r="X29" s="555"/>
      <c r="Y29" s="555"/>
      <c r="Z29" s="555"/>
      <c r="AA29" s="555"/>
      <c r="AB29" s="555"/>
      <c r="AC29" s="555"/>
      <c r="AD29" s="555"/>
      <c r="AE29" s="555"/>
      <c r="AF29" s="555"/>
      <c r="AG29" s="555"/>
      <c r="AH29" s="555"/>
      <c r="AI29" s="555"/>
      <c r="AJ29" s="555"/>
      <c r="AK29" s="555"/>
      <c r="AL29" s="555"/>
      <c r="AM29" s="555"/>
      <c r="AN29" s="555"/>
      <c r="AO29" s="555"/>
      <c r="AP29" s="555"/>
      <c r="AQ29" s="555"/>
      <c r="AR29" s="555"/>
      <c r="AS29" s="555"/>
      <c r="AT29" s="555"/>
      <c r="AU29" s="555"/>
      <c r="AV29" s="555"/>
      <c r="AW29" s="555"/>
      <c r="AX29" s="555"/>
      <c r="AY29" s="555"/>
      <c r="AZ29" s="555"/>
      <c r="BA29" s="555"/>
      <c r="BB29" s="555"/>
      <c r="BC29" s="555"/>
      <c r="BD29" s="555"/>
      <c r="BE29" s="555"/>
      <c r="BF29" s="555"/>
      <c r="BG29" s="555"/>
      <c r="BH29" s="555"/>
      <c r="BI29" s="555"/>
      <c r="BJ29" s="555"/>
      <c r="BK29" s="555"/>
      <c r="BL29" s="555"/>
      <c r="BM29" s="555"/>
      <c r="BN29" s="555"/>
      <c r="BO29" s="555"/>
      <c r="BP29" s="555"/>
      <c r="BQ29" s="555"/>
      <c r="BR29" s="555"/>
      <c r="BS29" s="555"/>
      <c r="BT29" s="555"/>
      <c r="BU29" s="555"/>
      <c r="BV29" s="555"/>
      <c r="BW29" s="555"/>
      <c r="BX29" s="555"/>
      <c r="BY29" s="555"/>
      <c r="BZ29" s="555"/>
      <c r="CA29" s="555"/>
      <c r="CB29" s="555"/>
      <c r="CC29" s="555"/>
      <c r="CD29" s="555"/>
      <c r="CE29" s="555"/>
      <c r="CF29" s="555"/>
      <c r="CG29" s="555"/>
      <c r="CH29" s="555"/>
      <c r="CI29" s="555"/>
      <c r="CJ29" s="555"/>
      <c r="CK29" s="555"/>
      <c r="CL29" s="555"/>
      <c r="CM29" s="555"/>
      <c r="CN29" s="555"/>
      <c r="CO29" s="555"/>
      <c r="CP29" s="555"/>
      <c r="CQ29" s="555"/>
      <c r="CR29" s="555"/>
      <c r="CS29" s="555"/>
      <c r="CT29" s="555"/>
      <c r="CU29" s="555"/>
      <c r="CV29" s="555"/>
      <c r="CW29" s="555"/>
      <c r="CX29" s="555"/>
      <c r="CY29" s="555"/>
      <c r="CZ29" s="555"/>
      <c r="DA29" s="555"/>
      <c r="DB29" s="555"/>
      <c r="DC29" s="555"/>
      <c r="DD29" s="555"/>
      <c r="DE29" s="555"/>
      <c r="DF29" s="555"/>
      <c r="DG29" s="555"/>
      <c r="DH29" s="555"/>
      <c r="DI29" s="555"/>
      <c r="DJ29" s="555"/>
      <c r="DK29" s="555"/>
      <c r="DL29" s="555"/>
      <c r="DM29" s="555"/>
      <c r="DN29" s="555"/>
      <c r="DO29" s="555"/>
      <c r="DP29" s="555"/>
      <c r="DQ29" s="555"/>
      <c r="DR29" s="555"/>
      <c r="DS29" s="555"/>
      <c r="DT29" s="555"/>
      <c r="DU29" s="555"/>
      <c r="DV29" s="555"/>
      <c r="DW29" s="555"/>
      <c r="DX29" s="555"/>
      <c r="DY29" s="555"/>
      <c r="DZ29" s="555"/>
      <c r="EA29" s="555"/>
      <c r="EB29" s="555"/>
      <c r="EC29" s="555"/>
      <c r="ED29" s="555"/>
      <c r="EE29" s="555"/>
      <c r="EF29" s="555"/>
      <c r="EG29" s="555"/>
      <c r="EH29" s="555"/>
      <c r="EI29" s="555"/>
      <c r="EJ29" s="555"/>
      <c r="EK29" s="555"/>
      <c r="EL29" s="555"/>
      <c r="EM29" s="555"/>
      <c r="EN29" s="555"/>
      <c r="EO29" s="555"/>
      <c r="EP29" s="555"/>
      <c r="EQ29" s="555"/>
      <c r="ER29" s="555"/>
      <c r="ES29" s="555"/>
      <c r="ET29" s="555"/>
      <c r="EU29" s="555"/>
      <c r="EV29" s="555"/>
      <c r="EW29" s="555"/>
      <c r="EX29" s="555"/>
      <c r="EY29" s="555"/>
      <c r="EZ29" s="555"/>
      <c r="FA29" s="555"/>
      <c r="FB29" s="555"/>
      <c r="FC29" s="555"/>
      <c r="FD29" s="555"/>
      <c r="FE29" s="555"/>
      <c r="FF29" s="555"/>
      <c r="FG29" s="555"/>
      <c r="FH29" s="555"/>
      <c r="FI29" s="555"/>
      <c r="FJ29" s="555"/>
      <c r="FK29" s="555"/>
      <c r="FL29" s="555"/>
      <c r="FM29" s="555"/>
      <c r="FN29" s="555"/>
      <c r="FO29" s="555"/>
      <c r="FP29" s="555"/>
      <c r="FQ29" s="555"/>
      <c r="FR29" s="555"/>
      <c r="FS29" s="555"/>
      <c r="FT29" s="555"/>
      <c r="FU29" s="555"/>
      <c r="FV29" s="555"/>
      <c r="FW29" s="555"/>
      <c r="FX29" s="555"/>
      <c r="FY29" s="555"/>
      <c r="FZ29" s="555"/>
      <c r="GA29" s="555"/>
      <c r="GB29" s="555"/>
      <c r="GC29" s="555"/>
      <c r="GD29" s="555"/>
      <c r="GE29" s="555"/>
      <c r="GF29" s="555"/>
      <c r="GG29" s="555"/>
      <c r="GH29" s="555"/>
      <c r="GI29" s="555"/>
      <c r="GJ29" s="555"/>
      <c r="GK29" s="555"/>
      <c r="GL29" s="555"/>
      <c r="GM29" s="555"/>
      <c r="GN29" s="555"/>
      <c r="GO29" s="555"/>
      <c r="GP29" s="555"/>
      <c r="GQ29" s="555"/>
      <c r="GR29" s="555"/>
      <c r="GS29" s="555"/>
      <c r="GT29" s="555"/>
      <c r="GU29" s="555"/>
      <c r="GV29" s="555"/>
      <c r="GW29" s="555"/>
      <c r="GX29" s="555"/>
      <c r="GY29" s="555"/>
      <c r="GZ29" s="555"/>
      <c r="HA29" s="555"/>
      <c r="HB29" s="555"/>
      <c r="HC29" s="555"/>
      <c r="HD29" s="555"/>
      <c r="HE29" s="555"/>
      <c r="HF29" s="555"/>
      <c r="HG29" s="555"/>
      <c r="HH29" s="555"/>
      <c r="HI29" s="555"/>
      <c r="HJ29" s="555"/>
      <c r="HK29" s="555"/>
      <c r="HL29" s="555"/>
      <c r="HM29" s="555"/>
      <c r="HN29" s="555"/>
      <c r="HO29" s="555"/>
      <c r="HP29" s="555"/>
      <c r="HQ29" s="555"/>
      <c r="HR29" s="555"/>
      <c r="HS29" s="555"/>
      <c r="HT29" s="555"/>
      <c r="HU29" s="555"/>
      <c r="HV29" s="555"/>
      <c r="HW29" s="555"/>
      <c r="HX29" s="555"/>
      <c r="HY29" s="555"/>
      <c r="HZ29" s="555"/>
      <c r="IA29" s="555"/>
      <c r="IB29" s="555"/>
      <c r="IC29" s="555"/>
      <c r="ID29" s="555"/>
      <c r="IE29" s="555"/>
      <c r="IF29" s="555"/>
      <c r="IG29" s="555"/>
      <c r="IH29" s="555"/>
      <c r="II29" s="555"/>
      <c r="IJ29" s="555"/>
      <c r="IK29" s="555"/>
      <c r="IL29" s="555"/>
      <c r="IM29" s="555"/>
      <c r="IN29" s="555"/>
      <c r="IO29" s="555"/>
      <c r="IP29" s="555"/>
      <c r="IQ29" s="555"/>
      <c r="IR29" s="555"/>
      <c r="IS29" s="555"/>
      <c r="IT29" s="555"/>
      <c r="IU29" s="555"/>
      <c r="IV29" s="555"/>
      <c r="IW29" s="555"/>
    </row>
    <row r="30" customFormat="false" ht="9" hidden="false" customHeight="true" outlineLevel="0" collapsed="false">
      <c r="A30" s="626"/>
      <c r="B30" s="626"/>
      <c r="C30" s="626"/>
      <c r="D30" s="626"/>
      <c r="E30" s="626"/>
      <c r="F30" s="626"/>
      <c r="G30" s="626"/>
      <c r="H30" s="626"/>
      <c r="I30" s="626"/>
      <c r="J30" s="626"/>
      <c r="K30" s="626"/>
      <c r="L30" s="626"/>
      <c r="M30" s="555"/>
      <c r="N30" s="555"/>
      <c r="O30" s="555"/>
      <c r="P30" s="555"/>
      <c r="Q30" s="555"/>
      <c r="R30" s="555"/>
      <c r="S30" s="555"/>
      <c r="T30" s="555"/>
      <c r="U30" s="555"/>
      <c r="V30" s="555"/>
      <c r="W30" s="555"/>
      <c r="X30" s="555"/>
      <c r="Y30" s="555"/>
      <c r="Z30" s="555"/>
      <c r="AA30" s="555"/>
      <c r="AB30" s="555"/>
      <c r="AC30" s="555"/>
      <c r="AD30" s="555"/>
      <c r="AE30" s="555"/>
      <c r="AF30" s="555"/>
      <c r="AG30" s="555"/>
      <c r="AH30" s="555"/>
      <c r="AI30" s="555"/>
      <c r="AJ30" s="555"/>
      <c r="AK30" s="555"/>
      <c r="AL30" s="555"/>
      <c r="AM30" s="555"/>
      <c r="AN30" s="555"/>
      <c r="AO30" s="555"/>
      <c r="AP30" s="555"/>
      <c r="AQ30" s="555"/>
      <c r="AR30" s="555"/>
      <c r="AS30" s="555"/>
      <c r="AT30" s="555"/>
      <c r="AU30" s="555"/>
      <c r="AV30" s="555"/>
      <c r="AW30" s="555"/>
      <c r="AX30" s="555"/>
      <c r="AY30" s="555"/>
      <c r="AZ30" s="555"/>
      <c r="BA30" s="555"/>
      <c r="BB30" s="555"/>
      <c r="BC30" s="555"/>
      <c r="BD30" s="555"/>
      <c r="BE30" s="555"/>
      <c r="BF30" s="555"/>
      <c r="BG30" s="555"/>
      <c r="BH30" s="555"/>
      <c r="BI30" s="555"/>
      <c r="BJ30" s="555"/>
      <c r="BK30" s="555"/>
      <c r="BL30" s="555"/>
      <c r="BM30" s="555"/>
      <c r="BN30" s="555"/>
      <c r="BO30" s="555"/>
      <c r="BP30" s="555"/>
      <c r="BQ30" s="555"/>
      <c r="BR30" s="555"/>
      <c r="BS30" s="555"/>
      <c r="BT30" s="555"/>
      <c r="BU30" s="555"/>
      <c r="BV30" s="555"/>
      <c r="BW30" s="555"/>
      <c r="BX30" s="555"/>
      <c r="BY30" s="555"/>
      <c r="BZ30" s="555"/>
      <c r="CA30" s="555"/>
      <c r="CB30" s="555"/>
      <c r="CC30" s="555"/>
      <c r="CD30" s="555"/>
      <c r="CE30" s="555"/>
      <c r="CF30" s="555"/>
      <c r="CG30" s="555"/>
      <c r="CH30" s="555"/>
      <c r="CI30" s="555"/>
      <c r="CJ30" s="555"/>
      <c r="CK30" s="555"/>
      <c r="CL30" s="555"/>
      <c r="CM30" s="555"/>
      <c r="CN30" s="555"/>
      <c r="CO30" s="555"/>
      <c r="CP30" s="555"/>
      <c r="CQ30" s="555"/>
      <c r="CR30" s="555"/>
      <c r="CS30" s="555"/>
      <c r="CT30" s="555"/>
      <c r="CU30" s="555"/>
      <c r="CV30" s="555"/>
      <c r="CW30" s="555"/>
      <c r="CX30" s="555"/>
      <c r="CY30" s="555"/>
      <c r="CZ30" s="555"/>
      <c r="DA30" s="555"/>
      <c r="DB30" s="555"/>
      <c r="DC30" s="555"/>
      <c r="DD30" s="555"/>
      <c r="DE30" s="555"/>
      <c r="DF30" s="555"/>
      <c r="DG30" s="555"/>
      <c r="DH30" s="555"/>
      <c r="DI30" s="555"/>
      <c r="DJ30" s="555"/>
      <c r="DK30" s="555"/>
      <c r="DL30" s="555"/>
      <c r="DM30" s="555"/>
      <c r="DN30" s="555"/>
      <c r="DO30" s="555"/>
      <c r="DP30" s="555"/>
      <c r="DQ30" s="555"/>
      <c r="DR30" s="555"/>
      <c r="DS30" s="555"/>
      <c r="DT30" s="555"/>
      <c r="DU30" s="555"/>
      <c r="DV30" s="555"/>
      <c r="DW30" s="555"/>
      <c r="DX30" s="555"/>
      <c r="DY30" s="555"/>
      <c r="DZ30" s="555"/>
      <c r="EA30" s="555"/>
      <c r="EB30" s="555"/>
      <c r="EC30" s="555"/>
      <c r="ED30" s="555"/>
      <c r="EE30" s="555"/>
      <c r="EF30" s="555"/>
      <c r="EG30" s="555"/>
      <c r="EH30" s="555"/>
      <c r="EI30" s="555"/>
      <c r="EJ30" s="555"/>
      <c r="EK30" s="555"/>
      <c r="EL30" s="555"/>
      <c r="EM30" s="555"/>
      <c r="EN30" s="555"/>
      <c r="EO30" s="555"/>
      <c r="EP30" s="555"/>
      <c r="EQ30" s="555"/>
      <c r="ER30" s="555"/>
      <c r="ES30" s="555"/>
      <c r="ET30" s="555"/>
      <c r="EU30" s="555"/>
      <c r="EV30" s="555"/>
      <c r="EW30" s="555"/>
      <c r="EX30" s="555"/>
      <c r="EY30" s="555"/>
      <c r="EZ30" s="555"/>
      <c r="FA30" s="555"/>
      <c r="FB30" s="555"/>
      <c r="FC30" s="555"/>
      <c r="FD30" s="555"/>
      <c r="FE30" s="555"/>
      <c r="FF30" s="555"/>
      <c r="FG30" s="555"/>
      <c r="FH30" s="555"/>
      <c r="FI30" s="555"/>
      <c r="FJ30" s="555"/>
      <c r="FK30" s="555"/>
      <c r="FL30" s="555"/>
      <c r="FM30" s="555"/>
      <c r="FN30" s="555"/>
      <c r="FO30" s="555"/>
      <c r="FP30" s="555"/>
      <c r="FQ30" s="555"/>
      <c r="FR30" s="555"/>
      <c r="FS30" s="555"/>
      <c r="FT30" s="555"/>
      <c r="FU30" s="555"/>
      <c r="FV30" s="555"/>
      <c r="FW30" s="555"/>
      <c r="FX30" s="555"/>
      <c r="FY30" s="555"/>
      <c r="FZ30" s="555"/>
      <c r="GA30" s="555"/>
      <c r="GB30" s="555"/>
      <c r="GC30" s="555"/>
      <c r="GD30" s="555"/>
      <c r="GE30" s="555"/>
      <c r="GF30" s="555"/>
      <c r="GG30" s="555"/>
      <c r="GH30" s="555"/>
      <c r="GI30" s="555"/>
      <c r="GJ30" s="555"/>
      <c r="GK30" s="555"/>
      <c r="GL30" s="555"/>
      <c r="GM30" s="555"/>
      <c r="GN30" s="555"/>
      <c r="GO30" s="555"/>
      <c r="GP30" s="555"/>
      <c r="GQ30" s="555"/>
      <c r="GR30" s="555"/>
      <c r="GS30" s="555"/>
      <c r="GT30" s="555"/>
      <c r="GU30" s="555"/>
      <c r="GV30" s="555"/>
      <c r="GW30" s="555"/>
      <c r="GX30" s="555"/>
      <c r="GY30" s="555"/>
      <c r="GZ30" s="555"/>
      <c r="HA30" s="555"/>
      <c r="HB30" s="555"/>
      <c r="HC30" s="555"/>
      <c r="HD30" s="555"/>
      <c r="HE30" s="555"/>
      <c r="HF30" s="555"/>
      <c r="HG30" s="555"/>
      <c r="HH30" s="555"/>
      <c r="HI30" s="555"/>
      <c r="HJ30" s="555"/>
      <c r="HK30" s="555"/>
      <c r="HL30" s="555"/>
      <c r="HM30" s="555"/>
      <c r="HN30" s="555"/>
      <c r="HO30" s="555"/>
      <c r="HP30" s="555"/>
      <c r="HQ30" s="555"/>
      <c r="HR30" s="555"/>
      <c r="HS30" s="555"/>
      <c r="HT30" s="555"/>
      <c r="HU30" s="555"/>
      <c r="HV30" s="555"/>
      <c r="HW30" s="555"/>
      <c r="HX30" s="555"/>
      <c r="HY30" s="555"/>
      <c r="HZ30" s="555"/>
      <c r="IA30" s="555"/>
      <c r="IB30" s="555"/>
      <c r="IC30" s="555"/>
      <c r="ID30" s="555"/>
      <c r="IE30" s="555"/>
      <c r="IF30" s="555"/>
      <c r="IG30" s="555"/>
      <c r="IH30" s="555"/>
      <c r="II30" s="555"/>
      <c r="IJ30" s="555"/>
      <c r="IK30" s="555"/>
      <c r="IL30" s="555"/>
      <c r="IM30" s="555"/>
      <c r="IN30" s="555"/>
      <c r="IO30" s="555"/>
      <c r="IP30" s="555"/>
      <c r="IQ30" s="555"/>
      <c r="IR30" s="555"/>
      <c r="IS30" s="555"/>
      <c r="IT30" s="555"/>
      <c r="IU30" s="555"/>
      <c r="IV30" s="555"/>
      <c r="IW30" s="555"/>
    </row>
    <row r="31" customFormat="false" ht="18.75" hidden="false" customHeight="true" outlineLevel="0" collapsed="false">
      <c r="A31" s="666" t="s">
        <v>591</v>
      </c>
      <c r="B31" s="667" t="s">
        <v>592</v>
      </c>
      <c r="C31" s="667"/>
      <c r="D31" s="667"/>
      <c r="E31" s="667"/>
      <c r="F31" s="667"/>
      <c r="G31" s="667"/>
      <c r="H31" s="667"/>
      <c r="I31" s="667"/>
      <c r="J31" s="667"/>
      <c r="K31" s="667"/>
      <c r="L31" s="667"/>
      <c r="M31" s="555"/>
      <c r="N31" s="555"/>
      <c r="O31" s="555"/>
      <c r="P31" s="555"/>
      <c r="Q31" s="555"/>
      <c r="R31" s="555"/>
      <c r="S31" s="555"/>
      <c r="T31" s="555"/>
      <c r="U31" s="555"/>
      <c r="V31" s="555"/>
      <c r="W31" s="555"/>
      <c r="X31" s="555"/>
      <c r="Y31" s="555"/>
      <c r="Z31" s="555"/>
      <c r="AA31" s="555"/>
      <c r="AB31" s="555"/>
      <c r="AC31" s="555"/>
      <c r="AD31" s="555"/>
      <c r="AE31" s="555"/>
      <c r="AF31" s="555"/>
      <c r="AG31" s="555"/>
      <c r="AH31" s="555"/>
      <c r="AI31" s="555"/>
      <c r="AJ31" s="555"/>
      <c r="AK31" s="555"/>
      <c r="AL31" s="555"/>
      <c r="AM31" s="555"/>
      <c r="AN31" s="555"/>
      <c r="AO31" s="555"/>
      <c r="AP31" s="555"/>
      <c r="AQ31" s="555"/>
      <c r="AR31" s="555"/>
      <c r="AS31" s="555"/>
      <c r="AT31" s="555"/>
      <c r="AU31" s="555"/>
      <c r="AV31" s="555"/>
      <c r="AW31" s="555"/>
      <c r="AX31" s="555"/>
      <c r="AY31" s="555"/>
      <c r="AZ31" s="555"/>
      <c r="BA31" s="555"/>
      <c r="BB31" s="555"/>
      <c r="BC31" s="555"/>
      <c r="BD31" s="555"/>
      <c r="BE31" s="555"/>
      <c r="BF31" s="555"/>
      <c r="BG31" s="555"/>
      <c r="BH31" s="555"/>
      <c r="BI31" s="555"/>
      <c r="BJ31" s="555"/>
      <c r="BK31" s="555"/>
      <c r="BL31" s="555"/>
      <c r="BM31" s="555"/>
      <c r="BN31" s="555"/>
      <c r="BO31" s="555"/>
      <c r="BP31" s="555"/>
      <c r="BQ31" s="555"/>
      <c r="BR31" s="555"/>
      <c r="BS31" s="555"/>
      <c r="BT31" s="555"/>
      <c r="BU31" s="555"/>
      <c r="BV31" s="555"/>
      <c r="BW31" s="555"/>
      <c r="BX31" s="555"/>
      <c r="BY31" s="555"/>
      <c r="BZ31" s="555"/>
      <c r="CA31" s="555"/>
      <c r="CB31" s="555"/>
      <c r="CC31" s="555"/>
      <c r="CD31" s="555"/>
      <c r="CE31" s="555"/>
      <c r="CF31" s="555"/>
      <c r="CG31" s="555"/>
      <c r="CH31" s="555"/>
      <c r="CI31" s="555"/>
      <c r="CJ31" s="555"/>
      <c r="CK31" s="555"/>
      <c r="CL31" s="555"/>
      <c r="CM31" s="555"/>
      <c r="CN31" s="555"/>
      <c r="CO31" s="555"/>
      <c r="CP31" s="555"/>
      <c r="CQ31" s="555"/>
      <c r="CR31" s="555"/>
      <c r="CS31" s="555"/>
      <c r="CT31" s="555"/>
      <c r="CU31" s="555"/>
      <c r="CV31" s="555"/>
      <c r="CW31" s="555"/>
      <c r="CX31" s="555"/>
      <c r="CY31" s="555"/>
      <c r="CZ31" s="555"/>
      <c r="DA31" s="555"/>
      <c r="DB31" s="555"/>
      <c r="DC31" s="555"/>
      <c r="DD31" s="555"/>
      <c r="DE31" s="555"/>
      <c r="DF31" s="555"/>
      <c r="DG31" s="555"/>
      <c r="DH31" s="555"/>
      <c r="DI31" s="555"/>
      <c r="DJ31" s="555"/>
      <c r="DK31" s="555"/>
      <c r="DL31" s="555"/>
      <c r="DM31" s="555"/>
      <c r="DN31" s="555"/>
      <c r="DO31" s="555"/>
      <c r="DP31" s="555"/>
      <c r="DQ31" s="555"/>
      <c r="DR31" s="555"/>
      <c r="DS31" s="555"/>
      <c r="DT31" s="555"/>
      <c r="DU31" s="555"/>
      <c r="DV31" s="555"/>
      <c r="DW31" s="555"/>
      <c r="DX31" s="555"/>
      <c r="DY31" s="555"/>
      <c r="DZ31" s="555"/>
      <c r="EA31" s="555"/>
      <c r="EB31" s="555"/>
      <c r="EC31" s="555"/>
      <c r="ED31" s="555"/>
      <c r="EE31" s="555"/>
      <c r="EF31" s="555"/>
      <c r="EG31" s="555"/>
      <c r="EH31" s="555"/>
      <c r="EI31" s="555"/>
      <c r="EJ31" s="555"/>
      <c r="EK31" s="555"/>
      <c r="EL31" s="555"/>
      <c r="EM31" s="555"/>
      <c r="EN31" s="555"/>
      <c r="EO31" s="555"/>
      <c r="EP31" s="555"/>
      <c r="EQ31" s="555"/>
      <c r="ER31" s="555"/>
      <c r="ES31" s="555"/>
      <c r="ET31" s="555"/>
      <c r="EU31" s="555"/>
      <c r="EV31" s="555"/>
      <c r="EW31" s="555"/>
      <c r="EX31" s="555"/>
      <c r="EY31" s="555"/>
      <c r="EZ31" s="555"/>
      <c r="FA31" s="555"/>
      <c r="FB31" s="555"/>
      <c r="FC31" s="555"/>
      <c r="FD31" s="555"/>
      <c r="FE31" s="555"/>
      <c r="FF31" s="555"/>
      <c r="FG31" s="555"/>
      <c r="FH31" s="555"/>
      <c r="FI31" s="555"/>
      <c r="FJ31" s="555"/>
      <c r="FK31" s="555"/>
      <c r="FL31" s="555"/>
      <c r="FM31" s="555"/>
      <c r="FN31" s="555"/>
      <c r="FO31" s="555"/>
      <c r="FP31" s="555"/>
      <c r="FQ31" s="555"/>
      <c r="FR31" s="555"/>
      <c r="FS31" s="555"/>
      <c r="FT31" s="555"/>
      <c r="FU31" s="555"/>
      <c r="FV31" s="555"/>
      <c r="FW31" s="555"/>
      <c r="FX31" s="555"/>
      <c r="FY31" s="555"/>
      <c r="FZ31" s="555"/>
      <c r="GA31" s="555"/>
      <c r="GB31" s="555"/>
      <c r="GC31" s="555"/>
      <c r="GD31" s="555"/>
      <c r="GE31" s="555"/>
      <c r="GF31" s="555"/>
      <c r="GG31" s="555"/>
      <c r="GH31" s="555"/>
      <c r="GI31" s="555"/>
      <c r="GJ31" s="555"/>
      <c r="GK31" s="555"/>
      <c r="GL31" s="555"/>
      <c r="GM31" s="555"/>
      <c r="GN31" s="555"/>
      <c r="GO31" s="555"/>
      <c r="GP31" s="555"/>
      <c r="GQ31" s="555"/>
      <c r="GR31" s="555"/>
      <c r="GS31" s="555"/>
      <c r="GT31" s="555"/>
      <c r="GU31" s="555"/>
      <c r="GV31" s="555"/>
      <c r="GW31" s="555"/>
      <c r="GX31" s="555"/>
      <c r="GY31" s="555"/>
      <c r="GZ31" s="555"/>
      <c r="HA31" s="555"/>
      <c r="HB31" s="555"/>
      <c r="HC31" s="555"/>
      <c r="HD31" s="555"/>
      <c r="HE31" s="555"/>
      <c r="HF31" s="555"/>
      <c r="HG31" s="555"/>
      <c r="HH31" s="555"/>
      <c r="HI31" s="555"/>
      <c r="HJ31" s="555"/>
      <c r="HK31" s="555"/>
      <c r="HL31" s="555"/>
      <c r="HM31" s="555"/>
      <c r="HN31" s="555"/>
      <c r="HO31" s="555"/>
      <c r="HP31" s="555"/>
      <c r="HQ31" s="555"/>
      <c r="HR31" s="555"/>
      <c r="HS31" s="555"/>
      <c r="HT31" s="555"/>
      <c r="HU31" s="555"/>
      <c r="HV31" s="555"/>
      <c r="HW31" s="555"/>
      <c r="HX31" s="555"/>
      <c r="HY31" s="555"/>
      <c r="HZ31" s="555"/>
      <c r="IA31" s="555"/>
      <c r="IB31" s="555"/>
      <c r="IC31" s="555"/>
      <c r="ID31" s="555"/>
      <c r="IE31" s="555"/>
      <c r="IF31" s="555"/>
      <c r="IG31" s="555"/>
      <c r="IH31" s="555"/>
      <c r="II31" s="555"/>
      <c r="IJ31" s="555"/>
      <c r="IK31" s="555"/>
      <c r="IL31" s="555"/>
      <c r="IM31" s="555"/>
      <c r="IN31" s="555"/>
      <c r="IO31" s="555"/>
      <c r="IP31" s="555"/>
      <c r="IQ31" s="555"/>
      <c r="IR31" s="555"/>
      <c r="IS31" s="555"/>
      <c r="IT31" s="555"/>
      <c r="IU31" s="555"/>
      <c r="IV31" s="555"/>
      <c r="IW31" s="555"/>
    </row>
    <row r="32" customFormat="false" ht="18.75" hidden="false" customHeight="true" outlineLevel="0" collapsed="false">
      <c r="A32" s="666"/>
      <c r="B32" s="668" t="s">
        <v>593</v>
      </c>
      <c r="C32" s="668"/>
      <c r="D32" s="668"/>
      <c r="E32" s="668"/>
      <c r="F32" s="668"/>
      <c r="G32" s="668"/>
      <c r="H32" s="668"/>
      <c r="I32" s="668"/>
      <c r="J32" s="668"/>
      <c r="K32" s="668"/>
      <c r="L32" s="668"/>
      <c r="M32" s="555"/>
      <c r="N32" s="555"/>
      <c r="O32" s="555"/>
      <c r="P32" s="555"/>
      <c r="Q32" s="555"/>
      <c r="R32" s="555"/>
      <c r="S32" s="555"/>
      <c r="T32" s="555"/>
      <c r="U32" s="555"/>
      <c r="V32" s="555"/>
      <c r="W32" s="555"/>
      <c r="X32" s="555"/>
      <c r="Y32" s="555"/>
      <c r="Z32" s="555"/>
      <c r="AA32" s="555"/>
      <c r="AB32" s="555"/>
      <c r="AC32" s="555"/>
      <c r="AD32" s="555"/>
      <c r="AE32" s="555"/>
      <c r="AF32" s="555"/>
      <c r="AG32" s="555"/>
      <c r="AH32" s="555"/>
      <c r="AI32" s="555"/>
      <c r="AJ32" s="555"/>
      <c r="AK32" s="555"/>
      <c r="AL32" s="555"/>
      <c r="AM32" s="555"/>
      <c r="AN32" s="555"/>
      <c r="AO32" s="555"/>
      <c r="AP32" s="555"/>
      <c r="AQ32" s="555"/>
      <c r="AR32" s="555"/>
      <c r="AS32" s="555"/>
      <c r="AT32" s="555"/>
      <c r="AU32" s="555"/>
      <c r="AV32" s="555"/>
      <c r="AW32" s="555"/>
      <c r="AX32" s="555"/>
      <c r="AY32" s="555"/>
      <c r="AZ32" s="555"/>
      <c r="BA32" s="555"/>
      <c r="BB32" s="555"/>
      <c r="BC32" s="555"/>
      <c r="BD32" s="555"/>
      <c r="BE32" s="555"/>
      <c r="BF32" s="555"/>
      <c r="BG32" s="555"/>
      <c r="BH32" s="555"/>
      <c r="BI32" s="555"/>
      <c r="BJ32" s="555"/>
      <c r="BK32" s="555"/>
      <c r="BL32" s="555"/>
      <c r="BM32" s="555"/>
      <c r="BN32" s="555"/>
      <c r="BO32" s="555"/>
      <c r="BP32" s="555"/>
      <c r="BQ32" s="555"/>
      <c r="BR32" s="555"/>
      <c r="BS32" s="555"/>
      <c r="BT32" s="555"/>
      <c r="BU32" s="555"/>
      <c r="BV32" s="555"/>
      <c r="BW32" s="555"/>
      <c r="BX32" s="555"/>
      <c r="BY32" s="555"/>
      <c r="BZ32" s="555"/>
      <c r="CA32" s="555"/>
      <c r="CB32" s="555"/>
      <c r="CC32" s="555"/>
      <c r="CD32" s="555"/>
      <c r="CE32" s="555"/>
      <c r="CF32" s="555"/>
      <c r="CG32" s="555"/>
      <c r="CH32" s="555"/>
      <c r="CI32" s="555"/>
      <c r="CJ32" s="555"/>
      <c r="CK32" s="555"/>
      <c r="CL32" s="555"/>
      <c r="CM32" s="555"/>
      <c r="CN32" s="555"/>
      <c r="CO32" s="555"/>
      <c r="CP32" s="555"/>
      <c r="CQ32" s="555"/>
      <c r="CR32" s="555"/>
      <c r="CS32" s="555"/>
      <c r="CT32" s="555"/>
      <c r="CU32" s="555"/>
      <c r="CV32" s="555"/>
      <c r="CW32" s="555"/>
      <c r="CX32" s="555"/>
      <c r="CY32" s="555"/>
      <c r="CZ32" s="555"/>
      <c r="DA32" s="555"/>
      <c r="DB32" s="555"/>
      <c r="DC32" s="555"/>
      <c r="DD32" s="555"/>
      <c r="DE32" s="555"/>
      <c r="DF32" s="555"/>
      <c r="DG32" s="555"/>
      <c r="DH32" s="555"/>
      <c r="DI32" s="555"/>
      <c r="DJ32" s="555"/>
      <c r="DK32" s="555"/>
      <c r="DL32" s="555"/>
      <c r="DM32" s="555"/>
      <c r="DN32" s="555"/>
      <c r="DO32" s="555"/>
      <c r="DP32" s="555"/>
      <c r="DQ32" s="555"/>
      <c r="DR32" s="555"/>
      <c r="DS32" s="555"/>
      <c r="DT32" s="555"/>
      <c r="DU32" s="555"/>
      <c r="DV32" s="555"/>
      <c r="DW32" s="555"/>
      <c r="DX32" s="555"/>
      <c r="DY32" s="555"/>
      <c r="DZ32" s="555"/>
      <c r="EA32" s="555"/>
      <c r="EB32" s="555"/>
      <c r="EC32" s="555"/>
      <c r="ED32" s="555"/>
      <c r="EE32" s="555"/>
      <c r="EF32" s="555"/>
      <c r="EG32" s="555"/>
      <c r="EH32" s="555"/>
      <c r="EI32" s="555"/>
      <c r="EJ32" s="555"/>
      <c r="EK32" s="555"/>
      <c r="EL32" s="555"/>
      <c r="EM32" s="555"/>
      <c r="EN32" s="555"/>
      <c r="EO32" s="555"/>
      <c r="EP32" s="555"/>
      <c r="EQ32" s="555"/>
      <c r="ER32" s="555"/>
      <c r="ES32" s="555"/>
      <c r="ET32" s="555"/>
      <c r="EU32" s="555"/>
      <c r="EV32" s="555"/>
      <c r="EW32" s="555"/>
      <c r="EX32" s="555"/>
      <c r="EY32" s="555"/>
      <c r="EZ32" s="555"/>
      <c r="FA32" s="555"/>
      <c r="FB32" s="555"/>
      <c r="FC32" s="555"/>
      <c r="FD32" s="555"/>
      <c r="FE32" s="555"/>
      <c r="FF32" s="555"/>
      <c r="FG32" s="555"/>
      <c r="FH32" s="555"/>
      <c r="FI32" s="555"/>
      <c r="FJ32" s="555"/>
      <c r="FK32" s="555"/>
      <c r="FL32" s="555"/>
      <c r="FM32" s="555"/>
      <c r="FN32" s="555"/>
      <c r="FO32" s="555"/>
      <c r="FP32" s="555"/>
      <c r="FQ32" s="555"/>
      <c r="FR32" s="555"/>
      <c r="FS32" s="555"/>
      <c r="FT32" s="555"/>
      <c r="FU32" s="555"/>
      <c r="FV32" s="555"/>
      <c r="FW32" s="555"/>
      <c r="FX32" s="555"/>
      <c r="FY32" s="555"/>
      <c r="FZ32" s="555"/>
      <c r="GA32" s="555"/>
      <c r="GB32" s="555"/>
      <c r="GC32" s="555"/>
      <c r="GD32" s="555"/>
      <c r="GE32" s="555"/>
      <c r="GF32" s="555"/>
      <c r="GG32" s="555"/>
      <c r="GH32" s="555"/>
      <c r="GI32" s="555"/>
      <c r="GJ32" s="555"/>
      <c r="GK32" s="555"/>
      <c r="GL32" s="555"/>
      <c r="GM32" s="555"/>
      <c r="GN32" s="555"/>
      <c r="GO32" s="555"/>
      <c r="GP32" s="555"/>
      <c r="GQ32" s="555"/>
      <c r="GR32" s="555"/>
      <c r="GS32" s="555"/>
      <c r="GT32" s="555"/>
      <c r="GU32" s="555"/>
      <c r="GV32" s="555"/>
      <c r="GW32" s="555"/>
      <c r="GX32" s="555"/>
      <c r="GY32" s="555"/>
      <c r="GZ32" s="555"/>
      <c r="HA32" s="555"/>
      <c r="HB32" s="555"/>
      <c r="HC32" s="555"/>
      <c r="HD32" s="555"/>
      <c r="HE32" s="555"/>
      <c r="HF32" s="555"/>
      <c r="HG32" s="555"/>
      <c r="HH32" s="555"/>
      <c r="HI32" s="555"/>
      <c r="HJ32" s="555"/>
      <c r="HK32" s="555"/>
      <c r="HL32" s="555"/>
      <c r="HM32" s="555"/>
      <c r="HN32" s="555"/>
      <c r="HO32" s="555"/>
      <c r="HP32" s="555"/>
      <c r="HQ32" s="555"/>
      <c r="HR32" s="555"/>
      <c r="HS32" s="555"/>
      <c r="HT32" s="555"/>
      <c r="HU32" s="555"/>
      <c r="HV32" s="555"/>
      <c r="HW32" s="555"/>
      <c r="HX32" s="555"/>
      <c r="HY32" s="555"/>
      <c r="HZ32" s="555"/>
      <c r="IA32" s="555"/>
      <c r="IB32" s="555"/>
      <c r="IC32" s="555"/>
      <c r="ID32" s="555"/>
      <c r="IE32" s="555"/>
      <c r="IF32" s="555"/>
      <c r="IG32" s="555"/>
      <c r="IH32" s="555"/>
      <c r="II32" s="555"/>
      <c r="IJ32" s="555"/>
      <c r="IK32" s="555"/>
      <c r="IL32" s="555"/>
      <c r="IM32" s="555"/>
      <c r="IN32" s="555"/>
      <c r="IO32" s="555"/>
      <c r="IP32" s="555"/>
      <c r="IQ32" s="555"/>
      <c r="IR32" s="555"/>
      <c r="IS32" s="555"/>
      <c r="IT32" s="555"/>
      <c r="IU32" s="555"/>
      <c r="IV32" s="555"/>
      <c r="IW32" s="555"/>
    </row>
    <row r="33" customFormat="false" ht="18" hidden="false" customHeight="true" outlineLevel="0" collapsed="false">
      <c r="A33" s="627" t="s">
        <v>545</v>
      </c>
      <c r="B33" s="627"/>
      <c r="C33" s="627"/>
      <c r="D33" s="627"/>
      <c r="E33" s="627"/>
      <c r="F33" s="627"/>
      <c r="G33" s="627"/>
      <c r="H33" s="627"/>
      <c r="I33" s="627"/>
      <c r="J33" s="627"/>
      <c r="K33" s="627"/>
      <c r="L33" s="627"/>
      <c r="M33" s="555"/>
      <c r="N33" s="555"/>
      <c r="O33" s="555"/>
      <c r="P33" s="555"/>
      <c r="Q33" s="555"/>
      <c r="R33" s="555"/>
      <c r="S33" s="55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c r="AW33" s="555"/>
      <c r="AX33" s="555"/>
      <c r="AY33" s="555"/>
      <c r="AZ33" s="555"/>
      <c r="BA33" s="555"/>
      <c r="BB33" s="555"/>
      <c r="BC33" s="555"/>
      <c r="BD33" s="555"/>
      <c r="BE33" s="555"/>
      <c r="BF33" s="555"/>
      <c r="BG33" s="555"/>
      <c r="BH33" s="555"/>
      <c r="BI33" s="555"/>
      <c r="BJ33" s="555"/>
      <c r="BK33" s="555"/>
      <c r="BL33" s="555"/>
      <c r="BM33" s="555"/>
      <c r="BN33" s="555"/>
      <c r="BO33" s="555"/>
      <c r="BP33" s="555"/>
      <c r="BQ33" s="555"/>
      <c r="BR33" s="555"/>
      <c r="BS33" s="555"/>
      <c r="BT33" s="555"/>
      <c r="BU33" s="555"/>
      <c r="BV33" s="555"/>
      <c r="BW33" s="555"/>
      <c r="BX33" s="555"/>
      <c r="BY33" s="555"/>
      <c r="BZ33" s="555"/>
      <c r="CA33" s="555"/>
      <c r="CB33" s="555"/>
      <c r="CC33" s="555"/>
      <c r="CD33" s="555"/>
      <c r="CE33" s="555"/>
      <c r="CF33" s="555"/>
      <c r="CG33" s="555"/>
      <c r="CH33" s="555"/>
      <c r="CI33" s="555"/>
      <c r="CJ33" s="555"/>
      <c r="CK33" s="555"/>
      <c r="CL33" s="555"/>
      <c r="CM33" s="555"/>
      <c r="CN33" s="555"/>
      <c r="CO33" s="555"/>
      <c r="CP33" s="555"/>
      <c r="CQ33" s="555"/>
      <c r="CR33" s="555"/>
      <c r="CS33" s="555"/>
      <c r="CT33" s="555"/>
      <c r="CU33" s="555"/>
      <c r="CV33" s="555"/>
      <c r="CW33" s="555"/>
      <c r="CX33" s="555"/>
      <c r="CY33" s="555"/>
      <c r="CZ33" s="555"/>
      <c r="DA33" s="555"/>
      <c r="DB33" s="555"/>
      <c r="DC33" s="555"/>
      <c r="DD33" s="555"/>
      <c r="DE33" s="555"/>
      <c r="DF33" s="555"/>
      <c r="DG33" s="555"/>
      <c r="DH33" s="555"/>
      <c r="DI33" s="555"/>
      <c r="DJ33" s="555"/>
      <c r="DK33" s="555"/>
      <c r="DL33" s="555"/>
      <c r="DM33" s="555"/>
      <c r="DN33" s="555"/>
      <c r="DO33" s="555"/>
      <c r="DP33" s="555"/>
      <c r="DQ33" s="555"/>
      <c r="DR33" s="555"/>
      <c r="DS33" s="555"/>
      <c r="DT33" s="555"/>
      <c r="DU33" s="555"/>
      <c r="DV33" s="555"/>
      <c r="DW33" s="555"/>
      <c r="DX33" s="555"/>
      <c r="DY33" s="555"/>
      <c r="DZ33" s="555"/>
      <c r="EA33" s="555"/>
      <c r="EB33" s="555"/>
      <c r="EC33" s="555"/>
      <c r="ED33" s="555"/>
      <c r="EE33" s="555"/>
      <c r="EF33" s="555"/>
      <c r="EG33" s="555"/>
      <c r="EH33" s="555"/>
      <c r="EI33" s="555"/>
      <c r="EJ33" s="555"/>
      <c r="EK33" s="555"/>
      <c r="EL33" s="555"/>
      <c r="EM33" s="555"/>
      <c r="EN33" s="555"/>
      <c r="EO33" s="555"/>
      <c r="EP33" s="555"/>
      <c r="EQ33" s="555"/>
      <c r="ER33" s="555"/>
      <c r="ES33" s="555"/>
      <c r="ET33" s="555"/>
      <c r="EU33" s="555"/>
      <c r="EV33" s="555"/>
      <c r="EW33" s="555"/>
      <c r="EX33" s="555"/>
      <c r="EY33" s="555"/>
      <c r="EZ33" s="555"/>
      <c r="FA33" s="555"/>
      <c r="FB33" s="555"/>
      <c r="FC33" s="555"/>
      <c r="FD33" s="555"/>
      <c r="FE33" s="555"/>
      <c r="FF33" s="555"/>
      <c r="FG33" s="555"/>
      <c r="FH33" s="555"/>
      <c r="FI33" s="555"/>
      <c r="FJ33" s="555"/>
      <c r="FK33" s="555"/>
      <c r="FL33" s="555"/>
      <c r="FM33" s="555"/>
      <c r="FN33" s="555"/>
      <c r="FO33" s="555"/>
      <c r="FP33" s="555"/>
      <c r="FQ33" s="555"/>
      <c r="FR33" s="555"/>
      <c r="FS33" s="555"/>
      <c r="FT33" s="555"/>
      <c r="FU33" s="555"/>
      <c r="FV33" s="555"/>
      <c r="FW33" s="555"/>
      <c r="FX33" s="555"/>
      <c r="FY33" s="555"/>
      <c r="FZ33" s="555"/>
      <c r="GA33" s="555"/>
      <c r="GB33" s="555"/>
      <c r="GC33" s="555"/>
      <c r="GD33" s="555"/>
      <c r="GE33" s="555"/>
      <c r="GF33" s="555"/>
      <c r="GG33" s="555"/>
      <c r="GH33" s="555"/>
      <c r="GI33" s="555"/>
      <c r="GJ33" s="555"/>
      <c r="GK33" s="555"/>
      <c r="GL33" s="555"/>
      <c r="GM33" s="555"/>
      <c r="GN33" s="555"/>
      <c r="GO33" s="555"/>
      <c r="GP33" s="555"/>
      <c r="GQ33" s="555"/>
      <c r="GR33" s="555"/>
      <c r="GS33" s="555"/>
      <c r="GT33" s="555"/>
      <c r="GU33" s="555"/>
      <c r="GV33" s="555"/>
      <c r="GW33" s="555"/>
      <c r="GX33" s="555"/>
      <c r="GY33" s="555"/>
      <c r="GZ33" s="555"/>
      <c r="HA33" s="555"/>
      <c r="HB33" s="555"/>
      <c r="HC33" s="555"/>
      <c r="HD33" s="555"/>
      <c r="HE33" s="555"/>
      <c r="HF33" s="555"/>
      <c r="HG33" s="555"/>
      <c r="HH33" s="555"/>
      <c r="HI33" s="555"/>
      <c r="HJ33" s="555"/>
      <c r="HK33" s="555"/>
      <c r="HL33" s="555"/>
      <c r="HM33" s="555"/>
      <c r="HN33" s="555"/>
      <c r="HO33" s="555"/>
      <c r="HP33" s="555"/>
      <c r="HQ33" s="555"/>
      <c r="HR33" s="555"/>
      <c r="HS33" s="555"/>
      <c r="HT33" s="555"/>
      <c r="HU33" s="555"/>
      <c r="HV33" s="555"/>
      <c r="HW33" s="555"/>
      <c r="HX33" s="555"/>
      <c r="HY33" s="555"/>
      <c r="HZ33" s="555"/>
      <c r="IA33" s="555"/>
      <c r="IB33" s="555"/>
      <c r="IC33" s="555"/>
      <c r="ID33" s="555"/>
      <c r="IE33" s="555"/>
      <c r="IF33" s="555"/>
      <c r="IG33" s="555"/>
      <c r="IH33" s="555"/>
      <c r="II33" s="555"/>
      <c r="IJ33" s="555"/>
      <c r="IK33" s="555"/>
      <c r="IL33" s="555"/>
      <c r="IM33" s="555"/>
      <c r="IN33" s="555"/>
      <c r="IO33" s="555"/>
      <c r="IP33" s="555"/>
      <c r="IQ33" s="555"/>
      <c r="IR33" s="555"/>
      <c r="IS33" s="555"/>
      <c r="IT33" s="555"/>
      <c r="IU33" s="555"/>
      <c r="IV33" s="555"/>
      <c r="IW33" s="555"/>
    </row>
    <row r="34" customFormat="false" ht="26.25" hidden="false" customHeight="true" outlineLevel="0" collapsed="false">
      <c r="A34" s="628" t="s">
        <v>594</v>
      </c>
      <c r="B34" s="669" t="s">
        <v>595</v>
      </c>
      <c r="C34" s="669"/>
      <c r="D34" s="669"/>
      <c r="E34" s="669"/>
      <c r="F34" s="669"/>
      <c r="G34" s="669"/>
      <c r="H34" s="669"/>
      <c r="I34" s="669"/>
      <c r="J34" s="669"/>
      <c r="K34" s="669"/>
      <c r="L34" s="669"/>
      <c r="M34" s="555"/>
      <c r="N34" s="555"/>
      <c r="O34" s="555"/>
      <c r="P34" s="555"/>
      <c r="Q34" s="555"/>
      <c r="R34" s="555"/>
      <c r="S34" s="555"/>
      <c r="T34" s="555"/>
      <c r="U34" s="555"/>
      <c r="V34" s="555"/>
      <c r="W34" s="555"/>
      <c r="X34" s="555"/>
      <c r="Y34" s="555"/>
      <c r="Z34" s="555"/>
      <c r="AA34" s="555"/>
      <c r="AB34" s="555"/>
      <c r="AC34" s="555"/>
      <c r="AD34" s="555"/>
      <c r="AE34" s="555"/>
      <c r="AF34" s="555"/>
      <c r="AG34" s="555"/>
      <c r="AH34" s="555"/>
      <c r="AI34" s="555"/>
      <c r="AJ34" s="555"/>
      <c r="AK34" s="555"/>
      <c r="AL34" s="555"/>
      <c r="AM34" s="555"/>
      <c r="AN34" s="555"/>
      <c r="AO34" s="555"/>
      <c r="AP34" s="555"/>
      <c r="AQ34" s="555"/>
      <c r="AR34" s="555"/>
      <c r="AS34" s="555"/>
      <c r="AT34" s="555"/>
      <c r="AU34" s="555"/>
      <c r="AV34" s="555"/>
      <c r="AW34" s="555"/>
      <c r="AX34" s="555"/>
      <c r="AY34" s="555"/>
      <c r="AZ34" s="555"/>
      <c r="BA34" s="555"/>
      <c r="BB34" s="555"/>
      <c r="BC34" s="555"/>
      <c r="BD34" s="555"/>
      <c r="BE34" s="555"/>
      <c r="BF34" s="555"/>
      <c r="BG34" s="555"/>
      <c r="BH34" s="555"/>
      <c r="BI34" s="555"/>
      <c r="BJ34" s="555"/>
      <c r="BK34" s="555"/>
      <c r="BL34" s="555"/>
      <c r="BM34" s="555"/>
      <c r="BN34" s="555"/>
      <c r="BO34" s="555"/>
      <c r="BP34" s="555"/>
      <c r="BQ34" s="555"/>
      <c r="BR34" s="555"/>
      <c r="BS34" s="555"/>
      <c r="BT34" s="555"/>
      <c r="BU34" s="555"/>
      <c r="BV34" s="555"/>
      <c r="BW34" s="555"/>
      <c r="BX34" s="555"/>
      <c r="BY34" s="555"/>
      <c r="BZ34" s="555"/>
      <c r="CA34" s="555"/>
      <c r="CB34" s="555"/>
      <c r="CC34" s="555"/>
      <c r="CD34" s="555"/>
      <c r="CE34" s="555"/>
      <c r="CF34" s="555"/>
      <c r="CG34" s="555"/>
      <c r="CH34" s="555"/>
      <c r="CI34" s="555"/>
      <c r="CJ34" s="555"/>
      <c r="CK34" s="555"/>
      <c r="CL34" s="555"/>
      <c r="CM34" s="555"/>
      <c r="CN34" s="555"/>
      <c r="CO34" s="555"/>
      <c r="CP34" s="555"/>
      <c r="CQ34" s="555"/>
      <c r="CR34" s="555"/>
      <c r="CS34" s="555"/>
      <c r="CT34" s="555"/>
      <c r="CU34" s="555"/>
      <c r="CV34" s="555"/>
      <c r="CW34" s="555"/>
      <c r="CX34" s="555"/>
      <c r="CY34" s="555"/>
      <c r="CZ34" s="555"/>
      <c r="DA34" s="555"/>
      <c r="DB34" s="555"/>
      <c r="DC34" s="555"/>
      <c r="DD34" s="555"/>
      <c r="DE34" s="555"/>
      <c r="DF34" s="555"/>
      <c r="DG34" s="555"/>
      <c r="DH34" s="555"/>
      <c r="DI34" s="555"/>
      <c r="DJ34" s="555"/>
      <c r="DK34" s="555"/>
      <c r="DL34" s="555"/>
      <c r="DM34" s="555"/>
      <c r="DN34" s="555"/>
      <c r="DO34" s="555"/>
      <c r="DP34" s="555"/>
      <c r="DQ34" s="555"/>
      <c r="DR34" s="555"/>
      <c r="DS34" s="555"/>
      <c r="DT34" s="555"/>
      <c r="DU34" s="555"/>
      <c r="DV34" s="555"/>
      <c r="DW34" s="555"/>
      <c r="DX34" s="555"/>
      <c r="DY34" s="555"/>
      <c r="DZ34" s="555"/>
      <c r="EA34" s="555"/>
      <c r="EB34" s="555"/>
      <c r="EC34" s="555"/>
      <c r="ED34" s="555"/>
      <c r="EE34" s="555"/>
      <c r="EF34" s="555"/>
      <c r="EG34" s="555"/>
      <c r="EH34" s="555"/>
      <c r="EI34" s="555"/>
      <c r="EJ34" s="555"/>
      <c r="EK34" s="555"/>
      <c r="EL34" s="555"/>
      <c r="EM34" s="555"/>
      <c r="EN34" s="555"/>
      <c r="EO34" s="555"/>
      <c r="EP34" s="555"/>
      <c r="EQ34" s="555"/>
      <c r="ER34" s="555"/>
      <c r="ES34" s="555"/>
      <c r="ET34" s="555"/>
      <c r="EU34" s="555"/>
      <c r="EV34" s="555"/>
      <c r="EW34" s="555"/>
      <c r="EX34" s="555"/>
      <c r="EY34" s="555"/>
      <c r="EZ34" s="555"/>
      <c r="FA34" s="555"/>
      <c r="FB34" s="555"/>
      <c r="FC34" s="555"/>
      <c r="FD34" s="555"/>
      <c r="FE34" s="555"/>
      <c r="FF34" s="555"/>
      <c r="FG34" s="555"/>
      <c r="FH34" s="555"/>
      <c r="FI34" s="555"/>
      <c r="FJ34" s="555"/>
      <c r="FK34" s="555"/>
      <c r="FL34" s="555"/>
      <c r="FM34" s="555"/>
      <c r="FN34" s="555"/>
      <c r="FO34" s="555"/>
      <c r="FP34" s="555"/>
      <c r="FQ34" s="555"/>
      <c r="FR34" s="555"/>
      <c r="FS34" s="555"/>
      <c r="FT34" s="555"/>
      <c r="FU34" s="555"/>
      <c r="FV34" s="555"/>
      <c r="FW34" s="555"/>
      <c r="FX34" s="555"/>
      <c r="FY34" s="555"/>
      <c r="FZ34" s="555"/>
      <c r="GA34" s="555"/>
      <c r="GB34" s="555"/>
      <c r="GC34" s="555"/>
      <c r="GD34" s="555"/>
      <c r="GE34" s="555"/>
      <c r="GF34" s="555"/>
      <c r="GG34" s="555"/>
      <c r="GH34" s="555"/>
      <c r="GI34" s="555"/>
      <c r="GJ34" s="555"/>
      <c r="GK34" s="555"/>
      <c r="GL34" s="555"/>
      <c r="GM34" s="555"/>
      <c r="GN34" s="555"/>
      <c r="GO34" s="555"/>
      <c r="GP34" s="555"/>
      <c r="GQ34" s="555"/>
      <c r="GR34" s="555"/>
      <c r="GS34" s="555"/>
      <c r="GT34" s="555"/>
      <c r="GU34" s="555"/>
      <c r="GV34" s="555"/>
      <c r="GW34" s="555"/>
      <c r="GX34" s="555"/>
      <c r="GY34" s="555"/>
      <c r="GZ34" s="555"/>
      <c r="HA34" s="555"/>
      <c r="HB34" s="555"/>
      <c r="HC34" s="555"/>
      <c r="HD34" s="555"/>
      <c r="HE34" s="555"/>
      <c r="HF34" s="555"/>
      <c r="HG34" s="555"/>
      <c r="HH34" s="555"/>
      <c r="HI34" s="555"/>
      <c r="HJ34" s="555"/>
      <c r="HK34" s="555"/>
      <c r="HL34" s="555"/>
      <c r="HM34" s="555"/>
      <c r="HN34" s="555"/>
      <c r="HO34" s="555"/>
      <c r="HP34" s="555"/>
      <c r="HQ34" s="555"/>
      <c r="HR34" s="555"/>
      <c r="HS34" s="555"/>
      <c r="HT34" s="555"/>
      <c r="HU34" s="555"/>
      <c r="HV34" s="555"/>
      <c r="HW34" s="555"/>
      <c r="HX34" s="555"/>
      <c r="HY34" s="555"/>
      <c r="HZ34" s="555"/>
      <c r="IA34" s="555"/>
      <c r="IB34" s="555"/>
      <c r="IC34" s="555"/>
      <c r="ID34" s="555"/>
      <c r="IE34" s="555"/>
      <c r="IF34" s="555"/>
      <c r="IG34" s="555"/>
      <c r="IH34" s="555"/>
      <c r="II34" s="555"/>
      <c r="IJ34" s="555"/>
      <c r="IK34" s="555"/>
      <c r="IL34" s="555"/>
      <c r="IM34" s="555"/>
      <c r="IN34" s="555"/>
      <c r="IO34" s="555"/>
      <c r="IP34" s="555"/>
      <c r="IQ34" s="555"/>
      <c r="IR34" s="555"/>
      <c r="IS34" s="555"/>
      <c r="IT34" s="555"/>
      <c r="IU34" s="555"/>
      <c r="IV34" s="555"/>
      <c r="IW34" s="555"/>
    </row>
    <row r="35" customFormat="false" ht="9" hidden="false" customHeight="true" outlineLevel="0" collapsed="false">
      <c r="A35" s="628"/>
      <c r="B35" s="631"/>
      <c r="C35" s="631"/>
      <c r="D35" s="631"/>
      <c r="E35" s="631"/>
      <c r="F35" s="631"/>
      <c r="G35" s="631"/>
      <c r="H35" s="631"/>
      <c r="I35" s="631"/>
      <c r="J35" s="631"/>
      <c r="K35" s="631"/>
      <c r="L35" s="631"/>
      <c r="M35" s="555"/>
      <c r="N35" s="555"/>
      <c r="O35" s="555"/>
      <c r="P35" s="555"/>
      <c r="Q35" s="555"/>
      <c r="R35" s="555"/>
      <c r="S35" s="555"/>
      <c r="T35" s="555"/>
      <c r="U35" s="555"/>
      <c r="V35" s="555"/>
      <c r="W35" s="555"/>
      <c r="X35" s="555"/>
      <c r="Y35" s="555"/>
      <c r="Z35" s="555"/>
      <c r="AA35" s="555"/>
      <c r="AB35" s="555"/>
      <c r="AC35" s="555"/>
      <c r="AD35" s="555"/>
      <c r="AE35" s="555"/>
      <c r="AF35" s="555"/>
      <c r="AG35" s="555"/>
      <c r="AH35" s="555"/>
      <c r="AI35" s="555"/>
      <c r="AJ35" s="555"/>
      <c r="AK35" s="555"/>
      <c r="AL35" s="555"/>
      <c r="AM35" s="555"/>
      <c r="AN35" s="555"/>
      <c r="AO35" s="555"/>
      <c r="AP35" s="555"/>
      <c r="AQ35" s="555"/>
      <c r="AR35" s="555"/>
      <c r="AS35" s="555"/>
      <c r="AT35" s="555"/>
      <c r="AU35" s="555"/>
      <c r="AV35" s="555"/>
      <c r="AW35" s="555"/>
      <c r="AX35" s="555"/>
      <c r="AY35" s="555"/>
      <c r="AZ35" s="555"/>
      <c r="BA35" s="555"/>
      <c r="BB35" s="555"/>
      <c r="BC35" s="555"/>
      <c r="BD35" s="555"/>
      <c r="BE35" s="555"/>
      <c r="BF35" s="555"/>
      <c r="BG35" s="555"/>
      <c r="BH35" s="555"/>
      <c r="BI35" s="555"/>
      <c r="BJ35" s="555"/>
      <c r="BK35" s="555"/>
      <c r="BL35" s="555"/>
      <c r="BM35" s="555"/>
      <c r="BN35" s="555"/>
      <c r="BO35" s="555"/>
      <c r="BP35" s="555"/>
      <c r="BQ35" s="555"/>
      <c r="BR35" s="555"/>
      <c r="BS35" s="555"/>
      <c r="BT35" s="555"/>
      <c r="BU35" s="555"/>
      <c r="BV35" s="555"/>
      <c r="BW35" s="555"/>
      <c r="BX35" s="555"/>
      <c r="BY35" s="555"/>
      <c r="BZ35" s="555"/>
      <c r="CA35" s="555"/>
      <c r="CB35" s="555"/>
      <c r="CC35" s="555"/>
      <c r="CD35" s="555"/>
      <c r="CE35" s="555"/>
      <c r="CF35" s="555"/>
      <c r="CG35" s="555"/>
      <c r="CH35" s="555"/>
      <c r="CI35" s="555"/>
      <c r="CJ35" s="555"/>
      <c r="CK35" s="555"/>
      <c r="CL35" s="555"/>
      <c r="CM35" s="555"/>
      <c r="CN35" s="555"/>
      <c r="CO35" s="555"/>
      <c r="CP35" s="555"/>
      <c r="CQ35" s="555"/>
      <c r="CR35" s="555"/>
      <c r="CS35" s="555"/>
      <c r="CT35" s="555"/>
      <c r="CU35" s="555"/>
      <c r="CV35" s="555"/>
      <c r="CW35" s="555"/>
      <c r="CX35" s="555"/>
      <c r="CY35" s="555"/>
      <c r="CZ35" s="555"/>
      <c r="DA35" s="555"/>
      <c r="DB35" s="555"/>
      <c r="DC35" s="555"/>
      <c r="DD35" s="555"/>
      <c r="DE35" s="555"/>
      <c r="DF35" s="555"/>
      <c r="DG35" s="555"/>
      <c r="DH35" s="555"/>
      <c r="DI35" s="555"/>
      <c r="DJ35" s="555"/>
      <c r="DK35" s="555"/>
      <c r="DL35" s="555"/>
      <c r="DM35" s="555"/>
      <c r="DN35" s="555"/>
      <c r="DO35" s="555"/>
      <c r="DP35" s="555"/>
      <c r="DQ35" s="555"/>
      <c r="DR35" s="555"/>
      <c r="DS35" s="555"/>
      <c r="DT35" s="555"/>
      <c r="DU35" s="555"/>
      <c r="DV35" s="555"/>
      <c r="DW35" s="555"/>
      <c r="DX35" s="555"/>
      <c r="DY35" s="555"/>
      <c r="DZ35" s="555"/>
      <c r="EA35" s="555"/>
      <c r="EB35" s="555"/>
      <c r="EC35" s="555"/>
      <c r="ED35" s="555"/>
      <c r="EE35" s="555"/>
      <c r="EF35" s="555"/>
      <c r="EG35" s="555"/>
      <c r="EH35" s="555"/>
      <c r="EI35" s="555"/>
      <c r="EJ35" s="555"/>
      <c r="EK35" s="555"/>
      <c r="EL35" s="555"/>
      <c r="EM35" s="555"/>
      <c r="EN35" s="555"/>
      <c r="EO35" s="555"/>
      <c r="EP35" s="555"/>
      <c r="EQ35" s="555"/>
      <c r="ER35" s="555"/>
      <c r="ES35" s="555"/>
      <c r="ET35" s="555"/>
      <c r="EU35" s="555"/>
      <c r="EV35" s="555"/>
      <c r="EW35" s="555"/>
      <c r="EX35" s="555"/>
      <c r="EY35" s="555"/>
      <c r="EZ35" s="555"/>
      <c r="FA35" s="555"/>
      <c r="FB35" s="555"/>
      <c r="FC35" s="555"/>
      <c r="FD35" s="555"/>
      <c r="FE35" s="555"/>
      <c r="FF35" s="555"/>
      <c r="FG35" s="555"/>
      <c r="FH35" s="555"/>
      <c r="FI35" s="555"/>
      <c r="FJ35" s="555"/>
      <c r="FK35" s="555"/>
      <c r="FL35" s="555"/>
      <c r="FM35" s="555"/>
      <c r="FN35" s="555"/>
      <c r="FO35" s="555"/>
      <c r="FP35" s="555"/>
      <c r="FQ35" s="555"/>
      <c r="FR35" s="555"/>
      <c r="FS35" s="555"/>
      <c r="FT35" s="555"/>
      <c r="FU35" s="555"/>
      <c r="FV35" s="555"/>
      <c r="FW35" s="555"/>
      <c r="FX35" s="555"/>
      <c r="FY35" s="555"/>
      <c r="FZ35" s="555"/>
      <c r="GA35" s="555"/>
      <c r="GB35" s="555"/>
      <c r="GC35" s="555"/>
      <c r="GD35" s="555"/>
      <c r="GE35" s="555"/>
      <c r="GF35" s="555"/>
      <c r="GG35" s="555"/>
      <c r="GH35" s="555"/>
      <c r="GI35" s="555"/>
      <c r="GJ35" s="555"/>
      <c r="GK35" s="555"/>
      <c r="GL35" s="555"/>
      <c r="GM35" s="555"/>
      <c r="GN35" s="555"/>
      <c r="GO35" s="555"/>
      <c r="GP35" s="555"/>
      <c r="GQ35" s="555"/>
      <c r="GR35" s="555"/>
      <c r="GS35" s="555"/>
      <c r="GT35" s="555"/>
      <c r="GU35" s="555"/>
      <c r="GV35" s="555"/>
      <c r="GW35" s="555"/>
      <c r="GX35" s="555"/>
      <c r="GY35" s="555"/>
      <c r="GZ35" s="555"/>
      <c r="HA35" s="555"/>
      <c r="HB35" s="555"/>
      <c r="HC35" s="555"/>
      <c r="HD35" s="555"/>
      <c r="HE35" s="555"/>
      <c r="HF35" s="555"/>
      <c r="HG35" s="555"/>
      <c r="HH35" s="555"/>
      <c r="HI35" s="555"/>
      <c r="HJ35" s="555"/>
      <c r="HK35" s="555"/>
      <c r="HL35" s="555"/>
      <c r="HM35" s="555"/>
      <c r="HN35" s="555"/>
      <c r="HO35" s="555"/>
      <c r="HP35" s="555"/>
      <c r="HQ35" s="555"/>
      <c r="HR35" s="555"/>
      <c r="HS35" s="555"/>
      <c r="HT35" s="555"/>
      <c r="HU35" s="555"/>
      <c r="HV35" s="555"/>
      <c r="HW35" s="555"/>
      <c r="HX35" s="555"/>
      <c r="HY35" s="555"/>
      <c r="HZ35" s="555"/>
      <c r="IA35" s="555"/>
      <c r="IB35" s="555"/>
      <c r="IC35" s="555"/>
      <c r="ID35" s="555"/>
      <c r="IE35" s="555"/>
      <c r="IF35" s="555"/>
      <c r="IG35" s="555"/>
      <c r="IH35" s="555"/>
      <c r="II35" s="555"/>
      <c r="IJ35" s="555"/>
      <c r="IK35" s="555"/>
      <c r="IL35" s="555"/>
      <c r="IM35" s="555"/>
      <c r="IN35" s="555"/>
      <c r="IO35" s="555"/>
      <c r="IP35" s="555"/>
      <c r="IQ35" s="555"/>
      <c r="IR35" s="555"/>
      <c r="IS35" s="555"/>
      <c r="IT35" s="555"/>
      <c r="IU35" s="555"/>
      <c r="IV35" s="555"/>
      <c r="IW35" s="555"/>
    </row>
    <row r="36" customFormat="false" ht="26.25" hidden="false" customHeight="true" outlineLevel="0" collapsed="false">
      <c r="A36" s="628"/>
      <c r="B36" s="670" t="s">
        <v>596</v>
      </c>
      <c r="C36" s="670"/>
      <c r="D36" s="670"/>
      <c r="E36" s="670"/>
      <c r="F36" s="670"/>
      <c r="G36" s="670"/>
      <c r="H36" s="670"/>
      <c r="I36" s="670"/>
      <c r="J36" s="670"/>
      <c r="K36" s="670"/>
      <c r="L36" s="670"/>
      <c r="M36" s="555"/>
      <c r="N36" s="555"/>
      <c r="O36" s="555"/>
      <c r="P36" s="555"/>
      <c r="Q36" s="555"/>
      <c r="R36" s="555"/>
      <c r="S36" s="555"/>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c r="CX36" s="555"/>
      <c r="CY36" s="555"/>
      <c r="CZ36" s="555"/>
      <c r="DA36" s="555"/>
      <c r="DB36" s="555"/>
      <c r="DC36" s="555"/>
      <c r="DD36" s="555"/>
      <c r="DE36" s="555"/>
      <c r="DF36" s="555"/>
      <c r="DG36" s="555"/>
      <c r="DH36" s="555"/>
      <c r="DI36" s="555"/>
      <c r="DJ36" s="555"/>
      <c r="DK36" s="555"/>
      <c r="DL36" s="555"/>
      <c r="DM36" s="555"/>
      <c r="DN36" s="555"/>
      <c r="DO36" s="555"/>
      <c r="DP36" s="555"/>
      <c r="DQ36" s="555"/>
      <c r="DR36" s="555"/>
      <c r="DS36" s="555"/>
      <c r="DT36" s="555"/>
      <c r="DU36" s="555"/>
      <c r="DV36" s="555"/>
      <c r="DW36" s="555"/>
      <c r="DX36" s="555"/>
      <c r="DY36" s="555"/>
      <c r="DZ36" s="555"/>
      <c r="EA36" s="555"/>
      <c r="EB36" s="555"/>
      <c r="EC36" s="555"/>
      <c r="ED36" s="555"/>
      <c r="EE36" s="555"/>
      <c r="EF36" s="555"/>
      <c r="EG36" s="555"/>
      <c r="EH36" s="555"/>
      <c r="EI36" s="555"/>
      <c r="EJ36" s="555"/>
      <c r="EK36" s="555"/>
      <c r="EL36" s="555"/>
      <c r="EM36" s="555"/>
      <c r="EN36" s="555"/>
      <c r="EO36" s="555"/>
      <c r="EP36" s="555"/>
      <c r="EQ36" s="555"/>
      <c r="ER36" s="555"/>
      <c r="ES36" s="555"/>
      <c r="ET36" s="555"/>
      <c r="EU36" s="555"/>
      <c r="EV36" s="555"/>
      <c r="EW36" s="555"/>
      <c r="EX36" s="555"/>
      <c r="EY36" s="555"/>
      <c r="EZ36" s="555"/>
      <c r="FA36" s="555"/>
      <c r="FB36" s="555"/>
      <c r="FC36" s="555"/>
      <c r="FD36" s="555"/>
      <c r="FE36" s="555"/>
      <c r="FF36" s="555"/>
      <c r="FG36" s="555"/>
      <c r="FH36" s="555"/>
      <c r="FI36" s="555"/>
      <c r="FJ36" s="555"/>
      <c r="FK36" s="555"/>
      <c r="FL36" s="555"/>
      <c r="FM36" s="555"/>
      <c r="FN36" s="555"/>
      <c r="FO36" s="555"/>
      <c r="FP36" s="555"/>
      <c r="FQ36" s="555"/>
      <c r="FR36" s="555"/>
      <c r="FS36" s="555"/>
      <c r="FT36" s="555"/>
      <c r="FU36" s="555"/>
      <c r="FV36" s="555"/>
      <c r="FW36" s="555"/>
      <c r="FX36" s="555"/>
      <c r="FY36" s="555"/>
      <c r="FZ36" s="555"/>
      <c r="GA36" s="555"/>
      <c r="GB36" s="555"/>
      <c r="GC36" s="555"/>
      <c r="GD36" s="555"/>
      <c r="GE36" s="555"/>
      <c r="GF36" s="555"/>
      <c r="GG36" s="555"/>
      <c r="GH36" s="555"/>
      <c r="GI36" s="555"/>
      <c r="GJ36" s="555"/>
      <c r="GK36" s="555"/>
      <c r="GL36" s="555"/>
      <c r="GM36" s="555"/>
      <c r="GN36" s="555"/>
      <c r="GO36" s="555"/>
      <c r="GP36" s="555"/>
      <c r="GQ36" s="555"/>
      <c r="GR36" s="555"/>
      <c r="GS36" s="555"/>
      <c r="GT36" s="555"/>
      <c r="GU36" s="555"/>
      <c r="GV36" s="555"/>
      <c r="GW36" s="555"/>
      <c r="GX36" s="555"/>
      <c r="GY36" s="555"/>
      <c r="GZ36" s="555"/>
      <c r="HA36" s="555"/>
      <c r="HB36" s="555"/>
      <c r="HC36" s="555"/>
      <c r="HD36" s="555"/>
      <c r="HE36" s="555"/>
      <c r="HF36" s="555"/>
      <c r="HG36" s="555"/>
      <c r="HH36" s="555"/>
      <c r="HI36" s="555"/>
      <c r="HJ36" s="555"/>
      <c r="HK36" s="555"/>
      <c r="HL36" s="555"/>
      <c r="HM36" s="555"/>
      <c r="HN36" s="555"/>
      <c r="HO36" s="555"/>
      <c r="HP36" s="555"/>
      <c r="HQ36" s="555"/>
      <c r="HR36" s="555"/>
      <c r="HS36" s="555"/>
      <c r="HT36" s="555"/>
      <c r="HU36" s="555"/>
      <c r="HV36" s="555"/>
      <c r="HW36" s="555"/>
      <c r="HX36" s="555"/>
      <c r="HY36" s="555"/>
      <c r="HZ36" s="555"/>
      <c r="IA36" s="555"/>
      <c r="IB36" s="555"/>
      <c r="IC36" s="555"/>
      <c r="ID36" s="555"/>
      <c r="IE36" s="555"/>
      <c r="IF36" s="555"/>
      <c r="IG36" s="555"/>
      <c r="IH36" s="555"/>
      <c r="II36" s="555"/>
      <c r="IJ36" s="555"/>
      <c r="IK36" s="555"/>
      <c r="IL36" s="555"/>
      <c r="IM36" s="555"/>
      <c r="IN36" s="555"/>
      <c r="IO36" s="555"/>
      <c r="IP36" s="555"/>
      <c r="IQ36" s="555"/>
      <c r="IR36" s="555"/>
      <c r="IS36" s="555"/>
      <c r="IT36" s="555"/>
      <c r="IU36" s="555"/>
      <c r="IV36" s="555"/>
      <c r="IW36" s="555"/>
    </row>
    <row r="37" customFormat="false" ht="10.5" hidden="false" customHeight="true" outlineLevel="0" collapsed="false">
      <c r="A37" s="635"/>
      <c r="B37" s="635"/>
      <c r="C37" s="635"/>
      <c r="D37" s="635"/>
      <c r="E37" s="635"/>
      <c r="F37" s="636" t="s">
        <v>577</v>
      </c>
      <c r="G37" s="636"/>
      <c r="H37" s="636"/>
      <c r="I37" s="636"/>
      <c r="J37" s="636"/>
      <c r="K37" s="636"/>
      <c r="L37" s="636"/>
      <c r="M37" s="555"/>
      <c r="N37" s="555"/>
      <c r="O37" s="555"/>
      <c r="P37" s="555"/>
      <c r="Q37" s="555"/>
      <c r="R37" s="555"/>
      <c r="S37" s="555"/>
      <c r="T37" s="555"/>
      <c r="U37" s="555"/>
      <c r="V37" s="555"/>
      <c r="W37" s="555"/>
      <c r="X37" s="555"/>
      <c r="Y37" s="555"/>
      <c r="Z37" s="555"/>
      <c r="AA37" s="555"/>
      <c r="AB37" s="555"/>
      <c r="AC37" s="555"/>
      <c r="AD37" s="555"/>
      <c r="AE37" s="555"/>
      <c r="AF37" s="555"/>
      <c r="AG37" s="555"/>
      <c r="AH37" s="555"/>
      <c r="AI37" s="555"/>
      <c r="AJ37" s="555"/>
      <c r="AK37" s="555"/>
      <c r="AL37" s="555"/>
      <c r="AM37" s="555"/>
      <c r="AN37" s="555"/>
      <c r="AO37" s="555"/>
      <c r="AP37" s="555"/>
      <c r="AQ37" s="555"/>
      <c r="AR37" s="555"/>
      <c r="AS37" s="555"/>
      <c r="AT37" s="555"/>
      <c r="AU37" s="555"/>
      <c r="AV37" s="555"/>
      <c r="AW37" s="555"/>
      <c r="AX37" s="555"/>
      <c r="AY37" s="555"/>
      <c r="AZ37" s="555"/>
      <c r="BA37" s="555"/>
      <c r="BB37" s="555"/>
      <c r="BC37" s="555"/>
      <c r="BD37" s="555"/>
      <c r="BE37" s="555"/>
      <c r="BF37" s="555"/>
      <c r="BG37" s="555"/>
      <c r="BH37" s="555"/>
      <c r="BI37" s="555"/>
      <c r="BJ37" s="555"/>
      <c r="BK37" s="555"/>
      <c r="BL37" s="555"/>
      <c r="BM37" s="555"/>
      <c r="BN37" s="555"/>
      <c r="BO37" s="555"/>
      <c r="BP37" s="555"/>
      <c r="BQ37" s="555"/>
      <c r="BR37" s="555"/>
      <c r="BS37" s="555"/>
      <c r="BT37" s="555"/>
      <c r="BU37" s="555"/>
      <c r="BV37" s="555"/>
      <c r="BW37" s="555"/>
      <c r="BX37" s="555"/>
      <c r="BY37" s="555"/>
      <c r="BZ37" s="555"/>
      <c r="CA37" s="555"/>
      <c r="CB37" s="555"/>
      <c r="CC37" s="555"/>
      <c r="CD37" s="555"/>
      <c r="CE37" s="555"/>
      <c r="CF37" s="555"/>
      <c r="CG37" s="555"/>
      <c r="CH37" s="555"/>
      <c r="CI37" s="555"/>
      <c r="CJ37" s="555"/>
      <c r="CK37" s="555"/>
      <c r="CL37" s="555"/>
      <c r="CM37" s="555"/>
      <c r="CN37" s="555"/>
      <c r="CO37" s="555"/>
      <c r="CP37" s="555"/>
      <c r="CQ37" s="555"/>
      <c r="CR37" s="555"/>
      <c r="CS37" s="555"/>
      <c r="CT37" s="555"/>
      <c r="CU37" s="555"/>
      <c r="CV37" s="555"/>
      <c r="CW37" s="555"/>
      <c r="CX37" s="555"/>
      <c r="CY37" s="555"/>
      <c r="CZ37" s="555"/>
      <c r="DA37" s="555"/>
      <c r="DB37" s="555"/>
      <c r="DC37" s="555"/>
      <c r="DD37" s="555"/>
      <c r="DE37" s="555"/>
      <c r="DF37" s="555"/>
      <c r="DG37" s="555"/>
      <c r="DH37" s="555"/>
      <c r="DI37" s="555"/>
      <c r="DJ37" s="555"/>
      <c r="DK37" s="555"/>
      <c r="DL37" s="555"/>
      <c r="DM37" s="555"/>
      <c r="DN37" s="555"/>
      <c r="DO37" s="555"/>
      <c r="DP37" s="555"/>
      <c r="DQ37" s="555"/>
      <c r="DR37" s="555"/>
      <c r="DS37" s="555"/>
      <c r="DT37" s="555"/>
      <c r="DU37" s="555"/>
      <c r="DV37" s="555"/>
      <c r="DW37" s="555"/>
      <c r="DX37" s="555"/>
      <c r="DY37" s="555"/>
      <c r="DZ37" s="555"/>
      <c r="EA37" s="555"/>
      <c r="EB37" s="555"/>
      <c r="EC37" s="555"/>
      <c r="ED37" s="555"/>
      <c r="EE37" s="555"/>
      <c r="EF37" s="555"/>
      <c r="EG37" s="555"/>
      <c r="EH37" s="555"/>
      <c r="EI37" s="555"/>
      <c r="EJ37" s="555"/>
      <c r="EK37" s="555"/>
      <c r="EL37" s="555"/>
      <c r="EM37" s="555"/>
      <c r="EN37" s="555"/>
      <c r="EO37" s="555"/>
      <c r="EP37" s="555"/>
      <c r="EQ37" s="555"/>
      <c r="ER37" s="555"/>
      <c r="ES37" s="555"/>
      <c r="ET37" s="555"/>
      <c r="EU37" s="555"/>
      <c r="EV37" s="555"/>
      <c r="EW37" s="555"/>
      <c r="EX37" s="555"/>
      <c r="EY37" s="555"/>
      <c r="EZ37" s="555"/>
      <c r="FA37" s="555"/>
      <c r="FB37" s="555"/>
      <c r="FC37" s="555"/>
      <c r="FD37" s="555"/>
      <c r="FE37" s="555"/>
      <c r="FF37" s="555"/>
      <c r="FG37" s="555"/>
      <c r="FH37" s="555"/>
      <c r="FI37" s="555"/>
      <c r="FJ37" s="555"/>
      <c r="FK37" s="555"/>
      <c r="FL37" s="555"/>
      <c r="FM37" s="555"/>
      <c r="FN37" s="555"/>
      <c r="FO37" s="555"/>
      <c r="FP37" s="555"/>
      <c r="FQ37" s="555"/>
      <c r="FR37" s="555"/>
      <c r="FS37" s="555"/>
      <c r="FT37" s="555"/>
      <c r="FU37" s="555"/>
      <c r="FV37" s="555"/>
      <c r="FW37" s="555"/>
      <c r="FX37" s="555"/>
      <c r="FY37" s="555"/>
      <c r="FZ37" s="555"/>
      <c r="GA37" s="555"/>
      <c r="GB37" s="555"/>
      <c r="GC37" s="555"/>
      <c r="GD37" s="555"/>
      <c r="GE37" s="555"/>
      <c r="GF37" s="555"/>
      <c r="GG37" s="555"/>
      <c r="GH37" s="555"/>
      <c r="GI37" s="555"/>
      <c r="GJ37" s="555"/>
      <c r="GK37" s="555"/>
      <c r="GL37" s="555"/>
      <c r="GM37" s="555"/>
      <c r="GN37" s="555"/>
      <c r="GO37" s="555"/>
      <c r="GP37" s="555"/>
      <c r="GQ37" s="555"/>
      <c r="GR37" s="555"/>
      <c r="GS37" s="555"/>
      <c r="GT37" s="555"/>
      <c r="GU37" s="555"/>
      <c r="GV37" s="555"/>
      <c r="GW37" s="555"/>
      <c r="GX37" s="555"/>
      <c r="GY37" s="555"/>
      <c r="GZ37" s="555"/>
      <c r="HA37" s="555"/>
      <c r="HB37" s="555"/>
      <c r="HC37" s="555"/>
      <c r="HD37" s="555"/>
      <c r="HE37" s="555"/>
      <c r="HF37" s="555"/>
      <c r="HG37" s="555"/>
      <c r="HH37" s="555"/>
      <c r="HI37" s="555"/>
      <c r="HJ37" s="555"/>
      <c r="HK37" s="555"/>
      <c r="HL37" s="555"/>
      <c r="HM37" s="555"/>
      <c r="HN37" s="555"/>
      <c r="HO37" s="555"/>
      <c r="HP37" s="555"/>
      <c r="HQ37" s="555"/>
      <c r="HR37" s="555"/>
      <c r="HS37" s="555"/>
      <c r="HT37" s="555"/>
      <c r="HU37" s="555"/>
      <c r="HV37" s="555"/>
      <c r="HW37" s="555"/>
      <c r="HX37" s="555"/>
      <c r="HY37" s="555"/>
      <c r="HZ37" s="555"/>
      <c r="IA37" s="555"/>
      <c r="IB37" s="555"/>
      <c r="IC37" s="555"/>
      <c r="ID37" s="555"/>
      <c r="IE37" s="555"/>
      <c r="IF37" s="555"/>
      <c r="IG37" s="555"/>
      <c r="IH37" s="555"/>
      <c r="II37" s="555"/>
      <c r="IJ37" s="555"/>
      <c r="IK37" s="555"/>
      <c r="IL37" s="555"/>
      <c r="IM37" s="555"/>
      <c r="IN37" s="555"/>
      <c r="IO37" s="555"/>
      <c r="IP37" s="555"/>
      <c r="IQ37" s="555"/>
      <c r="IR37" s="555"/>
      <c r="IS37" s="555"/>
      <c r="IT37" s="555"/>
      <c r="IU37" s="555"/>
      <c r="IV37" s="555"/>
      <c r="IW37" s="555"/>
    </row>
    <row r="38" customFormat="false" ht="18.75" hidden="false" customHeight="false" outlineLevel="0" collapsed="false">
      <c r="A38" s="637"/>
    </row>
  </sheetData>
  <mergeCells count="55">
    <mergeCell ref="A1:H1"/>
    <mergeCell ref="A2:L2"/>
    <mergeCell ref="A3:F3"/>
    <mergeCell ref="H3:I3"/>
    <mergeCell ref="A4:A10"/>
    <mergeCell ref="B4:H4"/>
    <mergeCell ref="I4:L4"/>
    <mergeCell ref="B5:H5"/>
    <mergeCell ref="I5:L5"/>
    <mergeCell ref="B6:H6"/>
    <mergeCell ref="I6:L6"/>
    <mergeCell ref="C7:D7"/>
    <mergeCell ref="F7:G7"/>
    <mergeCell ref="J7:L7"/>
    <mergeCell ref="B8:H8"/>
    <mergeCell ref="J8:L8"/>
    <mergeCell ref="B10:L10"/>
    <mergeCell ref="A11:A16"/>
    <mergeCell ref="B11:C11"/>
    <mergeCell ref="I11:L11"/>
    <mergeCell ref="B12:H12"/>
    <mergeCell ref="I12:L12"/>
    <mergeCell ref="B13:I13"/>
    <mergeCell ref="C14:D14"/>
    <mergeCell ref="F14:G14"/>
    <mergeCell ref="B16:L16"/>
    <mergeCell ref="A17:I17"/>
    <mergeCell ref="A18:A22"/>
    <mergeCell ref="B18:H18"/>
    <mergeCell ref="I18:L18"/>
    <mergeCell ref="B19:H19"/>
    <mergeCell ref="I19:L19"/>
    <mergeCell ref="B20:H20"/>
    <mergeCell ref="I20:L20"/>
    <mergeCell ref="B21:H21"/>
    <mergeCell ref="I21:L21"/>
    <mergeCell ref="B22:H22"/>
    <mergeCell ref="I22:L22"/>
    <mergeCell ref="A23:I23"/>
    <mergeCell ref="A24:L24"/>
    <mergeCell ref="G25:L25"/>
    <mergeCell ref="F27:G27"/>
    <mergeCell ref="H27:J27"/>
    <mergeCell ref="K27:L27"/>
    <mergeCell ref="A28:I28"/>
    <mergeCell ref="B29:E29"/>
    <mergeCell ref="A31:A32"/>
    <mergeCell ref="B31:L31"/>
    <mergeCell ref="B32:L32"/>
    <mergeCell ref="A33:L33"/>
    <mergeCell ref="A34:A36"/>
    <mergeCell ref="B34:L34"/>
    <mergeCell ref="B35:L35"/>
    <mergeCell ref="B36:L36"/>
    <mergeCell ref="F37:L37"/>
  </mergeCells>
  <printOptions headings="false" gridLines="false" gridLinesSet="true" horizontalCentered="true" verticalCentered="false"/>
  <pageMargins left="0.4330708661417323" right="0.4330708661417323" top="0.7874015748031497" bottom="0.35" header="0.5118110236220472" footer="0.5118110236220472"/>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9"/>
  <sheetViews>
    <sheetView showFormulas="false" showGridLines="true" showRowColHeaders="true" showZeros="false" rightToLeft="false" tabSelected="false" showOutlineSymbols="true" defaultGridColor="true" view="normal" topLeftCell="A1" colorId="64" zoomScale="100" zoomScaleNormal="100" zoomScalePageLayoutView="100" workbookViewId="0">
      <selection pane="topLeft" activeCell="D25" activeCellId="0" sqref="D25:E25"/>
    </sheetView>
  </sheetViews>
  <sheetFormatPr defaultColWidth="8.88671875" defaultRowHeight="14.25" customHeight="false" zeroHeight="false" outlineLevelRow="0" outlineLevelCol="0"/>
  <cols>
    <col collapsed="false" customWidth="true" hidden="false" outlineLevel="0" max="1" min="1" style="671" width="11.77"/>
    <col collapsed="false" customWidth="true" hidden="false" outlineLevel="0" max="2" min="2" style="671" width="3.88"/>
    <col collapsed="false" customWidth="true" hidden="false" outlineLevel="0" max="3" min="3" style="671" width="14.21"/>
    <col collapsed="false" customWidth="true" hidden="false" outlineLevel="0" max="4" min="4" style="671" width="5.55"/>
    <col collapsed="false" customWidth="true" hidden="false" outlineLevel="0" max="5" min="5" style="671" width="8.44"/>
    <col collapsed="false" customWidth="true" hidden="false" outlineLevel="0" max="6" min="6" style="671" width="3.55"/>
    <col collapsed="false" customWidth="true" hidden="false" outlineLevel="0" max="7" min="7" style="671" width="6.99"/>
    <col collapsed="false" customWidth="true" hidden="false" outlineLevel="0" max="8" min="8" style="671" width="4.55"/>
    <col collapsed="false" customWidth="true" hidden="false" outlineLevel="0" max="9" min="9" style="671" width="1.1"/>
    <col collapsed="false" customWidth="true" hidden="false" outlineLevel="0" max="10" min="10" style="671" width="10.44"/>
    <col collapsed="false" customWidth="true" hidden="false" outlineLevel="0" max="11" min="11" style="671" width="3.33"/>
    <col collapsed="false" customWidth="false" hidden="false" outlineLevel="0" max="257" min="12" style="671" width="8.88"/>
  </cols>
  <sheetData>
    <row r="1" customFormat="false" ht="34.5" hidden="false" customHeight="true" outlineLevel="0" collapsed="false">
      <c r="A1" s="672" t="s">
        <v>597</v>
      </c>
      <c r="B1" s="672"/>
      <c r="C1" s="672"/>
      <c r="D1" s="672"/>
      <c r="E1" s="672"/>
      <c r="F1" s="672"/>
      <c r="G1" s="672"/>
      <c r="H1" s="672"/>
      <c r="I1" s="672"/>
      <c r="J1" s="672"/>
      <c r="K1" s="672"/>
    </row>
    <row r="2" customFormat="false" ht="21" hidden="false" customHeight="true" outlineLevel="0" collapsed="false">
      <c r="A2" s="673"/>
      <c r="B2" s="673"/>
      <c r="C2" s="673"/>
      <c r="D2" s="673"/>
      <c r="E2" s="673"/>
      <c r="F2" s="673"/>
      <c r="G2" s="673"/>
      <c r="H2" s="673"/>
      <c r="I2" s="673"/>
      <c r="J2" s="673"/>
      <c r="K2" s="673"/>
    </row>
    <row r="3" customFormat="false" ht="27" hidden="false" customHeight="true" outlineLevel="0" collapsed="false">
      <c r="A3" s="674">
        <f aca="false">개요!B14</f>
      </c>
      <c r="B3" s="674"/>
      <c r="C3" s="675" t="s">
        <v>598</v>
      </c>
      <c r="D3" s="675"/>
      <c r="E3" s="675"/>
      <c r="F3" s="675"/>
      <c r="G3" s="675"/>
      <c r="H3" s="675"/>
      <c r="I3" s="675"/>
      <c r="J3" s="675"/>
      <c r="K3" s="675"/>
    </row>
    <row r="4" customFormat="false" ht="27" hidden="false" customHeight="true" outlineLevel="0" collapsed="false">
      <c r="A4" s="675" t="s">
        <v>599</v>
      </c>
      <c r="B4" s="675"/>
      <c r="C4" s="675"/>
      <c r="D4" s="675"/>
      <c r="E4" s="675"/>
      <c r="F4" s="675"/>
      <c r="G4" s="675"/>
      <c r="H4" s="675"/>
      <c r="I4" s="675"/>
      <c r="J4" s="675"/>
      <c r="K4" s="675"/>
    </row>
    <row r="5" customFormat="false" ht="27" hidden="false" customHeight="true" outlineLevel="0" collapsed="false">
      <c r="A5" s="676" t="s">
        <v>600</v>
      </c>
      <c r="B5" s="676"/>
      <c r="C5" s="676"/>
      <c r="D5" s="676"/>
      <c r="E5" s="676"/>
      <c r="F5" s="676"/>
      <c r="G5" s="676"/>
      <c r="H5" s="676"/>
      <c r="I5" s="676"/>
      <c r="J5" s="676"/>
      <c r="K5" s="676"/>
    </row>
    <row r="6" customFormat="false" ht="18" hidden="false" customHeight="true" outlineLevel="0" collapsed="false">
      <c r="A6" s="677"/>
      <c r="B6" s="677"/>
      <c r="C6" s="677"/>
      <c r="D6" s="677"/>
      <c r="E6" s="677"/>
      <c r="F6" s="677"/>
      <c r="G6" s="677"/>
      <c r="H6" s="677"/>
      <c r="I6" s="677"/>
      <c r="J6" s="677"/>
      <c r="K6" s="677"/>
    </row>
    <row r="7" customFormat="false" ht="25.5" hidden="false" customHeight="true" outlineLevel="0" collapsed="false">
      <c r="A7" s="678" t="s">
        <v>601</v>
      </c>
      <c r="B7" s="679" t="s">
        <v>602</v>
      </c>
      <c r="C7" s="680" t="s">
        <v>603</v>
      </c>
      <c r="D7" s="681" t="s">
        <v>604</v>
      </c>
      <c r="E7" s="681"/>
      <c r="F7" s="681"/>
      <c r="G7" s="681"/>
      <c r="H7" s="681"/>
      <c r="I7" s="681"/>
      <c r="J7" s="681"/>
      <c r="K7" s="681"/>
    </row>
    <row r="8" customFormat="false" ht="25.5" hidden="false" customHeight="true" outlineLevel="0" collapsed="false">
      <c r="A8" s="678"/>
      <c r="B8" s="682" t="s">
        <v>605</v>
      </c>
      <c r="C8" s="683" t="s">
        <v>606</v>
      </c>
      <c r="D8" s="684">
        <f aca="false">개요!B16</f>
      </c>
      <c r="E8" s="684"/>
      <c r="F8" s="684"/>
      <c r="G8" s="684"/>
      <c r="H8" s="684"/>
      <c r="I8" s="684"/>
      <c r="J8" s="684"/>
      <c r="K8" s="684"/>
    </row>
    <row r="9" customFormat="false" ht="25.5" hidden="false" customHeight="true" outlineLevel="0" collapsed="false">
      <c r="A9" s="678"/>
      <c r="B9" s="682" t="s">
        <v>607</v>
      </c>
      <c r="C9" s="683" t="s">
        <v>608</v>
      </c>
      <c r="D9" s="685">
        <f aca="false">개요!B15</f>
      </c>
      <c r="E9" s="685"/>
      <c r="F9" s="685"/>
      <c r="G9" s="685"/>
      <c r="H9" s="685"/>
      <c r="I9" s="685"/>
      <c r="J9" s="685"/>
      <c r="K9" s="685"/>
    </row>
    <row r="10" customFormat="false" ht="25.5" hidden="false" customHeight="true" outlineLevel="0" collapsed="false">
      <c r="A10" s="678"/>
      <c r="B10" s="682" t="s">
        <v>609</v>
      </c>
      <c r="C10" s="683" t="s">
        <v>610</v>
      </c>
      <c r="D10" s="686">
        <f aca="false">개요!G9</f>
      </c>
      <c r="E10" s="686"/>
      <c r="F10" s="687" t="s">
        <v>24</v>
      </c>
      <c r="G10" s="688">
        <f aca="false">개요!I9</f>
      </c>
      <c r="H10" s="688"/>
      <c r="I10" s="689"/>
      <c r="J10" s="689"/>
      <c r="K10" s="690"/>
    </row>
    <row r="11" customFormat="false" ht="25.5" hidden="false" customHeight="true" outlineLevel="0" collapsed="false">
      <c r="A11" s="678"/>
      <c r="B11" s="682" t="s">
        <v>611</v>
      </c>
      <c r="C11" s="683" t="s">
        <v>612</v>
      </c>
      <c r="D11" s="691" t="s">
        <v>613</v>
      </c>
      <c r="E11" s="692" t="str">
        <f>NUMBERSTRING(J11,1)&amp;" 원정"</f>
      </c>
      <c r="F11" s="692"/>
      <c r="G11" s="692"/>
      <c r="H11" s="693"/>
      <c r="I11" s="693" t="s">
        <v>537</v>
      </c>
      <c r="J11" s="694"/>
      <c r="K11" s="695" t="s">
        <v>557</v>
      </c>
      <c r="L11" s="696"/>
      <c r="M11" s="696"/>
      <c r="N11" s="696"/>
      <c r="O11" s="696"/>
      <c r="P11" s="696"/>
      <c r="Q11" s="696"/>
      <c r="R11" s="696"/>
      <c r="S11" s="696"/>
      <c r="T11" s="696"/>
      <c r="U11" s="696"/>
      <c r="V11" s="696"/>
      <c r="W11" s="696"/>
      <c r="X11" s="696"/>
      <c r="Y11" s="696"/>
      <c r="Z11" s="696"/>
      <c r="AA11" s="696"/>
      <c r="AB11" s="696"/>
      <c r="AC11" s="696"/>
      <c r="AD11" s="696"/>
      <c r="AE11" s="696"/>
      <c r="AF11" s="696"/>
      <c r="AG11" s="696"/>
      <c r="AH11" s="696"/>
      <c r="AI11" s="696"/>
      <c r="AJ11" s="696"/>
      <c r="AK11" s="696"/>
      <c r="AL11" s="696"/>
      <c r="AM11" s="696"/>
      <c r="AN11" s="696"/>
    </row>
    <row r="12" customFormat="false" ht="25.5" hidden="false" customHeight="true" outlineLevel="0" collapsed="false">
      <c r="A12" s="678"/>
      <c r="B12" s="682" t="s">
        <v>614</v>
      </c>
      <c r="C12" s="683" t="s">
        <v>615</v>
      </c>
      <c r="D12" s="682" t="s">
        <v>613</v>
      </c>
      <c r="E12" s="692"/>
      <c r="F12" s="692"/>
      <c r="G12" s="692"/>
      <c r="H12" s="693"/>
      <c r="I12" s="693" t="s">
        <v>537</v>
      </c>
      <c r="J12" s="694"/>
      <c r="K12" s="697" t="s">
        <v>557</v>
      </c>
    </row>
    <row r="13" customFormat="false" ht="25.5" hidden="false" customHeight="true" outlineLevel="0" collapsed="false">
      <c r="A13" s="678"/>
      <c r="B13" s="682" t="s">
        <v>616</v>
      </c>
      <c r="C13" s="683" t="s">
        <v>617</v>
      </c>
      <c r="D13" s="682" t="s">
        <v>613</v>
      </c>
      <c r="E13" s="692"/>
      <c r="F13" s="692"/>
      <c r="G13" s="692"/>
      <c r="H13" s="693"/>
      <c r="I13" s="693" t="s">
        <v>537</v>
      </c>
      <c r="J13" s="694"/>
      <c r="K13" s="697" t="s">
        <v>557</v>
      </c>
    </row>
    <row r="14" customFormat="false" ht="25.5" hidden="false" customHeight="true" outlineLevel="0" collapsed="false">
      <c r="A14" s="678"/>
      <c r="B14" s="682" t="s">
        <v>618</v>
      </c>
      <c r="C14" s="683" t="s">
        <v>619</v>
      </c>
      <c r="D14" s="698" t="s">
        <v>613</v>
      </c>
      <c r="E14" s="692" t="str">
        <f>NUMBERSTRING(J14,1)&amp;" 원정"</f>
      </c>
      <c r="F14" s="692"/>
      <c r="G14" s="692"/>
      <c r="H14" s="699"/>
      <c r="I14" s="699" t="s">
        <v>537</v>
      </c>
      <c r="J14" s="700"/>
      <c r="K14" s="695" t="s">
        <v>557</v>
      </c>
    </row>
    <row r="15" customFormat="false" ht="25.5" hidden="false" customHeight="true" outlineLevel="0" collapsed="false">
      <c r="A15" s="678"/>
      <c r="B15" s="682"/>
      <c r="C15" s="683"/>
      <c r="D15" s="701"/>
      <c r="E15" s="702" t="s">
        <v>620</v>
      </c>
      <c r="F15" s="702"/>
      <c r="G15" s="702"/>
      <c r="H15" s="702"/>
      <c r="I15" s="702"/>
      <c r="J15" s="702"/>
      <c r="K15" s="703"/>
    </row>
    <row r="16" customFormat="false" ht="25.5" hidden="false" customHeight="true" outlineLevel="0" collapsed="false">
      <c r="A16" s="704" t="s">
        <v>621</v>
      </c>
      <c r="B16" s="705" t="s">
        <v>622</v>
      </c>
      <c r="C16" s="705"/>
      <c r="D16" s="705"/>
      <c r="E16" s="705"/>
      <c r="F16" s="705"/>
      <c r="G16" s="705"/>
      <c r="H16" s="705"/>
      <c r="I16" s="705"/>
      <c r="J16" s="705"/>
      <c r="K16" s="705"/>
    </row>
    <row r="17" customFormat="false" ht="12" hidden="false" customHeight="true" outlineLevel="0" collapsed="false">
      <c r="A17" s="706"/>
      <c r="B17" s="706"/>
      <c r="C17" s="706"/>
      <c r="D17" s="706"/>
      <c r="E17" s="706"/>
      <c r="F17" s="706"/>
      <c r="G17" s="706"/>
      <c r="H17" s="706"/>
      <c r="I17" s="706"/>
      <c r="J17" s="706"/>
      <c r="K17" s="706"/>
    </row>
    <row r="18" customFormat="false" ht="23.25" hidden="false" customHeight="true" outlineLevel="0" collapsed="false">
      <c r="A18" s="706" t="s">
        <v>623</v>
      </c>
      <c r="B18" s="706"/>
      <c r="C18" s="706" t="s">
        <v>624</v>
      </c>
      <c r="D18" s="706"/>
      <c r="E18" s="706"/>
      <c r="F18" s="706"/>
      <c r="G18" s="706"/>
      <c r="H18" s="706"/>
      <c r="I18" s="706"/>
      <c r="J18" s="706"/>
      <c r="K18" s="706"/>
    </row>
    <row r="19" customFormat="false" ht="12" hidden="false" customHeight="true" outlineLevel="0" collapsed="false">
      <c r="A19" s="706"/>
      <c r="B19" s="706"/>
      <c r="C19" s="706"/>
      <c r="D19" s="706"/>
      <c r="E19" s="706"/>
      <c r="F19" s="706"/>
      <c r="G19" s="706"/>
      <c r="H19" s="706"/>
      <c r="I19" s="706"/>
      <c r="J19" s="706"/>
      <c r="K19" s="706"/>
    </row>
    <row r="20" customFormat="false" ht="21.75" hidden="false" customHeight="true" outlineLevel="0" collapsed="false">
      <c r="A20" s="706"/>
      <c r="B20" s="706"/>
      <c r="C20" s="707" t="s">
        <v>625</v>
      </c>
      <c r="D20" s="708">
        <f aca="false">개요!B10</f>
      </c>
      <c r="E20" s="708"/>
      <c r="F20" s="708"/>
      <c r="G20" s="708"/>
      <c r="H20" s="708"/>
      <c r="I20" s="706"/>
      <c r="J20" s="706"/>
      <c r="K20" s="706"/>
    </row>
    <row r="21" customFormat="false" ht="15.75" hidden="false" customHeight="true" outlineLevel="0" collapsed="false">
      <c r="A21" s="706"/>
      <c r="B21" s="706"/>
      <c r="C21" s="706"/>
      <c r="D21" s="706"/>
      <c r="E21" s="706"/>
      <c r="F21" s="706"/>
      <c r="G21" s="706"/>
      <c r="H21" s="706"/>
      <c r="I21" s="706"/>
      <c r="J21" s="706"/>
      <c r="K21" s="706"/>
    </row>
    <row r="22" customFormat="false" ht="15.75" hidden="false" customHeight="true" outlineLevel="0" collapsed="false">
      <c r="A22" s="706"/>
      <c r="B22" s="706"/>
      <c r="C22" s="706"/>
      <c r="D22" s="706"/>
      <c r="E22" s="706"/>
      <c r="F22" s="706"/>
      <c r="G22" s="706"/>
      <c r="H22" s="706"/>
      <c r="I22" s="706"/>
      <c r="J22" s="706"/>
      <c r="K22" s="706"/>
    </row>
    <row r="23" customFormat="false" ht="21.75" hidden="false" customHeight="true" outlineLevel="0" collapsed="false">
      <c r="A23" s="706" t="s">
        <v>626</v>
      </c>
      <c r="B23" s="706"/>
      <c r="C23" s="706" t="s">
        <v>627</v>
      </c>
      <c r="D23" s="706">
        <f aca="false">D8</f>
      </c>
      <c r="E23" s="706"/>
      <c r="F23" s="706"/>
      <c r="G23" s="706"/>
      <c r="H23" s="706"/>
      <c r="I23" s="709"/>
      <c r="J23" s="709"/>
      <c r="K23" s="706"/>
    </row>
    <row r="24" customFormat="false" ht="21.75" hidden="false" customHeight="true" outlineLevel="0" collapsed="false">
      <c r="A24" s="706"/>
      <c r="B24" s="706"/>
      <c r="C24" s="706" t="s">
        <v>628</v>
      </c>
      <c r="D24" s="706">
        <f aca="false">A3</f>
      </c>
      <c r="E24" s="706"/>
      <c r="F24" s="706"/>
      <c r="G24" s="710" t="s">
        <v>629</v>
      </c>
      <c r="H24" s="706">
        <f aca="false">개요!B19</f>
      </c>
      <c r="I24" s="706"/>
      <c r="J24" s="706"/>
      <c r="K24" s="706"/>
    </row>
    <row r="25" customFormat="false" ht="21.75" hidden="false" customHeight="true" outlineLevel="0" collapsed="false">
      <c r="A25" s="706"/>
      <c r="B25" s="706"/>
      <c r="C25" s="706" t="s">
        <v>630</v>
      </c>
      <c r="D25" s="711">
        <f aca="false">개요!B17</f>
      </c>
      <c r="E25" s="711"/>
      <c r="F25" s="676" t="s">
        <v>631</v>
      </c>
      <c r="G25" s="676"/>
      <c r="H25" s="676"/>
      <c r="I25" s="676"/>
      <c r="J25" s="676"/>
      <c r="K25" s="706"/>
    </row>
    <row r="26" customFormat="false" ht="21.75" hidden="false" customHeight="true" outlineLevel="0" collapsed="false">
      <c r="A26" s="706"/>
      <c r="B26" s="706"/>
      <c r="C26" s="676"/>
      <c r="D26" s="676"/>
      <c r="E26" s="676"/>
      <c r="F26" s="709"/>
      <c r="G26" s="706"/>
      <c r="H26" s="706"/>
      <c r="I26" s="706"/>
      <c r="J26" s="706"/>
      <c r="K26" s="706"/>
    </row>
    <row r="27" customFormat="false" ht="21.75" hidden="false" customHeight="true" outlineLevel="0" collapsed="false">
      <c r="A27" s="706" t="s">
        <v>632</v>
      </c>
      <c r="B27" s="706"/>
      <c r="C27" s="706" t="s">
        <v>627</v>
      </c>
      <c r="D27" s="706" t="s">
        <v>633</v>
      </c>
      <c r="E27" s="706"/>
      <c r="F27" s="706"/>
      <c r="G27" s="706"/>
      <c r="H27" s="706"/>
      <c r="I27" s="706"/>
      <c r="J27" s="706"/>
      <c r="K27" s="706"/>
    </row>
    <row r="28" customFormat="false" ht="21.75" hidden="false" customHeight="true" outlineLevel="0" collapsed="false">
      <c r="A28" s="706"/>
      <c r="B28" s="706"/>
      <c r="C28" s="706" t="s">
        <v>634</v>
      </c>
      <c r="D28" s="706" t="s">
        <v>77</v>
      </c>
      <c r="E28" s="706"/>
      <c r="F28" s="706"/>
      <c r="G28" s="710" t="s">
        <v>635</v>
      </c>
      <c r="H28" s="706" t="s">
        <v>636</v>
      </c>
      <c r="I28" s="706"/>
      <c r="J28" s="706"/>
      <c r="K28" s="706"/>
    </row>
    <row r="29" customFormat="false" ht="21.75" hidden="false" customHeight="true" outlineLevel="0" collapsed="false">
      <c r="A29" s="706"/>
      <c r="B29" s="706"/>
      <c r="C29" s="706" t="s">
        <v>637</v>
      </c>
      <c r="D29" s="676"/>
      <c r="E29" s="676"/>
      <c r="F29" s="706" t="s">
        <v>638</v>
      </c>
      <c r="G29" s="710" t="s">
        <v>639</v>
      </c>
      <c r="H29" s="706" t="s">
        <v>640</v>
      </c>
      <c r="I29" s="706"/>
      <c r="J29" s="706"/>
      <c r="K29" s="706"/>
    </row>
  </sheetData>
  <mergeCells count="26">
    <mergeCell ref="A1:K1"/>
    <mergeCell ref="A2:K2"/>
    <mergeCell ref="A3:B3"/>
    <mergeCell ref="C3:K3"/>
    <mergeCell ref="A4:K4"/>
    <mergeCell ref="A5:K5"/>
    <mergeCell ref="A6:K6"/>
    <mergeCell ref="A7:A15"/>
    <mergeCell ref="D7:K7"/>
    <mergeCell ref="D8:K8"/>
    <mergeCell ref="D9:K9"/>
    <mergeCell ref="D10:E10"/>
    <mergeCell ref="G10:H10"/>
    <mergeCell ref="E11:G11"/>
    <mergeCell ref="E12:G12"/>
    <mergeCell ref="E13:G13"/>
    <mergeCell ref="B14:B15"/>
    <mergeCell ref="C14:C15"/>
    <mergeCell ref="E14:G14"/>
    <mergeCell ref="E15:J15"/>
    <mergeCell ref="B16:K16"/>
    <mergeCell ref="D20:H20"/>
    <mergeCell ref="D25:E25"/>
    <mergeCell ref="F25:J25"/>
    <mergeCell ref="C26:E26"/>
    <mergeCell ref="D29:E29"/>
  </mergeCells>
  <printOptions headings="false" gridLines="false" gridLinesSet="true" horizontalCentered="true" verticalCentered="false"/>
  <pageMargins left="0.35433070866141736" right="0.31496062992125984" top="0.7480314960629921" bottom="0.7480314960629921" header="0.31496062992125984" footer="0.31496062992125984"/>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7265625" defaultRowHeight="13.5" customHeight="false" zeroHeight="false" outlineLevelRow="0" outlineLevelCol="0"/>
  <cols>
    <col collapsed="false" customWidth="true" hidden="false" outlineLevel="0" max="1" min="1" style="712" width="78.44"/>
  </cols>
  <sheetData>
    <row r="1" customFormat="false" ht="33" hidden="false" customHeight="true" outlineLevel="0" collapsed="false">
      <c r="A1" s="713" t="inlineStr">
        <is>
          <t xml:space="preserve">- 목      차 -</t>
        </is>
      </c>
    </row>
    <row r="2" customFormat="false" ht="21.75" hidden="false" customHeight="true" outlineLevel="0" collapsed="false">
      <c r="A2" s="714" t="inlineStr">
        <is>
          <t xml:space="preserve">1.  소화기구 및 자동소화장치 점검표</t>
        </is>
      </c>
    </row>
    <row r="3" customFormat="false" ht="21.75" hidden="false" customHeight="true" outlineLevel="0" collapsed="false">
      <c r="A3" s="714" t="inlineStr">
        <is>
          <t xml:space="preserve">2.  옥내소화전설비 점검표</t>
        </is>
      </c>
    </row>
    <row r="4" customFormat="false" ht="21.75" hidden="false" customHeight="true" outlineLevel="0" collapsed="false">
      <c r="A4" s="714" t="inlineStr">
        <is>
          <t xml:space="preserve">3.  스프링클러소화설비 점검표</t>
        </is>
      </c>
    </row>
    <row r="5" customFormat="false" ht="21.75" hidden="false" customHeight="true" outlineLevel="0" collapsed="false">
      <c r="A5" s="714" t="inlineStr">
        <is>
          <t xml:space="preserve">4.  간이스프링클러소화설비 점검표</t>
        </is>
      </c>
    </row>
    <row r="6" customFormat="false" ht="21.75" hidden="false" customHeight="true" outlineLevel="0" collapsed="false">
      <c r="A6" s="715" t="inlineStr">
        <is>
          <t xml:space="preserve">11. 할로겐화합물 및 불활성기체소화설비 점검표</t>
        </is>
      </c>
    </row>
    <row r="7" customFormat="false" ht="21.75" hidden="false" customHeight="true" outlineLevel="0" collapsed="false">
      <c r="A7" s="715" t="inlineStr">
        <is>
          <t xml:space="preserve">13. 옥외소화전설비 점검표</t>
        </is>
      </c>
    </row>
    <row r="8" customFormat="false" ht="21.75" hidden="false" customHeight="true" outlineLevel="0" collapsed="false">
      <c r="A8" s="715" t="inlineStr">
        <is>
          <t xml:space="preserve">14. 비상경보설비 및 단독경보형감지기 점검표</t>
        </is>
      </c>
    </row>
    <row r="9" customFormat="false" ht="21.75" hidden="false" customHeight="true" outlineLevel="0" collapsed="false">
      <c r="A9" s="715" t="inlineStr">
        <is>
          <t xml:space="preserve">15. 자동화재탐지설비 및 시각경보장치 점검표</t>
        </is>
      </c>
    </row>
    <row r="10" customFormat="false" ht="21.75" hidden="false" customHeight="true" outlineLevel="0" collapsed="false">
      <c r="A10" s="715" t="inlineStr">
        <is>
          <t xml:space="preserve">16. 비상방송설비 점검표</t>
        </is>
      </c>
    </row>
    <row r="11" customFormat="false" ht="21.75" hidden="false" customHeight="true" outlineLevel="0" collapsed="false">
      <c r="A11" s="715" t="inlineStr">
        <is>
          <t xml:space="preserve">17. 자동화재속보설비 및 통합감시시설 점검표</t>
        </is>
      </c>
    </row>
    <row r="12" customFormat="false" ht="21.75" hidden="false" customHeight="true" outlineLevel="0" collapsed="false">
      <c r="A12" s="715" t="inlineStr">
        <is>
          <t xml:space="preserve">19. 가스누설경보기 점검표</t>
        </is>
      </c>
    </row>
    <row r="13" customFormat="false" ht="21.75" hidden="false" customHeight="true" outlineLevel="0" collapsed="false">
      <c r="A13" s="715" t="inlineStr">
        <is>
          <t xml:space="preserve">20. 피난기구 및 인명구조기구 점검표</t>
        </is>
      </c>
    </row>
    <row r="14" customFormat="false" ht="21.75" hidden="false" customHeight="true" outlineLevel="0" collapsed="false">
      <c r="A14" s="715" t="inlineStr">
        <is>
          <t xml:space="preserve">21. 유도등 및 유도표지 점검표</t>
        </is>
      </c>
    </row>
    <row r="15" customFormat="false" ht="21.75" hidden="false" customHeight="true" outlineLevel="0" collapsed="false">
      <c r="A15" s="715" t="inlineStr">
        <is>
          <t xml:space="preserve">22. 비상조명등 및 휴대용비상조명등 점검표</t>
        </is>
      </c>
    </row>
    <row r="16" customFormat="false" ht="21.75" hidden="false" customHeight="true" outlineLevel="0" collapsed="false">
      <c r="A16" s="715" t="inlineStr">
        <is>
          <t xml:space="preserve">23. 소화용수설비 점검표</t>
        </is>
      </c>
    </row>
    <row r="17" customFormat="false" ht="21.75" hidden="false" customHeight="true" outlineLevel="0" collapsed="false">
      <c r="A17" s="715" t="inlineStr">
        <is>
          <t xml:space="preserve">25. 특별피난계단의 계단실 및 부속실 제연설비 점검표</t>
        </is>
      </c>
    </row>
    <row r="18" customFormat="false" ht="21.75" hidden="false" customHeight="true" outlineLevel="0" collapsed="false">
      <c r="A18" s="715" t="inlineStr">
        <is>
          <t xml:space="preserve">26. 연결송수관설비 점검표</t>
        </is>
      </c>
    </row>
    <row r="19" customFormat="false" ht="21.75" hidden="false" customHeight="true" outlineLevel="0" collapsed="false">
      <c r="A19" s="715" t="inlineStr">
        <is>
          <t xml:space="preserve">27. 연결살수설비 점검표</t>
        </is>
      </c>
    </row>
    <row r="20" customFormat="false" ht="21.75" hidden="false" customHeight="true" outlineLevel="0" collapsed="false">
      <c r="A20" s="715" t="inlineStr">
        <is>
          <t xml:space="preserve">28. 비상콘센트설비 점검표</t>
        </is>
      </c>
    </row>
    <row r="21" customFormat="false" ht="21.75" hidden="false" customHeight="true" outlineLevel="0" collapsed="false">
      <c r="A21" s="715" t="inlineStr">
        <is>
          <t xml:space="preserve">29. 무선통신보조설비 점검표</t>
        </is>
      </c>
    </row>
    <row r="22" customFormat="false" ht="21.75" hidden="false" customHeight="true" outlineLevel="0" collapsed="false">
      <c r="A22" s="715" t="inlineStr">
        <is>
          <t xml:space="preserve">31. 기타사항 점검표</t>
        </is>
      </c>
    </row>
    <row r="23" customFormat="false" ht="21.75" hidden="false" customHeight="true" outlineLevel="0" collapsed="false">
      <c r="A23" s="715" t="inlineStr">
        <is>
          <t xml:space="preserve">32. 다중이용업소 점검표</t>
        </is>
      </c>
    </row>
    <row r="24" customFormat="false" ht="21.75" hidden="false" customHeight="true" outlineLevel="0" collapsed="false">
      <c r="A24" s="716"/>
    </row>
    <row r="25" customFormat="false" ht="21.75" hidden="false" customHeight="true" outlineLevel="0" collapsed="false">
      <c r="A25" s="715"/>
    </row>
    <row r="26" customFormat="false" ht="21.75" hidden="false" customHeight="true" outlineLevel="0" collapsed="false">
      <c r="A26" s="716"/>
    </row>
    <row r="27" customFormat="false" ht="21.75" hidden="false" customHeight="true" outlineLevel="0" collapsed="false">
      <c r="A27" s="716"/>
    </row>
    <row r="28" customFormat="false" ht="21.75" hidden="false" customHeight="true" outlineLevel="0" collapsed="false">
      <c r="A28" s="716"/>
    </row>
    <row r="29" customFormat="false" ht="21.75" hidden="false" customHeight="true" outlineLevel="0" collapsed="false">
      <c r="A29" s="716"/>
    </row>
    <row r="30" customFormat="false" ht="21.75" hidden="false" customHeight="true" outlineLevel="0" collapsed="false">
      <c r="A30" s="716"/>
    </row>
    <row r="31" customFormat="false" ht="21.75" hidden="false" customHeight="true" outlineLevel="0" collapsed="false">
      <c r="A31" s="715"/>
    </row>
    <row r="32" customFormat="false" ht="21.75" hidden="false" customHeight="true" outlineLevel="0" collapsed="false">
      <c r="A32" s="716"/>
    </row>
    <row r="33" customFormat="false" ht="21.75" hidden="false" customHeight="true" outlineLevel="0" collapsed="false">
      <c r="A33" s="716"/>
    </row>
    <row r="34" customFormat="false" ht="13.5" hidden="false" customHeight="false" outlineLevel="0" collapsed="false">
      <c r="A34" s="717"/>
    </row>
    <row r="35" customFormat="false" ht="13.5" hidden="false" customHeight="false" outlineLevel="0" collapsed="false">
      <c r="A35" s="718"/>
    </row>
  </sheetData>
  <printOptions headings="false" gridLines="false" gridLinesSet="true" horizontalCentered="false" verticalCentered="false"/>
  <pageMargins left="0.39" right="0.38" top="0.5" bottom="0.44"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C26" activeCellId="0" sqref="C26"/>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20" t="inlineStr">
        <is>
          <t xml:space="preserve">1. 소화기구 및 자동소화장치 점검표</t>
        </is>
      </c>
      <c r="B1" s="720"/>
      <c r="C1" s="720"/>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24" t="inlineStr">
        <is>
          <t xml:space="preserve"> 1-A. 소화기구(소화기, 자동확산소화기, 간이소화용구)</t>
        </is>
      </c>
      <c r="B3" s="724"/>
      <c r="C3" s="724"/>
    </row>
    <row r="4" customFormat="false" ht="21" hidden="false" customHeight="true" outlineLevel="0" collapsed="false">
      <c r="A4" s="725" t="inlineStr">
        <is>
          <t xml:space="preserve">1-A-001</t>
        </is>
      </c>
      <c r="B4" s="726" t="inlineStr">
        <is>
          <t xml:space="preserve">○ 거주자 등이 손쉽게 사용할 수 있는 장소에 설치되어 있는지 여부</t>
        </is>
      </c>
      <c r="C4" s="72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 hidden="false" customHeight="true" outlineLevel="0" collapsed="false">
      <c r="A5" s="729" t="inlineStr">
        <is>
          <t xml:space="preserve">1-A-002</t>
        </is>
      </c>
      <c r="B5" s="730" t="inlineStr">
        <is>
          <t xml:space="preserve">○ 설치높이 적합 여부</t>
        </is>
      </c>
      <c r="C5" s="72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 hidden="false" customHeight="true" outlineLevel="0" collapsed="false">
      <c r="A6" s="729" t="inlineStr">
        <is>
          <t xml:space="preserve">1-A-003</t>
        </is>
      </c>
      <c r="B6" s="730" t="inlineStr">
        <is>
          <t xml:space="preserve">○ 배치거리(보행거리 소형 20m 이내, 대형 30m 이내) 적합 여부</t>
        </is>
      </c>
      <c r="C6" s="72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 hidden="false" customHeight="true" outlineLevel="0" collapsed="false">
      <c r="A7" s="729" t="inlineStr">
        <is>
          <t xml:space="preserve">1-A-004</t>
        </is>
      </c>
      <c r="B7" s="730" t="inlineStr">
        <is>
          <t xml:space="preserve">○ 구획된 거실(바닥면적 33㎡ 이상)마다 소화기 설치 여부</t>
        </is>
      </c>
      <c r="C7" s="72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 hidden="false" customHeight="true" outlineLevel="0" collapsed="false">
      <c r="A8" s="729" t="inlineStr">
        <is>
          <t xml:space="preserve">1-A-005</t>
        </is>
      </c>
      <c r="B8" s="730" t="inlineStr">
        <is>
          <t xml:space="preserve">○ 소화기 표지 설치상태 적정 여부</t>
        </is>
      </c>
      <c r="C8" s="72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 hidden="false" customHeight="true" outlineLevel="0" collapsed="false">
      <c r="A9" s="729" t="inlineStr">
        <is>
          <t xml:space="preserve">1-A-006</t>
        </is>
      </c>
      <c r="B9" s="730" t="inlineStr">
        <is>
          <t xml:space="preserve">○ 소화기의 변형·손상 또는 부식 등 외관의 이상 여부</t>
        </is>
      </c>
      <c r="C9" s="72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 hidden="false" customHeight="true" outlineLevel="0" collapsed="false">
      <c r="A10" s="729" t="inlineStr">
        <is>
          <t xml:space="preserve">1-A-007</t>
        </is>
      </c>
      <c r="B10" s="730" t="inlineStr">
        <is>
          <t xml:space="preserve">○ 지시압력계(녹색범위)의 적정 여부</t>
        </is>
      </c>
      <c r="C10" s="72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 hidden="false" customHeight="true" outlineLevel="0" collapsed="false">
      <c r="A11" s="729" t="inlineStr">
        <is>
          <t xml:space="preserve">1-A-008</t>
        </is>
      </c>
      <c r="B11" s="730" t="inlineStr">
        <is>
          <t xml:space="preserve">○ 수동식 분말소화기 내용연수(10년) 적정 여부</t>
        </is>
      </c>
      <c r="C11" s="72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 hidden="false" customHeight="true" outlineLevel="0" collapsed="false">
      <c r="A12" s="729" t="inlineStr">
        <is>
          <t xml:space="preserve">1-A-009</t>
        </is>
      </c>
      <c r="B12" s="730" t="inlineStr">
        <is>
          <t xml:space="preserve">● 설치수량 적정 여부</t>
        </is>
      </c>
      <c r="C12" s="72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 hidden="false" customHeight="true" outlineLevel="0" collapsed="false">
      <c r="A13" s="731" t="inlineStr">
        <is>
          <t xml:space="preserve">1-A-010</t>
        </is>
      </c>
      <c r="B13" s="732" t="inlineStr">
        <is>
          <t xml:space="preserve">● 적응성 있는 소화약제 사용 여부</t>
        </is>
      </c>
      <c r="C13" s="72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4" hidden="false" customHeight="true" outlineLevel="0" collapsed="false">
      <c r="A14" s="724" t="inlineStr">
        <is>
          <t xml:space="preserve"> 1-B. 자동소화장치</t>
        </is>
      </c>
      <c r="B14" s="724"/>
      <c r="C14" s="724"/>
    </row>
    <row r="15" customFormat="false" ht="21" hidden="false" customHeight="true" outlineLevel="0" collapsed="false">
      <c r="A15" s="725"/>
      <c r="B15" s="733" t="inlineStr">
        <is>
          <t xml:space="preserve"> [주거용 주방 자동소화장치]</t>
        </is>
      </c>
      <c r="C15" s="734"/>
    </row>
    <row r="16" customFormat="false" ht="21" hidden="false" customHeight="true" outlineLevel="0" collapsed="false">
      <c r="A16" s="729" t="inlineStr">
        <is>
          <t xml:space="preserve">1-B-001</t>
        </is>
      </c>
      <c r="B16" s="735" t="inlineStr">
        <is>
          <t xml:space="preserve">○ 수신부의 설치상태 적정 및 정상(예비전원, 음향장치 등) 작동 여부</t>
        </is>
      </c>
      <c r="C16" s="734"/>
      <c r="F16" s="727" t="inlineStr">
        <is>
          <t xml:space="preserve">○</t>
        </is>
      </c>
    </row>
    <row r="17" customFormat="false" ht="21" hidden="false" customHeight="true" outlineLevel="0" collapsed="false">
      <c r="A17" s="729" t="inlineStr">
        <is>
          <t xml:space="preserve">1-B-002</t>
        </is>
      </c>
      <c r="B17" s="735" t="inlineStr">
        <is>
          <t xml:space="preserve">○ 소화약제의 지시압력 적정 및 외관의 이상 여부</t>
        </is>
      </c>
      <c r="C17" s="734"/>
      <c r="F17" s="727" t="inlineStr">
        <is>
          <t xml:space="preserve">/</t>
        </is>
      </c>
    </row>
    <row r="18" customFormat="false" ht="21" hidden="false" customHeight="true" outlineLevel="0" collapsed="false">
      <c r="A18" s="729" t="inlineStr">
        <is>
          <t xml:space="preserve">1-B-003</t>
        </is>
      </c>
      <c r="B18" s="730" t="inlineStr">
        <is>
          <t xml:space="preserve">○ 소화약제 방출구의 설치상태 적정 및 외관의 이상 여부</t>
        </is>
      </c>
      <c r="C18" s="734"/>
      <c r="F18" s="727" t="inlineStr">
        <is>
          <t xml:space="preserve">×</t>
        </is>
      </c>
    </row>
    <row r="19" customFormat="false" ht="21" hidden="false" customHeight="true" outlineLevel="0" collapsed="false">
      <c r="A19" s="729" t="inlineStr">
        <is>
          <t xml:space="preserve">1-B-004</t>
        </is>
      </c>
      <c r="B19" s="730" t="inlineStr">
        <is>
          <t xml:space="preserve">○ 감지부 설치상태 적정 여부</t>
        </is>
      </c>
      <c r="C19" s="734"/>
    </row>
    <row r="20" customFormat="false" ht="21" hidden="false" customHeight="true" outlineLevel="0" collapsed="false">
      <c r="A20" s="729" t="inlineStr">
        <is>
          <t xml:space="preserve">1-B-005</t>
        </is>
      </c>
      <c r="B20" s="730" t="inlineStr">
        <is>
          <t xml:space="preserve">○ 탐지부 설치상태 적정 여부</t>
        </is>
      </c>
      <c r="C20" s="734"/>
    </row>
    <row r="21" customFormat="false" ht="21" hidden="false" customHeight="true" outlineLevel="0" collapsed="false">
      <c r="A21" s="731" t="inlineStr">
        <is>
          <t xml:space="preserve">1-B-006</t>
        </is>
      </c>
      <c r="B21" s="732" t="inlineStr">
        <is>
          <t xml:space="preserve">○ 차단장치 설치상태 적정 및 정상 작동 여부</t>
        </is>
      </c>
      <c r="C21" s="734"/>
    </row>
    <row r="22" customFormat="false" ht="21" hidden="false" customHeight="true" outlineLevel="0" collapsed="false">
      <c r="A22" s="725"/>
      <c r="B22" s="733" t="inlineStr">
        <is>
          <t xml:space="preserve"> [상업용 주방 자동소화장치]</t>
        </is>
      </c>
      <c r="C22" s="734"/>
    </row>
    <row r="23" customFormat="false" ht="21" hidden="false" customHeight="true" outlineLevel="0" collapsed="false">
      <c r="A23" s="729" t="inlineStr">
        <is>
          <t xml:space="preserve">1-B-011</t>
        </is>
      </c>
      <c r="B23" s="736" t="inlineStr">
        <is>
          <t xml:space="preserve">○ 소화약제의 지시압력 적정 및 외관의 이상 여부</t>
        </is>
      </c>
      <c r="C23" s="737"/>
    </row>
    <row r="24" customFormat="false" ht="21" hidden="false" customHeight="true" outlineLevel="0" collapsed="false">
      <c r="A24" s="729" t="inlineStr">
        <is>
          <t xml:space="preserve">1-B-012</t>
        </is>
      </c>
      <c r="B24" s="736" t="inlineStr">
        <is>
          <t xml:space="preserve">○ 후드 및 덕트에 감지부와 분사헤드의 설치상태 적정 여부</t>
        </is>
      </c>
      <c r="C24" s="737"/>
    </row>
    <row r="25" customFormat="false" ht="21" hidden="false" customHeight="true" outlineLevel="0" collapsed="false">
      <c r="A25" s="731" t="inlineStr">
        <is>
          <t xml:space="preserve">1-B-013</t>
        </is>
      </c>
      <c r="B25" s="738" t="inlineStr">
        <is>
          <t xml:space="preserve">○ 수동기동장치의 설치상태 적정 여부</t>
        </is>
      </c>
      <c r="C25" s="734"/>
    </row>
    <row r="26" customFormat="false" ht="21" hidden="false" customHeight="true" outlineLevel="0" collapsed="false">
      <c r="A26" s="725"/>
      <c r="B26" s="733" t="inlineStr">
        <is>
          <t xml:space="preserve"> [캐비닛형 자동소화장치]</t>
        </is>
      </c>
      <c r="C26" s="734"/>
    </row>
    <row r="27" customFormat="false" ht="21" hidden="false" customHeight="true" outlineLevel="0" collapsed="false">
      <c r="A27" s="729" t="inlineStr">
        <is>
          <t xml:space="preserve">1-B-021</t>
        </is>
      </c>
      <c r="B27" s="736" t="inlineStr">
        <is>
          <t xml:space="preserve">○ 분사헤드의 설치상태 적합 여부</t>
        </is>
      </c>
      <c r="C27" s="734"/>
    </row>
    <row r="28" customFormat="false" ht="21" hidden="false" customHeight="true" outlineLevel="0" collapsed="false">
      <c r="A28" s="729" t="inlineStr">
        <is>
          <t xml:space="preserve">1-B-022</t>
        </is>
      </c>
      <c r="B28" s="736" t="inlineStr">
        <is>
          <t xml:space="preserve">○ 화재감지기 설치상태 적합 여부 및 정상 작동 여부</t>
        </is>
      </c>
      <c r="C28" s="734"/>
    </row>
    <row r="29" customFormat="false" ht="21" hidden="false" customHeight="true" outlineLevel="0" collapsed="false">
      <c r="A29" s="731" t="inlineStr">
        <is>
          <t xml:space="preserve">1-B-023</t>
        </is>
      </c>
      <c r="B29" s="738" t="inlineStr">
        <is>
          <t xml:space="preserve">○ 개구부 및 통기구 설치 시 자동폐쇄장치 설치 여부</t>
        </is>
      </c>
      <c r="C29" s="734"/>
    </row>
    <row r="30" customFormat="false" ht="21" hidden="false" customHeight="true" outlineLevel="0" collapsed="false">
      <c r="A30" s="725"/>
      <c r="B30" s="733" t="inlineStr">
        <is>
          <t xml:space="preserve"> [가스·분말·고체에어로졸 자동소화장치]</t>
        </is>
      </c>
      <c r="C30" s="734"/>
    </row>
    <row r="31" customFormat="false" ht="21" hidden="false" customHeight="true" outlineLevel="0" collapsed="false">
      <c r="A31" s="729" t="inlineStr">
        <is>
          <t xml:space="preserve">1-B-031</t>
        </is>
      </c>
      <c r="B31" s="730" t="inlineStr">
        <is>
          <t xml:space="preserve">○ 수신부의 정상(예비전원, 음향장치 등) 작동 여부</t>
        </is>
      </c>
      <c r="C31" s="734"/>
    </row>
    <row r="32" customFormat="false" ht="21" hidden="false" customHeight="true" outlineLevel="0" collapsed="false">
      <c r="A32" s="729" t="inlineStr">
        <is>
          <t xml:space="preserve">1-B-032</t>
        </is>
      </c>
      <c r="B32" s="730" t="inlineStr">
        <is>
          <t xml:space="preserve">○ 소화약제의 지시압력 적정 및 외관의 이상 여부</t>
        </is>
      </c>
      <c r="C32" s="734"/>
    </row>
    <row r="33" customFormat="false" ht="21" hidden="false" customHeight="true" outlineLevel="0" collapsed="false">
      <c r="A33" s="731" t="inlineStr">
        <is>
          <t xml:space="preserve">1-B-033</t>
        </is>
      </c>
      <c r="B33" s="732" t="inlineStr">
        <is>
          <t xml:space="preserve">○ 감지부(또는 화재감지기) 설치상태 적정 및 정상 작동 여부</t>
        </is>
      </c>
      <c r="C33" s="734"/>
    </row>
    <row r="34" customFormat="false" ht="21" hidden="false" customHeight="true" outlineLevel="0" collapsed="false">
      <c r="A34" s="739" t="inlineStr">
        <is>
          <t xml:space="preserve">비 고</t>
        </is>
      </c>
      <c r="B34" s="740"/>
      <c r="C34" s="740"/>
    </row>
    <row r="35" customFormat="false" ht="83.25" hidden="false" customHeight="true" outlineLevel="0" collapsed="false">
      <c r="A35" s="741" t="inlineStr">
        <is>
          <t xml:space="preserve">※ 점검항목 중 “●”는 종합정밀점검의 경우에만 해당한다.
※ 점검결과란은 양호 “○”, 불량 “×”, 해당없는 항목은 “/”로 표시한다.
※ 점검항목 내용 중 “설치기준” 및 “설치상태”에 대한 점검은 정상적인 작동 가능 여부를 포함한다.
※ ‘비고’란에는 특정소방대상물의 위치․구조․용도 및 소방시설의 상황 등이 이 표의 항목대로 기재하기 
    곤란하거나 이 표에서 누락된 사항을 기재한다.(이하 같다)</t>
        </is>
      </c>
      <c r="B35" s="741"/>
      <c r="C35" s="741"/>
    </row>
  </sheetData>
  <mergeCells count="5">
    <mergeCell ref="A1:C1"/>
    <mergeCell ref="A3:C3"/>
    <mergeCell ref="A14:C14"/>
    <mergeCell ref="B34:C34"/>
    <mergeCell ref="A35:C35"/>
  </mergeCells>
  <dataValidations count="2">
    <dataValidation allowBlank="true" errorStyle="stop" operator="between" showDropDown="false" showErrorMessage="true" showInputMessage="false" sqref="C4" type="list">
      <formula1>$F$16:$F$18</formula1>
      <formula2>0</formula2>
    </dataValidation>
    <dataValidation allowBlank="true" errorStyle="stop" operator="between" showDropDown="false" showErrorMessage="true" showInputMessage="false" sqref="C5:C13 C16:C21 C23:C33" type="list">
      <formula1>$F$16:$F$18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G19" activeCellId="0" sqref="G1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 옥내소화전설비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24" t="inlineStr">
        <is>
          <t xml:space="preserve"> 2-A. 수원</t>
        </is>
      </c>
      <c r="B3" s="724"/>
      <c r="C3" s="724"/>
    </row>
    <row r="4" customFormat="false" ht="20.25" hidden="false" customHeight="true" outlineLevel="0" collapsed="false">
      <c r="A4" s="725" t="inlineStr">
        <is>
          <t xml:space="preserve">2-A-001</t>
        </is>
      </c>
      <c r="B4" s="743" t="inlineStr">
        <is>
          <t xml:space="preserve">○ 주된수원의 유효수량 적정 여부(겸용설비 포함)</t>
        </is>
      </c>
      <c r="C4" s="737"/>
      <c r="D4" s="728"/>
      <c r="E4" s="727" t="inlineStr">
        <is>
          <t xml:space="preserve">○</t>
        </is>
      </c>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0.25" hidden="false" customHeight="true" outlineLevel="0" collapsed="false">
      <c r="A5" s="729" t="inlineStr">
        <is>
          <t xml:space="preserve">2-A-002</t>
        </is>
      </c>
      <c r="B5" s="743" t="inlineStr">
        <is>
          <t xml:space="preserve">○ 보조수원(옥상)의 유효수량 적정 여부</t>
        </is>
      </c>
      <c r="C5" s="744"/>
      <c r="D5" s="728"/>
      <c r="E5" s="727" t="inlineStr">
        <is>
          <t xml:space="preserve">/</t>
        </is>
      </c>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4" hidden="false" customHeight="true" outlineLevel="0" collapsed="false">
      <c r="A6" s="724" t="inlineStr">
        <is>
          <t xml:space="preserve"> 2-B. 수조</t>
        </is>
      </c>
      <c r="B6" s="724"/>
      <c r="C6" s="724"/>
      <c r="E6" s="727" t="inlineStr">
        <is>
          <t xml:space="preserve">×</t>
        </is>
      </c>
    </row>
    <row r="7" customFormat="false" ht="20.25" hidden="false" customHeight="true" outlineLevel="0" collapsed="false">
      <c r="A7" s="729" t="inlineStr">
        <is>
          <t xml:space="preserve">2-B-001</t>
        </is>
      </c>
      <c r="B7" s="730" t="inlineStr">
        <is>
          <t xml:space="preserve">● 동결방지조치 상태 적정 여부</t>
        </is>
      </c>
      <c r="C7" s="73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0.25" hidden="false" customHeight="true" outlineLevel="0" collapsed="false">
      <c r="A8" s="729" t="inlineStr">
        <is>
          <t xml:space="preserve">2-B-002</t>
        </is>
      </c>
      <c r="B8" s="743" t="inlineStr">
        <is>
          <t xml:space="preserve">○ 수위계 설치상태 적정 또는 수위 확인 가능 여부</t>
        </is>
      </c>
      <c r="C8" s="73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0.25" hidden="false" customHeight="true" outlineLevel="0" collapsed="false">
      <c r="A9" s="729" t="inlineStr">
        <is>
          <t xml:space="preserve">2-B-003</t>
        </is>
      </c>
      <c r="B9" s="743" t="inlineStr">
        <is>
          <t xml:space="preserve">● 수조 외측 고정사다리 설치상태 적정 여부(바닥보다 낮은 경우 제외)</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0.25" hidden="false" customHeight="true" outlineLevel="0" collapsed="false">
      <c r="A10" s="729" t="inlineStr">
        <is>
          <t xml:space="preserve">2-B-004</t>
        </is>
      </c>
      <c r="B10" s="743" t="inlineStr">
        <is>
          <t xml:space="preserve">● 실내설치 시 조명설비 설치상태 적정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0.25" hidden="false" customHeight="true" outlineLevel="0" collapsed="false">
      <c r="A11" s="729" t="inlineStr">
        <is>
          <t xml:space="preserve">2-B-005</t>
        </is>
      </c>
      <c r="B11" s="743" t="inlineStr">
        <is>
          <t xml:space="preserve">○“옥내소화전설비용 수조”표지 설치상태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0.25" hidden="false" customHeight="true" outlineLevel="0" collapsed="false">
      <c r="A12" s="729" t="inlineStr">
        <is>
          <t xml:space="preserve">2-B-006</t>
        </is>
      </c>
      <c r="B12" s="743" t="inlineStr">
        <is>
          <t xml:space="preserve">● 다른 소화설비와 겸용 시 겸용설비의 이름 표시한 표지 설치상태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0.25" hidden="false" customHeight="true" outlineLevel="0" collapsed="false">
      <c r="A13" s="729" t="inlineStr">
        <is>
          <t xml:space="preserve">2-B-007</t>
        </is>
      </c>
      <c r="B13" s="743" t="inlineStr">
        <is>
          <t xml:space="preserve">● 수조-수직배관 접속부분“옥내소화전설비용 배관”표지 설치상태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4" hidden="false" customHeight="true" outlineLevel="0" collapsed="false">
      <c r="A14" s="724" t="inlineStr">
        <is>
          <t xml:space="preserve"> 2-C. 가압송수장치</t>
        </is>
      </c>
      <c r="B14" s="724"/>
      <c r="C14" s="724"/>
    </row>
    <row r="15" customFormat="false" ht="20.25" hidden="false" customHeight="true" outlineLevel="0" collapsed="false">
      <c r="A15" s="725"/>
      <c r="B15" s="733" t="inlineStr">
        <is>
          <t xml:space="preserve"> [펌프방식]</t>
        </is>
      </c>
      <c r="C15" s="734"/>
    </row>
    <row r="16" customFormat="false" ht="20.25" hidden="false" customHeight="true" outlineLevel="0" collapsed="false">
      <c r="A16" s="729" t="inlineStr">
        <is>
          <t xml:space="preserve">2-C-001</t>
        </is>
      </c>
      <c r="B16" s="745" t="inlineStr">
        <is>
          <t xml:space="preserve">● 동결방지조치 상태 적정 여부</t>
        </is>
      </c>
      <c r="C16" s="737"/>
    </row>
    <row r="17" customFormat="false" ht="20.25" hidden="false" customHeight="true" outlineLevel="0" collapsed="false">
      <c r="A17" s="729" t="inlineStr">
        <is>
          <t xml:space="preserve">2-C-002</t>
        </is>
      </c>
      <c r="B17" s="745" t="inlineStr">
        <is>
          <t xml:space="preserve">○ 옥내소화전 방수량 및 방수압력 적정 여부</t>
        </is>
      </c>
      <c r="C17" s="734"/>
    </row>
    <row r="18" customFormat="false" ht="20.25" hidden="false" customHeight="true" outlineLevel="0" collapsed="false">
      <c r="A18" s="729" t="inlineStr">
        <is>
          <t xml:space="preserve">2-C-003</t>
        </is>
      </c>
      <c r="B18" s="745" t="inlineStr">
        <is>
          <t xml:space="preserve">● 감압장치 설치 여부(방수압력 0.7MPa 초과 조건)</t>
        </is>
      </c>
      <c r="C18" s="737"/>
    </row>
    <row r="19" customFormat="false" ht="20.25" hidden="false" customHeight="true" outlineLevel="0" collapsed="false">
      <c r="A19" s="729" t="inlineStr">
        <is>
          <t xml:space="preserve">2-C-004</t>
        </is>
      </c>
      <c r="B19" s="745" t="inlineStr">
        <is>
          <t xml:space="preserve">○ 성능시험배관을 통한 펌프 성능시험 적정 여부</t>
        </is>
      </c>
      <c r="C19" s="734"/>
    </row>
    <row r="20" customFormat="false" ht="20.25" hidden="false" customHeight="true" outlineLevel="0" collapsed="false">
      <c r="A20" s="729" t="inlineStr">
        <is>
          <t xml:space="preserve">2-C-005</t>
        </is>
      </c>
      <c r="B20" s="745" t="inlineStr">
        <is>
          <t xml:space="preserve">● 다른 소화설비와 겸용인 경우 펌프 성능 확보 가능 여부</t>
        </is>
      </c>
      <c r="C20" s="737"/>
    </row>
    <row r="21" customFormat="false" ht="20.25" hidden="false" customHeight="true" outlineLevel="0" collapsed="false">
      <c r="A21" s="729" t="inlineStr">
        <is>
          <t xml:space="preserve">2-C-006</t>
        </is>
      </c>
      <c r="B21" s="745" t="inlineStr">
        <is>
          <t xml:space="preserve">○ 펌프 흡입측 연성계·진공계 및 토출측 압력계 등 부속장치의 변형·손상 유무</t>
        </is>
      </c>
      <c r="C21" s="734"/>
    </row>
    <row r="22" customFormat="false" ht="20.25" hidden="false" customHeight="true" outlineLevel="0" collapsed="false">
      <c r="A22" s="729" t="inlineStr">
        <is>
          <t xml:space="preserve">2-C-007</t>
        </is>
      </c>
      <c r="B22" s="745" t="inlineStr">
        <is>
          <t xml:space="preserve">● 기동장치 적정 설치 및 기동압력 설정 적정 여부</t>
        </is>
      </c>
      <c r="C22" s="737"/>
    </row>
    <row r="23" customFormat="false" ht="20.25" hidden="false" customHeight="true" outlineLevel="0" collapsed="false">
      <c r="A23" s="729" t="inlineStr">
        <is>
          <t xml:space="preserve">2-C-008</t>
        </is>
      </c>
      <c r="B23" s="745" t="inlineStr">
        <is>
          <t xml:space="preserve">○ 기동스위치 설치 적정 여부(ON/OFF 방식)</t>
        </is>
      </c>
      <c r="C23" s="734"/>
    </row>
    <row r="24" customFormat="false" ht="20.25" hidden="false" customHeight="true" outlineLevel="0" collapsed="false">
      <c r="A24" s="729" t="inlineStr">
        <is>
          <t xml:space="preserve">2-C-009</t>
        </is>
      </c>
      <c r="B24" s="745" t="inlineStr">
        <is>
          <t xml:space="preserve">● 주펌프와 동등이상 펌프 추가설치 여부</t>
        </is>
      </c>
      <c r="C24" s="737"/>
    </row>
    <row r="25" customFormat="false" ht="20.25" hidden="false" customHeight="true" outlineLevel="0" collapsed="false">
      <c r="A25" s="729" t="inlineStr">
        <is>
          <t xml:space="preserve">2-C-010</t>
        </is>
      </c>
      <c r="B25" s="745" t="inlineStr">
        <is>
          <t xml:space="preserve">● 물올림장치 설치 적정(전용 여부, 유효수량, 배관구경, 자동급수) 여부</t>
        </is>
      </c>
      <c r="C25" s="737"/>
    </row>
    <row r="26" customFormat="false" ht="20.25" hidden="false" customHeight="true" outlineLevel="0" collapsed="false">
      <c r="A26" s="729" t="inlineStr">
        <is>
          <t xml:space="preserve">2-C-011</t>
        </is>
      </c>
      <c r="B26" s="745" t="inlineStr">
        <is>
          <t xml:space="preserve">● 충압펌프 설치 적정(토출압력, 정격토출량) 여부</t>
        </is>
      </c>
      <c r="C26" s="737"/>
    </row>
    <row r="27" customFormat="false" ht="30.75" hidden="false" customHeight="true" outlineLevel="0" collapsed="false">
      <c r="A27" s="729" t="inlineStr">
        <is>
          <t xml:space="preserve">2-C-012</t>
        </is>
      </c>
      <c r="B27" s="746" t="inlineStr">
        <is>
          <t xml:space="preserve">○ 내연기관 방식의 펌프 설치 적정(정상기동(기동장치 및 제어반) 여부, 
   축전지상태, 연료량) 여부</t>
        </is>
      </c>
      <c r="C27" s="734"/>
    </row>
    <row r="28" customFormat="false" ht="30.75" hidden="false" customHeight="true" outlineLevel="0" collapsed="false">
      <c r="A28" s="729" t="inlineStr">
        <is>
          <t xml:space="preserve">2-C-013</t>
        </is>
      </c>
      <c r="B28" s="746" t="inlineStr">
        <is>
          <t xml:space="preserve">○ 가압송수장치의“옥내소화전펌프”표지설치 여부 또는 다른 소화설비와 겸용 시 
   겸용설비 이름 표시 부착 여부</t>
        </is>
      </c>
      <c r="C28" s="734"/>
    </row>
    <row r="29" customFormat="false" ht="21" hidden="false" customHeight="true" outlineLevel="0" collapsed="false">
      <c r="A29" s="725"/>
      <c r="B29" s="747" t="inlineStr">
        <is>
          <t xml:space="preserve"> [고가수조방식]</t>
        </is>
      </c>
      <c r="C29" s="734"/>
    </row>
    <row r="30" customFormat="false" ht="20.25" hidden="false" customHeight="true" outlineLevel="0" collapsed="false">
      <c r="A30" s="731" t="inlineStr">
        <is>
          <t xml:space="preserve">2-C-021</t>
        </is>
      </c>
      <c r="B30" s="748" t="inlineStr">
        <is>
          <t xml:space="preserve">○ 수위계·배수관·급수관·오버플로우관·맨홀 등 부속장치의 변형·손상 유무</t>
        </is>
      </c>
      <c r="C30" s="734"/>
    </row>
    <row r="31" customFormat="false" ht="21" hidden="false" customHeight="true" outlineLevel="0" collapsed="false">
      <c r="A31" s="729"/>
      <c r="B31" s="749" t="inlineStr">
        <is>
          <t xml:space="preserve"> [압력수조방식]</t>
        </is>
      </c>
      <c r="C31" s="734"/>
    </row>
    <row r="32" customFormat="false" ht="20.25" hidden="false" customHeight="true" outlineLevel="0" collapsed="false">
      <c r="A32" s="729" t="inlineStr">
        <is>
          <t xml:space="preserve">2-C-031</t>
        </is>
      </c>
      <c r="B32" s="743" t="inlineStr">
        <is>
          <t xml:space="preserve">● 압력수조의 압력 적정 여부</t>
        </is>
      </c>
      <c r="C32" s="737"/>
    </row>
    <row r="33" customFormat="false" ht="30.75" hidden="false" customHeight="true" outlineLevel="0" collapsed="false">
      <c r="A33" s="729" t="inlineStr">
        <is>
          <t xml:space="preserve">2-C-032</t>
        </is>
      </c>
      <c r="B33" s="750" t="inlineStr">
        <is>
          <t xml:space="preserve">○ 수위계·급수관·급기관·압력계·안전장치·공기압축기 등 부속장치의 변형·
   손상유무</t>
        </is>
      </c>
      <c r="C33" s="734"/>
    </row>
    <row r="34" customFormat="false" ht="21" hidden="false" customHeight="true" outlineLevel="0" collapsed="false">
      <c r="A34" s="725"/>
      <c r="B34" s="747" t="inlineStr">
        <is>
          <t xml:space="preserve"> [가압수조방식]</t>
        </is>
      </c>
      <c r="C34" s="734"/>
    </row>
    <row r="35" customFormat="false" ht="20.25" hidden="false" customHeight="true" outlineLevel="0" collapsed="false">
      <c r="A35" s="729" t="inlineStr">
        <is>
          <t xml:space="preserve">2-C-041</t>
        </is>
      </c>
      <c r="B35" s="751" t="inlineStr">
        <is>
          <t xml:space="preserve">● 가압수조 및 가압원 설치장소의 방화구획 여부</t>
        </is>
      </c>
      <c r="C35" s="737"/>
    </row>
    <row r="36" customFormat="false" ht="20.25" hidden="false" customHeight="true" outlineLevel="0" collapsed="false">
      <c r="A36" s="752" t="inlineStr">
        <is>
          <t xml:space="preserve">2-C-042</t>
        </is>
      </c>
      <c r="B36" s="753" t="inlineStr">
        <is>
          <t xml:space="preserve">○ 수위계·급수관·배수관·급기관·압력계 등 부속장치의 변형·손상 유무</t>
        </is>
      </c>
      <c r="C36" s="754"/>
    </row>
  </sheetData>
  <mergeCells count="4">
    <mergeCell ref="A1:C1"/>
    <mergeCell ref="A3:C3"/>
    <mergeCell ref="A6:C6"/>
    <mergeCell ref="A14:C14"/>
  </mergeCells>
  <dataValidations count="1">
    <dataValidation allowBlank="true" errorStyle="stop" operator="between" showDropDown="false" showErrorMessage="true" showInputMessage="false" sqref="C4:C5 C7:C13 C15:C36" type="list">
      <formula1>$E$4:$E$6</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9"/>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17" activeCellId="0" sqref="B17"/>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24" t="inlineStr">
        <is>
          <t xml:space="preserve"> 2-D. 송수구</t>
        </is>
      </c>
      <c r="B3" s="724"/>
      <c r="C3" s="724"/>
    </row>
    <row r="4" customFormat="false" ht="20.25" hidden="false" customHeight="true" outlineLevel="0" collapsed="false">
      <c r="A4" s="725" t="inlineStr">
        <is>
          <t xml:space="preserve">2-D-001</t>
        </is>
      </c>
      <c r="B4" s="756" t="inlineStr">
        <is>
          <t xml:space="preserve">○ 설치장소 적정 여부</t>
        </is>
      </c>
      <c r="C4" s="737"/>
      <c r="D4" s="728"/>
      <c r="E4" s="727" t="inlineStr">
        <is>
          <t xml:space="preserve">○</t>
        </is>
      </c>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0.25" hidden="false" customHeight="true" outlineLevel="0" collapsed="false">
      <c r="A5" s="729" t="inlineStr">
        <is>
          <t xml:space="preserve">2-D-002</t>
        </is>
      </c>
      <c r="B5" s="745" t="inlineStr">
        <is>
          <t xml:space="preserve">● 연결배관에 개폐밸브를 설치한 경우 개폐상태 확인 및 조작가능 여부</t>
        </is>
      </c>
      <c r="C5" s="737"/>
      <c r="D5" s="728"/>
      <c r="E5" s="727" t="inlineStr">
        <is>
          <t xml:space="preserve">/</t>
        </is>
      </c>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0.25" hidden="false" customHeight="true" outlineLevel="0" collapsed="false">
      <c r="A6" s="729" t="inlineStr">
        <is>
          <t xml:space="preserve">2-D-003</t>
        </is>
      </c>
      <c r="B6" s="745" t="inlineStr">
        <is>
          <t xml:space="preserve">● 송수구 설치 높이 및 구경 적정 여부</t>
        </is>
      </c>
      <c r="C6" s="737"/>
      <c r="D6" s="728"/>
      <c r="E6" s="727" t="inlineStr">
        <is>
          <t xml:space="preserve">×</t>
        </is>
      </c>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0.25" hidden="false" customHeight="true" outlineLevel="0" collapsed="false">
      <c r="A7" s="729" t="inlineStr">
        <is>
          <t xml:space="preserve">2-D-004</t>
        </is>
      </c>
      <c r="B7" s="745" t="inlineStr">
        <is>
          <t xml:space="preserve">● 자동배수밸브(또는 배수공)·체크밸브 설치 여부 및 설치 상태 적정 여부</t>
        </is>
      </c>
      <c r="C7" s="73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0.25" hidden="false" customHeight="true" outlineLevel="0" collapsed="false">
      <c r="A8" s="731" t="inlineStr">
        <is>
          <t xml:space="preserve">2-D-005</t>
        </is>
      </c>
      <c r="B8" s="757" t="inlineStr">
        <is>
          <t xml:space="preserve">○ 송수구 마개 설치 여부</t>
        </is>
      </c>
      <c r="C8" s="73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4" hidden="false" customHeight="true" outlineLevel="0" collapsed="false">
      <c r="A9" s="724" t="inlineStr">
        <is>
          <t xml:space="preserve"> 2-E. 배관 등</t>
        </is>
      </c>
      <c r="B9" s="724"/>
      <c r="C9" s="724"/>
    </row>
    <row r="10" customFormat="false" ht="20.25" hidden="false" customHeight="true" outlineLevel="0" collapsed="false">
      <c r="A10" s="729" t="inlineStr">
        <is>
          <t xml:space="preserve">2-E-001</t>
        </is>
      </c>
      <c r="B10" s="730" t="inlineStr">
        <is>
          <t xml:space="preserve">● 펌프의 흡입측 배관 여과장치의 상태 확인</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0.25" hidden="false" customHeight="true" outlineLevel="0" collapsed="false">
      <c r="A11" s="729" t="inlineStr">
        <is>
          <t xml:space="preserve">2-E-002</t>
        </is>
      </c>
      <c r="B11" s="743" t="inlineStr">
        <is>
          <t xml:space="preserve">● 성능시험배관 설치(개폐밸브, 유량조절밸브, 유량측정장치)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0.25" hidden="false" customHeight="true" outlineLevel="0" collapsed="false">
      <c r="A12" s="729" t="inlineStr">
        <is>
          <t xml:space="preserve">2-E-003</t>
        </is>
      </c>
      <c r="B12" s="743" t="inlineStr">
        <is>
          <t xml:space="preserve">● 순환배관 설치(설치위치·배관구경, 릴리프밸브 개방압력)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0.25" hidden="false" customHeight="true" outlineLevel="0" collapsed="false">
      <c r="A13" s="729" t="inlineStr">
        <is>
          <t xml:space="preserve">2-E-004</t>
        </is>
      </c>
      <c r="B13" s="743" t="inlineStr">
        <is>
          <t xml:space="preserve">● 동결방지조치 상태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0.25" hidden="false" customHeight="true" outlineLevel="0" collapsed="false">
      <c r="A14" s="729" t="inlineStr">
        <is>
          <t xml:space="preserve">2-E-005</t>
        </is>
      </c>
      <c r="B14" s="743" t="inlineStr">
        <is>
          <t xml:space="preserve">○ 급수배관 개폐밸브 설치(개폐표시형, 흡입측 버터플라이 제외) 적정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0.25" hidden="false" customHeight="true" outlineLevel="0" collapsed="false">
      <c r="A15" s="729" t="inlineStr">
        <is>
          <t xml:space="preserve">2-E-006</t>
        </is>
      </c>
      <c r="B15" s="743" t="inlineStr">
        <is>
          <t xml:space="preserve">● 다른 설비의 배관과의 구분 상태 적정 여부</t>
        </is>
      </c>
      <c r="C15" s="744"/>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24" hidden="false" customHeight="true" outlineLevel="0" collapsed="false">
      <c r="A16" s="724" t="inlineStr">
        <is>
          <t xml:space="preserve"> 2-F. 함 및 방수구 등</t>
        </is>
      </c>
      <c r="B16" s="724"/>
      <c r="C16" s="724"/>
    </row>
    <row r="17" customFormat="false" ht="20.25" hidden="false" customHeight="true" outlineLevel="0" collapsed="false">
      <c r="A17" s="729" t="inlineStr">
        <is>
          <t xml:space="preserve">2-F-001</t>
        </is>
      </c>
      <c r="B17" s="745" t="inlineStr">
        <is>
          <t xml:space="preserve">○ 함 개방 용이성 및 장애물 설치 여부 등 사용 편의성 적정 여부</t>
        </is>
      </c>
      <c r="C17" s="737"/>
    </row>
    <row r="18" customFormat="false" ht="20.25" hidden="false" customHeight="true" outlineLevel="0" collapsed="false">
      <c r="A18" s="729" t="inlineStr">
        <is>
          <t xml:space="preserve">2-F-002</t>
        </is>
      </c>
      <c r="B18" s="743" t="inlineStr">
        <is>
          <t xml:space="preserve">○ 위치·기동 표시등 적정 설치 및 정상 점등 여부</t>
        </is>
      </c>
      <c r="C18" s="737"/>
    </row>
    <row r="19" customFormat="false" ht="20.25" hidden="false" customHeight="true" outlineLevel="0" collapsed="false">
      <c r="A19" s="729" t="inlineStr">
        <is>
          <t xml:space="preserve">2-F-003</t>
        </is>
      </c>
      <c r="B19" s="743" t="inlineStr">
        <is>
          <t xml:space="preserve">○“소화전”표시 및 사용요령(외국어 병기) 기재 표지판 설치상태 적정 여부</t>
        </is>
      </c>
      <c r="C19" s="737"/>
    </row>
    <row r="20" customFormat="false" ht="20.25" hidden="false" customHeight="true" outlineLevel="0" collapsed="false">
      <c r="A20" s="729" t="inlineStr">
        <is>
          <t xml:space="preserve">2-F-004</t>
        </is>
      </c>
      <c r="B20" s="743" t="inlineStr">
        <is>
          <t xml:space="preserve">● 대형공간(기둥 또는 벽이 없는 구조) 소화전 함 설치 적정 여부</t>
        </is>
      </c>
      <c r="C20" s="737"/>
    </row>
    <row r="21" customFormat="false" ht="20.25" hidden="false" customHeight="true" outlineLevel="0" collapsed="false">
      <c r="A21" s="729" t="inlineStr">
        <is>
          <t xml:space="preserve">2-F-005</t>
        </is>
      </c>
      <c r="B21" s="743" t="inlineStr">
        <is>
          <t xml:space="preserve">● 방수구 설치 적정 여부</t>
        </is>
      </c>
      <c r="C21" s="737"/>
    </row>
    <row r="22" customFormat="false" ht="20.25" hidden="false" customHeight="true" outlineLevel="0" collapsed="false">
      <c r="A22" s="729" t="inlineStr">
        <is>
          <t xml:space="preserve">2-F-006</t>
        </is>
      </c>
      <c r="B22" s="743" t="inlineStr">
        <is>
          <t xml:space="preserve">○ 함 내 소방호스 및 관창 비치 적정 여부</t>
        </is>
      </c>
      <c r="C22" s="737"/>
    </row>
    <row r="23" customFormat="false" ht="20.25" hidden="false" customHeight="true" outlineLevel="0" collapsed="false">
      <c r="A23" s="729" t="inlineStr">
        <is>
          <t xml:space="preserve">2-F-007</t>
        </is>
      </c>
      <c r="B23" s="743" t="inlineStr">
        <is>
          <t xml:space="preserve">○ 호스의 접결상태, 구경, 방수 압력 적정 여부</t>
        </is>
      </c>
      <c r="C23" s="737"/>
    </row>
    <row r="24" customFormat="false" ht="20.25" hidden="false" customHeight="true" outlineLevel="0" collapsed="false">
      <c r="A24" s="729" t="inlineStr">
        <is>
          <t xml:space="preserve">2-F-008</t>
        </is>
      </c>
      <c r="B24" s="743" t="inlineStr">
        <is>
          <t xml:space="preserve">● 호스릴방식 노즐 개폐장치 사용 용이 여부</t>
        </is>
      </c>
      <c r="C24" s="744"/>
    </row>
    <row r="25" customFormat="false" ht="24" hidden="false" customHeight="true" outlineLevel="0" collapsed="false">
      <c r="A25" s="724" t="inlineStr">
        <is>
          <t xml:space="preserve"> 2-G. 전원</t>
        </is>
      </c>
      <c r="B25" s="724"/>
      <c r="C25" s="724"/>
    </row>
    <row r="26" customFormat="false" ht="20.25" hidden="false" customHeight="true" outlineLevel="0" collapsed="false">
      <c r="A26" s="729" t="inlineStr">
        <is>
          <t xml:space="preserve">2-G-001</t>
        </is>
      </c>
      <c r="B26" s="745" t="inlineStr">
        <is>
          <t xml:space="preserve">● 대상물 수전방식에 따른 상용전원 적정 여부</t>
        </is>
      </c>
      <c r="C26" s="737"/>
    </row>
    <row r="27" customFormat="false" ht="20.25" hidden="false" customHeight="true" outlineLevel="0" collapsed="false">
      <c r="A27" s="729" t="inlineStr">
        <is>
          <t xml:space="preserve">2-G-002</t>
        </is>
      </c>
      <c r="B27" s="743" t="inlineStr">
        <is>
          <t xml:space="preserve">● 비상전원 설치장소 적정 및 관리 여부</t>
        </is>
      </c>
      <c r="C27" s="737"/>
    </row>
    <row r="28" customFormat="false" ht="20.25" hidden="false" customHeight="true" outlineLevel="0" collapsed="false">
      <c r="A28" s="729" t="inlineStr">
        <is>
          <t xml:space="preserve">2-G-003</t>
        </is>
      </c>
      <c r="B28" s="743" t="inlineStr">
        <is>
          <t xml:space="preserve">○ 자가발전설비인 경우 연료 적정량 보유 여부</t>
        </is>
      </c>
      <c r="C28" s="734"/>
    </row>
    <row r="29" customFormat="false" ht="20.25" hidden="false" customHeight="true" outlineLevel="0" collapsed="false">
      <c r="A29" s="729" t="inlineStr">
        <is>
          <t xml:space="preserve">2-G-004</t>
        </is>
      </c>
      <c r="B29" s="743" t="inlineStr">
        <is>
          <t xml:space="preserve">○ 자가발전설비인 경우「전기사업법」에 따른 정기점검 결과 확인</t>
        </is>
      </c>
      <c r="C29" s="758"/>
    </row>
    <row r="30" customFormat="false" ht="24" hidden="false" customHeight="true" outlineLevel="0" collapsed="false">
      <c r="A30" s="759" t="inlineStr">
        <is>
          <t xml:space="preserve"> 2-H. 제어반</t>
        </is>
      </c>
      <c r="B30" s="759"/>
      <c r="C30" s="759"/>
    </row>
    <row r="31" customFormat="false" ht="20.25" hidden="false" customHeight="true" outlineLevel="0" collapsed="false">
      <c r="A31" s="760" t="inlineStr">
        <is>
          <t xml:space="preserve">2-H-001</t>
        </is>
      </c>
      <c r="B31" s="761" t="inlineStr">
        <is>
          <t xml:space="preserve">● 겸용 감시·동력 제어반 성능 적정 여부(겸용으로 설치된 경우)</t>
        </is>
      </c>
      <c r="C31" s="737"/>
    </row>
    <row r="32" customFormat="false" ht="20.25" hidden="false" customHeight="true" outlineLevel="0" collapsed="false">
      <c r="A32" s="729"/>
      <c r="B32" s="762" t="inlineStr">
        <is>
          <t xml:space="preserve"> [감시제어반]</t>
        </is>
      </c>
      <c r="C32" s="734"/>
    </row>
    <row r="33" customFormat="false" ht="20.25" hidden="false" customHeight="true" outlineLevel="0" collapsed="false">
      <c r="A33" s="763" t="inlineStr">
        <is>
          <t xml:space="preserve">2-H-011</t>
        </is>
      </c>
      <c r="B33" s="745" t="inlineStr">
        <is>
          <t xml:space="preserve">○ 펌프 작동 여부 확인 표시등 및 음향경보장치 정상작동 여부</t>
        </is>
      </c>
      <c r="C33" s="734"/>
    </row>
    <row r="34" customFormat="false" ht="20.25" hidden="false" customHeight="true" outlineLevel="0" collapsed="false">
      <c r="A34" s="763" t="inlineStr">
        <is>
          <t xml:space="preserve">2-H-012</t>
        </is>
      </c>
      <c r="B34" s="745" t="inlineStr">
        <is>
          <t xml:space="preserve">○ 펌프 별 자동·수동 전환스위치 정상작동 여부</t>
        </is>
      </c>
      <c r="C34" s="734"/>
    </row>
    <row r="35" customFormat="false" ht="20.25" hidden="false" customHeight="true" outlineLevel="0" collapsed="false">
      <c r="A35" s="763" t="inlineStr">
        <is>
          <t xml:space="preserve">2-H-013</t>
        </is>
      </c>
      <c r="B35" s="745" t="inlineStr">
        <is>
          <t xml:space="preserve">● 펌프 별 수동기동 및 수동중단 기능 정상작동 여부</t>
        </is>
      </c>
      <c r="C35" s="737"/>
    </row>
    <row r="36" customFormat="false" ht="20.25" hidden="false" customHeight="true" outlineLevel="0" collapsed="false">
      <c r="A36" s="763" t="inlineStr">
        <is>
          <t xml:space="preserve">2-H-014</t>
        </is>
      </c>
      <c r="B36" s="745" t="inlineStr">
        <is>
          <t xml:space="preserve">● 상용전원 및 비상전원 공급 확인 가능 여부(비상전원 있는 경우)</t>
        </is>
      </c>
      <c r="C36" s="737"/>
    </row>
    <row r="37" customFormat="false" ht="20.25" hidden="false" customHeight="true" outlineLevel="0" collapsed="false">
      <c r="A37" s="763" t="inlineStr">
        <is>
          <t xml:space="preserve">2-H-015</t>
        </is>
      </c>
      <c r="B37" s="745" t="inlineStr">
        <is>
          <t xml:space="preserve">● 수조·물올림탱크 저수위 표시등 및 음향경보장치 정상작동 여부</t>
        </is>
      </c>
      <c r="C37" s="737"/>
    </row>
    <row r="38" customFormat="false" ht="20.25" hidden="false" customHeight="true" outlineLevel="0" collapsed="false">
      <c r="A38" s="763" t="inlineStr">
        <is>
          <t xml:space="preserve">2-H-016</t>
        </is>
      </c>
      <c r="B38" s="745" t="inlineStr">
        <is>
          <t xml:space="preserve">○ 각 확인회로 별 도통시험 및 작동시험 정상작동 여부</t>
        </is>
      </c>
      <c r="C38" s="734"/>
    </row>
    <row r="39" customFormat="false" ht="20.25" hidden="false" customHeight="true" outlineLevel="0" collapsed="false">
      <c r="A39" s="764" t="inlineStr">
        <is>
          <t xml:space="preserve">2-H-017</t>
        </is>
      </c>
      <c r="B39" s="765" t="inlineStr">
        <is>
          <t xml:space="preserve">○ 예비전원 확보 유무 및 시험 적합 여부</t>
        </is>
      </c>
      <c r="C39" s="754"/>
    </row>
  </sheetData>
  <mergeCells count="6">
    <mergeCell ref="A1:C1"/>
    <mergeCell ref="A3:C3"/>
    <mergeCell ref="A9:C9"/>
    <mergeCell ref="A16:C16"/>
    <mergeCell ref="A25:C25"/>
    <mergeCell ref="A30:C30"/>
  </mergeCells>
  <dataValidations count="1">
    <dataValidation allowBlank="true" errorStyle="stop" operator="between" showDropDown="false" showErrorMessage="true" showInputMessage="false" sqref="C4:C8 C10:C15 C17:C24 C26:C29 C31:C39" type="list">
      <formula1>$E$4:$E$6</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9" activeCellId="0" sqref="O9"/>
    </sheetView>
  </sheetViews>
  <sheetFormatPr defaultColWidth="8.88671875" defaultRowHeight="13.5" customHeight="false" zeroHeight="false" outlineLevelRow="0" outlineLevelCol="0"/>
  <cols>
    <col collapsed="false" customWidth="true" hidden="false" outlineLevel="0" max="1" min="1" style="766" width="3.33"/>
    <col collapsed="false" customWidth="true" hidden="false" outlineLevel="0" max="2" min="2" style="766" width="6.55"/>
    <col collapsed="false" customWidth="true" hidden="false" outlineLevel="0" max="3" min="3" style="766" width="5.66"/>
    <col collapsed="false" customWidth="true" hidden="false" outlineLevel="0" max="5" min="4" style="766" width="9.66"/>
    <col collapsed="false" customWidth="true" hidden="false" outlineLevel="0" max="7" min="6" style="766" width="5.44"/>
    <col collapsed="false" customWidth="true" hidden="false" outlineLevel="0" max="8" min="8" style="766" width="10.88"/>
    <col collapsed="false" customWidth="true" hidden="false" outlineLevel="0" max="9" min="9" style="766" width="12.33"/>
    <col collapsed="false" customWidth="true" hidden="false" outlineLevel="0" max="11" min="10" style="766" width="7.44"/>
    <col collapsed="false" customWidth="false" hidden="false" outlineLevel="0" max="257" min="12" style="766" width="8.88"/>
  </cols>
  <sheetData>
    <row r="1" customFormat="false" ht="6" hidden="false" customHeight="true" outlineLevel="0" collapsed="false">
      <c r="A1" s="767"/>
      <c r="B1" s="767"/>
      <c r="C1" s="767"/>
      <c r="D1" s="767"/>
      <c r="E1" s="767"/>
      <c r="F1" s="767"/>
      <c r="G1" s="767"/>
      <c r="H1" s="767"/>
      <c r="I1" s="767"/>
      <c r="J1" s="767"/>
      <c r="K1" s="767"/>
    </row>
    <row r="2" customFormat="false" ht="13.5" hidden="false" customHeight="false" outlineLevel="0" collapsed="false">
      <c r="A2" s="768" t="inlineStr">
        <is>
          <t xml:space="preserve">(3면)</t>
        </is>
      </c>
      <c r="B2" s="768"/>
      <c r="C2" s="768"/>
      <c r="D2" s="768"/>
      <c r="E2" s="768"/>
      <c r="F2" s="768"/>
      <c r="G2" s="768"/>
      <c r="H2" s="768"/>
      <c r="I2" s="768"/>
      <c r="J2" s="768"/>
      <c r="K2" s="768"/>
    </row>
    <row r="3" customFormat="false" ht="26.25" hidden="false" customHeight="true" outlineLevel="0" collapsed="false">
      <c r="A3" s="721" t="inlineStr">
        <is>
          <t xml:space="preserve">번호</t>
        </is>
      </c>
      <c r="B3" s="721"/>
      <c r="C3" s="722" t="inlineStr">
        <is>
          <t xml:space="preserve">점검항목</t>
        </is>
      </c>
      <c r="D3" s="722"/>
      <c r="E3" s="722"/>
      <c r="F3" s="722"/>
      <c r="G3" s="722"/>
      <c r="H3" s="722"/>
      <c r="I3" s="722"/>
      <c r="J3" s="769" t="inlineStr">
        <is>
          <t xml:space="preserve">점검결과</t>
        </is>
      </c>
      <c r="K3" s="769"/>
    </row>
    <row r="4" customFormat="false" ht="25.5" hidden="false" customHeight="true" outlineLevel="0" collapsed="false">
      <c r="A4" s="770" t="inlineStr">
        <is>
          <t xml:space="preserve">2-H-018</t>
        </is>
      </c>
      <c r="B4" s="770"/>
      <c r="C4" s="771" t="inlineStr">
        <is>
          <t xml:space="preserve">● 감시제어반 전용실 적정 설치 및 관리 여부</t>
        </is>
      </c>
      <c r="D4" s="771"/>
      <c r="E4" s="771"/>
      <c r="F4" s="771"/>
      <c r="G4" s="771"/>
      <c r="H4" s="771"/>
      <c r="I4" s="771"/>
      <c r="J4" s="772"/>
      <c r="K4" s="772"/>
    </row>
    <row r="5" customFormat="false" ht="25.5" hidden="false" customHeight="true" outlineLevel="0" collapsed="false">
      <c r="A5" s="763" t="inlineStr">
        <is>
          <t xml:space="preserve">2-H-019</t>
        </is>
      </c>
      <c r="B5" s="763"/>
      <c r="C5" s="773" t="inlineStr">
        <is>
          <t xml:space="preserve">● 기계·기구 또는 시설 등 제어 및 감시설비 외 설치 여부</t>
        </is>
      </c>
      <c r="D5" s="773"/>
      <c r="E5" s="773"/>
      <c r="F5" s="773"/>
      <c r="G5" s="773"/>
      <c r="H5" s="773"/>
      <c r="I5" s="773"/>
      <c r="J5" s="772"/>
      <c r="K5" s="772"/>
      <c r="O5" s="727" t="inlineStr">
        <is>
          <t xml:space="preserve">○</t>
        </is>
      </c>
    </row>
    <row r="6" customFormat="false" ht="25.5" hidden="false" customHeight="true" outlineLevel="0" collapsed="false">
      <c r="A6" s="770"/>
      <c r="B6" s="770"/>
      <c r="C6" s="774" t="inlineStr">
        <is>
          <t xml:space="preserve"> [동력제어반]</t>
        </is>
      </c>
      <c r="D6" s="774"/>
      <c r="E6" s="774"/>
      <c r="F6" s="774"/>
      <c r="G6" s="774"/>
      <c r="H6" s="774"/>
      <c r="I6" s="774"/>
      <c r="J6" s="772"/>
      <c r="K6" s="772"/>
      <c r="O6" s="727" t="inlineStr">
        <is>
          <t xml:space="preserve">/</t>
        </is>
      </c>
    </row>
    <row r="7" customFormat="false" ht="25.5" hidden="false" customHeight="true" outlineLevel="0" collapsed="false">
      <c r="A7" s="775" t="inlineStr">
        <is>
          <t xml:space="preserve">2-H-021</t>
        </is>
      </c>
      <c r="B7" s="775"/>
      <c r="C7" s="776" t="inlineStr">
        <is>
          <t xml:space="preserve">○ 앞면은 적색으로 하고,“옥내소화전설비용 동력제어반” 표지 설치 여부</t>
        </is>
      </c>
      <c r="D7" s="776"/>
      <c r="E7" s="776"/>
      <c r="F7" s="776"/>
      <c r="G7" s="776"/>
      <c r="H7" s="776"/>
      <c r="I7" s="776"/>
      <c r="J7" s="772"/>
      <c r="K7" s="772"/>
      <c r="O7" s="727" t="inlineStr">
        <is>
          <t xml:space="preserve">×</t>
        </is>
      </c>
    </row>
    <row r="8" customFormat="false" ht="25.5" hidden="false" customHeight="true" outlineLevel="0" collapsed="false">
      <c r="A8" s="770"/>
      <c r="B8" s="770"/>
      <c r="C8" s="777" t="inlineStr">
        <is>
          <t xml:space="preserve"> [발전기제어반]</t>
        </is>
      </c>
      <c r="D8" s="777"/>
      <c r="E8" s="777"/>
      <c r="F8" s="777"/>
      <c r="G8" s="777"/>
      <c r="H8" s="777"/>
      <c r="I8" s="777"/>
      <c r="J8" s="772"/>
      <c r="K8" s="772"/>
    </row>
    <row r="9" customFormat="false" ht="25.5" hidden="false" customHeight="true" outlineLevel="0" collapsed="false">
      <c r="A9" s="763" t="inlineStr">
        <is>
          <t xml:space="preserve">2-H-031</t>
        </is>
      </c>
      <c r="B9" s="763"/>
      <c r="C9" s="773" t="inlineStr">
        <is>
          <t xml:space="preserve">● 소방전원보존형발전기는 이를 식별할 수 있는 표지 설치 여부</t>
        </is>
      </c>
      <c r="D9" s="773"/>
      <c r="E9" s="773"/>
      <c r="F9" s="773"/>
      <c r="G9" s="773"/>
      <c r="H9" s="773"/>
      <c r="I9" s="773"/>
      <c r="J9" s="772"/>
      <c r="K9" s="772"/>
    </row>
    <row r="10" customFormat="false" ht="31.5" hidden="false" customHeight="true" outlineLevel="0" collapsed="false">
      <c r="A10" s="778" t="inlineStr">
        <is>
          <t xml:space="preserve">* 펌프성능시험(펌프 명판 및 설계치 참조)</t>
        </is>
      </c>
      <c r="B10" s="778"/>
      <c r="C10" s="778"/>
      <c r="D10" s="778"/>
      <c r="E10" s="778"/>
      <c r="F10" s="778"/>
      <c r="G10" s="778"/>
      <c r="H10" s="778"/>
      <c r="I10" s="778"/>
      <c r="J10" s="778"/>
      <c r="K10" s="778"/>
    </row>
    <row r="11" customFormat="false" ht="31.5" hidden="false" customHeight="true" outlineLevel="0" collapsed="false">
      <c r="A11" s="779" t="inlineStr">
        <is>
          <t xml:space="preserve">구분</t>
        </is>
      </c>
      <c r="B11" s="779"/>
      <c r="C11" s="779"/>
      <c r="D11" s="780" t="inlineStr">
        <is>
          <t xml:space="preserve">체절운전</t>
        </is>
      </c>
      <c r="E11" s="781" t="inlineStr">
        <is>
          <t xml:space="preserve">정격운전
(100%)</t>
        </is>
      </c>
      <c r="F11" s="781" t="inlineStr">
        <is>
          <t xml:space="preserve">정격유량의
150%운전</t>
        </is>
      </c>
      <c r="G11" s="781"/>
      <c r="H11" s="782" t="inlineStr">
        <is>
          <t xml:space="preserve">적   정   여   부</t>
        </is>
      </c>
      <c r="I11" s="782"/>
      <c r="J11" s="783" t="inlineStr">
        <is>
          <t xml:space="preserve">o 설정압력:
o 주펌프
기동:        MPa
정지:        MPa
o 예비펌프
기동:        MPa
정지:        MPa 
o 충압펌프
기동:        MPa
정지:        MPa</t>
        </is>
      </c>
      <c r="K11" s="783"/>
    </row>
    <row r="12" customFormat="false" ht="31.5" hidden="false" customHeight="true" outlineLevel="0" collapsed="false">
      <c r="A12" s="784" t="inlineStr">
        <is>
          <t xml:space="preserve">토출량
(ℓ/min)</t>
        </is>
      </c>
      <c r="B12" s="784"/>
      <c r="C12" s="781" t="inlineStr">
        <is>
          <t xml:space="preserve">주</t>
        </is>
      </c>
      <c r="D12" s="785"/>
      <c r="E12" s="786"/>
      <c r="F12" s="787"/>
      <c r="G12" s="787"/>
      <c r="H12" s="788" t="inlineStr">
        <is>
          <t xml:space="preserve">1. 체절운전시 토출압은 
  정격토출압의 140% 이하 (   )
2. 정격운전시 토출량과 
  토출압이 규정치 이상(   )
3. 정격토출량 150%에서 토출압이 
  정격토출압의 65%이상 (   )</t>
        </is>
      </c>
      <c r="I12" s="788"/>
      <c r="J12" s="783"/>
      <c r="K12" s="783"/>
    </row>
    <row r="13" customFormat="false" ht="31.5" hidden="false" customHeight="true" outlineLevel="0" collapsed="false">
      <c r="A13" s="784"/>
      <c r="B13" s="784"/>
      <c r="C13" s="781" t="inlineStr">
        <is>
          <t xml:space="preserve">예비</t>
        </is>
      </c>
      <c r="D13" s="785"/>
      <c r="E13" s="789"/>
      <c r="F13" s="789"/>
      <c r="G13" s="789"/>
      <c r="H13" s="788"/>
      <c r="I13" s="788"/>
      <c r="J13" s="783"/>
      <c r="K13" s="783"/>
    </row>
    <row r="14" customFormat="false" ht="31.5" hidden="false" customHeight="true" outlineLevel="0" collapsed="false">
      <c r="A14" s="784" t="inlineStr">
        <is>
          <t xml:space="preserve">토출압
(MPa)</t>
        </is>
      </c>
      <c r="B14" s="784"/>
      <c r="C14" s="781" t="inlineStr">
        <is>
          <t xml:space="preserve">주</t>
        </is>
      </c>
      <c r="D14" s="785"/>
      <c r="E14" s="786"/>
      <c r="F14" s="787"/>
      <c r="G14" s="787"/>
      <c r="H14" s="788"/>
      <c r="I14" s="788"/>
      <c r="J14" s="783"/>
      <c r="K14" s="783"/>
    </row>
    <row r="15" customFormat="false" ht="31.5" hidden="false" customHeight="true" outlineLevel="0" collapsed="false">
      <c r="A15" s="784"/>
      <c r="B15" s="784"/>
      <c r="C15" s="781" t="inlineStr">
        <is>
          <t xml:space="preserve">예비</t>
        </is>
      </c>
      <c r="D15" s="785"/>
      <c r="E15" s="789"/>
      <c r="F15" s="789"/>
      <c r="G15" s="789"/>
      <c r="H15" s="788"/>
      <c r="I15" s="788"/>
      <c r="J15" s="783"/>
      <c r="K15" s="783"/>
    </row>
    <row r="16" customFormat="false" ht="31.5" hidden="false" customHeight="true" outlineLevel="0" collapsed="false">
      <c r="A16" s="790" t="inlineStr">
        <is>
          <t xml:space="preserve">* 릴리프밸브 작동 압력 :  1.60/1.70  MPa</t>
        </is>
      </c>
      <c r="B16" s="790"/>
      <c r="C16" s="790"/>
      <c r="D16" s="790"/>
      <c r="E16" s="790"/>
      <c r="F16" s="790"/>
      <c r="G16" s="790"/>
      <c r="H16" s="790"/>
      <c r="I16" s="790"/>
      <c r="J16" s="790"/>
      <c r="K16" s="790"/>
    </row>
    <row r="17" customFormat="false" ht="48" hidden="false" customHeight="true" outlineLevel="0" collapsed="false">
      <c r="A17" s="791" t="inlineStr">
        <is>
          <t xml:space="preserve">비고</t>
        </is>
      </c>
      <c r="B17" s="791"/>
      <c r="C17" s="792"/>
      <c r="D17" s="792"/>
      <c r="E17" s="792"/>
      <c r="F17" s="792"/>
      <c r="G17" s="792"/>
      <c r="H17" s="792"/>
      <c r="I17" s="792"/>
      <c r="J17" s="792"/>
      <c r="K17" s="792"/>
    </row>
    <row r="18" customFormat="false" ht="30" hidden="false" customHeight="true" outlineLevel="0" collapsed="false"/>
  </sheetData>
  <mergeCells count="38">
    <mergeCell ref="A1:K1"/>
    <mergeCell ref="A2:K2"/>
    <mergeCell ref="A3:B3"/>
    <mergeCell ref="C3:I3"/>
    <mergeCell ref="J3:K3"/>
    <mergeCell ref="A4:B4"/>
    <mergeCell ref="C4:I4"/>
    <mergeCell ref="J4:K4"/>
    <mergeCell ref="A5:B5"/>
    <mergeCell ref="C5:I5"/>
    <mergeCell ref="J5:K5"/>
    <mergeCell ref="A6:B6"/>
    <mergeCell ref="C6:I6"/>
    <mergeCell ref="J6:K6"/>
    <mergeCell ref="A7:B7"/>
    <mergeCell ref="C7:I7"/>
    <mergeCell ref="J7:K7"/>
    <mergeCell ref="A8:B8"/>
    <mergeCell ref="C8:I8"/>
    <mergeCell ref="J8:K8"/>
    <mergeCell ref="A9:B9"/>
    <mergeCell ref="C9:I9"/>
    <mergeCell ref="J9:K9"/>
    <mergeCell ref="A10:K10"/>
    <mergeCell ref="A11:C11"/>
    <mergeCell ref="F11:G11"/>
    <mergeCell ref="H11:I11"/>
    <mergeCell ref="J11:K15"/>
    <mergeCell ref="A12:B13"/>
    <mergeCell ref="F12:G12"/>
    <mergeCell ref="H12:I15"/>
    <mergeCell ref="F13:G13"/>
    <mergeCell ref="A14:B15"/>
    <mergeCell ref="F14:G14"/>
    <mergeCell ref="F15:G15"/>
    <mergeCell ref="A16:K16"/>
    <mergeCell ref="A17:B17"/>
    <mergeCell ref="C17:K17"/>
  </mergeCells>
  <dataValidations count="1">
    <dataValidation allowBlank="true" errorStyle="stop" operator="between" showDropDown="false" showErrorMessage="true" showInputMessage="false" sqref="J4:K9" type="list">
      <formula1>$O$5:$O$7</formula1>
      <formula2>0</formula2>
    </dataValidation>
  </dataValidations>
  <printOptions headings="false" gridLines="false" gridLinesSet="true" horizontalCentered="false" verticalCentered="false"/>
  <pageMargins left="0.32" right="0.15748031496062992" top="0.29" bottom="0.39" header="0.27" footer="0.3937007874015748"/>
  <pageSetup paperSize="9" scale="10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26" activeCellId="0" sqref="B26"/>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3. 스프링클러설비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1" hidden="false" customHeight="true" outlineLevel="0" collapsed="false">
      <c r="A3" s="724" t="inlineStr">
        <is>
          <t xml:space="preserve"> 3-A. 수원</t>
        </is>
      </c>
      <c r="B3" s="724"/>
      <c r="C3" s="724"/>
    </row>
    <row r="4" customFormat="false" ht="21" hidden="false" customHeight="true" outlineLevel="0" collapsed="false">
      <c r="A4" s="725" t="inlineStr">
        <is>
          <t xml:space="preserve">3-A-001</t>
        </is>
      </c>
      <c r="B4" s="743" t="inlineStr">
        <is>
          <t xml:space="preserve">○ 주된수원의 유효수량 적정 여부(겸용설비 포함)</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 hidden="false" customHeight="true" outlineLevel="0" collapsed="false">
      <c r="A5" s="729" t="inlineStr">
        <is>
          <t xml:space="preserve">3-A-002</t>
        </is>
      </c>
      <c r="B5" s="743" t="inlineStr">
        <is>
          <t xml:space="preserve">○ 보조수원(옥상)의 유효수량 적정 여부</t>
        </is>
      </c>
      <c r="C5" s="744"/>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 hidden="false" customHeight="true" outlineLevel="0" collapsed="false">
      <c r="A6" s="724" t="inlineStr">
        <is>
          <t xml:space="preserve"> 3-B. 수조</t>
        </is>
      </c>
      <c r="B6" s="724"/>
      <c r="C6" s="724"/>
    </row>
    <row r="7" customFormat="false" ht="21" hidden="false" customHeight="true" outlineLevel="0" collapsed="false">
      <c r="A7" s="729" t="inlineStr">
        <is>
          <t xml:space="preserve">3-B-001</t>
        </is>
      </c>
      <c r="B7" s="730" t="inlineStr">
        <is>
          <t xml:space="preserve">● 동결방지조치 상태 적정 여부</t>
        </is>
      </c>
      <c r="C7" s="737"/>
      <c r="D7" s="728"/>
      <c r="E7" s="728"/>
      <c r="F7" s="728"/>
      <c r="G7" s="727" t="inlineStr">
        <is>
          <t xml:space="preserve">○</t>
        </is>
      </c>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 hidden="false" customHeight="true" outlineLevel="0" collapsed="false">
      <c r="A8" s="729" t="inlineStr">
        <is>
          <t xml:space="preserve">3-B-002</t>
        </is>
      </c>
      <c r="B8" s="743" t="inlineStr">
        <is>
          <t xml:space="preserve">○ 수위계 설치 또는 수위 확인 가능 여부</t>
        </is>
      </c>
      <c r="C8" s="737"/>
      <c r="D8" s="728"/>
      <c r="E8" s="728"/>
      <c r="F8" s="728"/>
      <c r="G8" s="727" t="inlineStr">
        <is>
          <t xml:space="preserve">/</t>
        </is>
      </c>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 hidden="false" customHeight="true" outlineLevel="0" collapsed="false">
      <c r="A9" s="729" t="inlineStr">
        <is>
          <t xml:space="preserve">3-B-003</t>
        </is>
      </c>
      <c r="B9" s="743" t="inlineStr">
        <is>
          <t xml:space="preserve">● 수조 외측 고정사다리 설치상태 적정 여부(바닥보다 낮은 경우 제외)</t>
        </is>
      </c>
      <c r="C9" s="737"/>
      <c r="D9" s="728"/>
      <c r="E9" s="728"/>
      <c r="F9" s="728"/>
      <c r="G9" s="727" t="inlineStr">
        <is>
          <t xml:space="preserve">×</t>
        </is>
      </c>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 hidden="false" customHeight="true" outlineLevel="0" collapsed="false">
      <c r="A10" s="729" t="inlineStr">
        <is>
          <t xml:space="preserve">3-B-004</t>
        </is>
      </c>
      <c r="B10" s="743" t="inlineStr">
        <is>
          <t xml:space="preserve">● 실내설치 시 조명설비 설치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 hidden="false" customHeight="true" outlineLevel="0" collapsed="false">
      <c r="A11" s="729" t="inlineStr">
        <is>
          <t xml:space="preserve">3-B-005</t>
        </is>
      </c>
      <c r="B11" s="743" t="inlineStr">
        <is>
          <t xml:space="preserve">○“스프링클러설비용 수조”표지설치 여부 및 설치 상태</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 hidden="false" customHeight="true" outlineLevel="0" collapsed="false">
      <c r="A12" s="729" t="inlineStr">
        <is>
          <t xml:space="preserve">3-B-006</t>
        </is>
      </c>
      <c r="B12" s="743" t="inlineStr">
        <is>
          <t xml:space="preserve">● 다른 소화설비와 겸용 시 겸용설비의 이름 표시한 표지설치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 hidden="false" customHeight="true" outlineLevel="0" collapsed="false">
      <c r="A13" s="729" t="inlineStr">
        <is>
          <t xml:space="preserve">3-B-007</t>
        </is>
      </c>
      <c r="B13" s="743" t="inlineStr">
        <is>
          <t xml:space="preserve">● 수조-수직배관 접속부분“스프링클러설비용 배관”표지설치 여부</t>
        </is>
      </c>
      <c r="C13" s="744"/>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 hidden="false" customHeight="true" outlineLevel="0" collapsed="false">
      <c r="A14" s="724" t="inlineStr">
        <is>
          <t xml:space="preserve"> 3-C. 가압송수장치</t>
        </is>
      </c>
      <c r="B14" s="724"/>
      <c r="C14" s="724"/>
    </row>
    <row r="15" customFormat="false" ht="21" hidden="false" customHeight="true" outlineLevel="0" collapsed="false">
      <c r="A15" s="725"/>
      <c r="B15" s="733" t="inlineStr">
        <is>
          <t xml:space="preserve"> [펌프방식]</t>
        </is>
      </c>
      <c r="C15" s="734"/>
    </row>
    <row r="16" customFormat="false" ht="21" hidden="false" customHeight="true" outlineLevel="0" collapsed="false">
      <c r="A16" s="729" t="inlineStr">
        <is>
          <t xml:space="preserve">3-C-001</t>
        </is>
      </c>
      <c r="B16" s="745" t="inlineStr">
        <is>
          <t xml:space="preserve">● 동결방지조치 상태 적정 여부</t>
        </is>
      </c>
      <c r="C16" s="737"/>
    </row>
    <row r="17" customFormat="false" ht="21" hidden="false" customHeight="true" outlineLevel="0" collapsed="false">
      <c r="A17" s="729" t="inlineStr">
        <is>
          <t xml:space="preserve">3-C-002</t>
        </is>
      </c>
      <c r="B17" s="745" t="inlineStr">
        <is>
          <t xml:space="preserve">○ 성능시험배관을 통한 펌프 성능시험 적정 여부</t>
        </is>
      </c>
      <c r="C17" s="737"/>
    </row>
    <row r="18" customFormat="false" ht="21" hidden="false" customHeight="true" outlineLevel="0" collapsed="false">
      <c r="A18" s="729" t="inlineStr">
        <is>
          <t xml:space="preserve">3-C-003</t>
        </is>
      </c>
      <c r="B18" s="745" t="inlineStr">
        <is>
          <t xml:space="preserve">● 다른 소화설비와 겸용인 경우 펌프 성능 확보 가능 여부</t>
        </is>
      </c>
      <c r="C18" s="737"/>
    </row>
    <row r="19" customFormat="false" ht="21" hidden="false" customHeight="true" outlineLevel="0" collapsed="false">
      <c r="A19" s="729" t="inlineStr">
        <is>
          <t xml:space="preserve">3-C-004</t>
        </is>
      </c>
      <c r="B19" s="745" t="inlineStr">
        <is>
          <t xml:space="preserve">○ 펌프 흡입측 연성계·진공계 및 토출측 압력계 등 부속장치의 변형·손상 유무</t>
        </is>
      </c>
      <c r="C19" s="737"/>
    </row>
    <row r="20" customFormat="false" ht="21" hidden="false" customHeight="true" outlineLevel="0" collapsed="false">
      <c r="A20" s="729" t="inlineStr">
        <is>
          <t xml:space="preserve">3-C-005</t>
        </is>
      </c>
      <c r="B20" s="745" t="inlineStr">
        <is>
          <t xml:space="preserve">● 기동장치 적정 설치 및 기동압력 설정 적정 여부</t>
        </is>
      </c>
      <c r="C20" s="737"/>
    </row>
    <row r="21" customFormat="false" ht="21" hidden="false" customHeight="true" outlineLevel="0" collapsed="false">
      <c r="A21" s="729" t="inlineStr">
        <is>
          <t xml:space="preserve">3-C-006</t>
        </is>
      </c>
      <c r="B21" s="745" t="inlineStr">
        <is>
          <t xml:space="preserve">● 물올림장치 설치 적정(전용 여부, 유효수량, 배관구경, 자동급수) 여부</t>
        </is>
      </c>
      <c r="C21" s="737"/>
    </row>
    <row r="22" customFormat="false" ht="21" hidden="false" customHeight="true" outlineLevel="0" collapsed="false">
      <c r="A22" s="729" t="inlineStr">
        <is>
          <t xml:space="preserve">3-C-007</t>
        </is>
      </c>
      <c r="B22" s="745" t="inlineStr">
        <is>
          <t xml:space="preserve">● 충압펌프 설치 적정(토출압력, 정격토출량) 여부</t>
        </is>
      </c>
      <c r="C22" s="737"/>
    </row>
    <row r="23" customFormat="false" ht="33.75" hidden="false" customHeight="true" outlineLevel="0" collapsed="false">
      <c r="A23" s="729" t="inlineStr">
        <is>
          <t xml:space="preserve">3-C-008</t>
        </is>
      </c>
      <c r="B23" s="746" t="inlineStr">
        <is>
          <t xml:space="preserve">○ 내연기관 방식의 펌프 설치 적정(정상기동(기동장치 및 제어반) 여부, 
   축전지상태, 연료량) 여부</t>
        </is>
      </c>
      <c r="C23" s="793"/>
    </row>
    <row r="24" customFormat="false" ht="33.75" hidden="false" customHeight="true" outlineLevel="0" collapsed="false">
      <c r="A24" s="729" t="inlineStr">
        <is>
          <t xml:space="preserve">3-C-009</t>
        </is>
      </c>
      <c r="B24" s="746" t="inlineStr">
        <is>
          <t xml:space="preserve">○ 가압송수장치의“스프링클러펌프”표지설치 여부 또는 다른 소화설비와
   겸용 시 겸용설비 이름 표시 부착 여부</t>
        </is>
      </c>
      <c r="C24" s="758"/>
    </row>
    <row r="25" customFormat="false" ht="21" hidden="false" customHeight="true" outlineLevel="0" collapsed="false">
      <c r="A25" s="725"/>
      <c r="B25" s="747" t="inlineStr">
        <is>
          <t xml:space="preserve"> [고가수조방식]</t>
        </is>
      </c>
      <c r="C25" s="734"/>
    </row>
    <row r="26" customFormat="false" ht="21" hidden="false" customHeight="true" outlineLevel="0" collapsed="false">
      <c r="A26" s="731" t="inlineStr">
        <is>
          <t xml:space="preserve">3-C-021</t>
        </is>
      </c>
      <c r="B26" s="748" t="inlineStr">
        <is>
          <t xml:space="preserve">○ 수위계·배수관·급수관·오버플로우관·맨홀 등 부속장치의 변형·손상 유무</t>
        </is>
      </c>
      <c r="C26" s="734"/>
    </row>
    <row r="27" customFormat="false" ht="21" hidden="false" customHeight="true" outlineLevel="0" collapsed="false">
      <c r="A27" s="729"/>
      <c r="B27" s="749" t="inlineStr">
        <is>
          <t xml:space="preserve"> [압력수조방식]</t>
        </is>
      </c>
      <c r="C27" s="734"/>
    </row>
    <row r="28" customFormat="false" ht="21" hidden="false" customHeight="true" outlineLevel="0" collapsed="false">
      <c r="A28" s="729" t="inlineStr">
        <is>
          <t xml:space="preserve">3-C-031</t>
        </is>
      </c>
      <c r="B28" s="743" t="inlineStr">
        <is>
          <t xml:space="preserve">● 압력수조의 압력 적정 여부</t>
        </is>
      </c>
      <c r="C28" s="734"/>
    </row>
    <row r="29" customFormat="false" ht="33.75" hidden="false" customHeight="true" outlineLevel="0" collapsed="false">
      <c r="A29" s="729" t="inlineStr">
        <is>
          <t xml:space="preserve">3-C-032</t>
        </is>
      </c>
      <c r="B29" s="750" t="inlineStr">
        <is>
          <t xml:space="preserve">○ 수위계·급수관·급기관·압력계·안전장치·공기압축기 등 부속장치의 변형·손상
  유무</t>
        </is>
      </c>
      <c r="C29" s="734"/>
    </row>
    <row r="30" customFormat="false" ht="21" hidden="false" customHeight="true" outlineLevel="0" collapsed="false">
      <c r="A30" s="725"/>
      <c r="B30" s="747" t="inlineStr">
        <is>
          <t xml:space="preserve"> [가압수조방식]</t>
        </is>
      </c>
      <c r="C30" s="734"/>
    </row>
    <row r="31" customFormat="false" ht="21" hidden="false" customHeight="true" outlineLevel="0" collapsed="false">
      <c r="A31" s="729" t="inlineStr">
        <is>
          <t xml:space="preserve">3-C-041</t>
        </is>
      </c>
      <c r="B31" s="751" t="inlineStr">
        <is>
          <t xml:space="preserve">● 가압수조 및 가압원 설치장소의 방화구획 여부</t>
        </is>
      </c>
      <c r="C31" s="734"/>
    </row>
    <row r="32" customFormat="false" ht="21" hidden="false" customHeight="true" outlineLevel="0" collapsed="false">
      <c r="A32" s="731" t="inlineStr">
        <is>
          <t xml:space="preserve">3-C-042</t>
        </is>
      </c>
      <c r="B32" s="748" t="inlineStr">
        <is>
          <t xml:space="preserve">○ 수위계·급수관·배수관·급기관·압력계 등 부속장치의 변형·손상 유무</t>
        </is>
      </c>
      <c r="C32" s="734"/>
    </row>
    <row r="33" customFormat="false" ht="21" hidden="false" customHeight="true" outlineLevel="0" collapsed="false">
      <c r="A33" s="794" t="inlineStr">
        <is>
          <t xml:space="preserve"> 3-D. 폐쇄형스프링클러설비 방호구역 및 유수검지장치</t>
        </is>
      </c>
      <c r="B33" s="794"/>
      <c r="C33" s="794"/>
    </row>
    <row r="34" customFormat="false" ht="21" hidden="false" customHeight="true" outlineLevel="0" collapsed="false">
      <c r="A34" s="770" t="inlineStr">
        <is>
          <t xml:space="preserve">3-D-001</t>
        </is>
      </c>
      <c r="B34" s="756" t="inlineStr">
        <is>
          <t xml:space="preserve">● 방호구역 적정 여부</t>
        </is>
      </c>
      <c r="C34" s="737"/>
    </row>
    <row r="35" customFormat="false" ht="21" hidden="false" customHeight="true" outlineLevel="0" collapsed="false">
      <c r="A35" s="763" t="inlineStr">
        <is>
          <t xml:space="preserve">3-D-002</t>
        </is>
      </c>
      <c r="B35" s="745" t="inlineStr">
        <is>
          <t xml:space="preserve">● 유수검지장치 설치 적정(수량, 접근·점검 편의성, 높이) 여부</t>
        </is>
      </c>
      <c r="C35" s="737"/>
    </row>
    <row r="36" customFormat="false" ht="21" hidden="false" customHeight="true" outlineLevel="0" collapsed="false">
      <c r="A36" s="764" t="inlineStr">
        <is>
          <t xml:space="preserve">3-D-003</t>
        </is>
      </c>
      <c r="B36" s="765" t="inlineStr">
        <is>
          <t xml:space="preserve">○ 유수검지장치실 설치 적정(실내 또는 구획, 출입문 크기, 표지) 여부</t>
        </is>
      </c>
      <c r="C36" s="754"/>
    </row>
  </sheetData>
  <mergeCells count="5">
    <mergeCell ref="A1:C1"/>
    <mergeCell ref="A3:C3"/>
    <mergeCell ref="A6:C6"/>
    <mergeCell ref="A14:C14"/>
    <mergeCell ref="A33:C33"/>
  </mergeCells>
  <dataValidations count="1">
    <dataValidation allowBlank="true" errorStyle="stop" operator="between" showDropDown="false" showErrorMessage="true" showInputMessage="false" sqref="C4:C5 C7:C13 C15:C32 C34:C36" type="list">
      <formula1>$G$7:$G$9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2"/>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G6" activeCellId="0" sqref="G6:G8"/>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1.75" hidden="false" customHeight="true" outlineLevel="0" collapsed="false">
      <c r="A3" s="725" t="inlineStr">
        <is>
          <t xml:space="preserve">3-D-004</t>
        </is>
      </c>
      <c r="B3" s="756" t="inlineStr">
        <is>
          <t xml:space="preserve">● 자연낙차에 의한 유수압력과 유수검지장치의 유수검지압력 적정여부</t>
        </is>
      </c>
      <c r="C3" s="737"/>
      <c r="D3" s="728"/>
      <c r="E3" s="728"/>
      <c r="F3" s="728"/>
      <c r="G3" s="728"/>
      <c r="H3" s="728"/>
      <c r="I3" s="728"/>
      <c r="J3" s="728"/>
      <c r="K3" s="728"/>
      <c r="L3" s="728"/>
      <c r="M3" s="728"/>
      <c r="N3" s="728"/>
      <c r="O3" s="728"/>
      <c r="P3" s="728"/>
      <c r="Q3" s="728"/>
      <c r="R3" s="728"/>
      <c r="S3" s="728"/>
      <c r="T3" s="728"/>
      <c r="U3" s="728"/>
      <c r="V3" s="728"/>
      <c r="W3" s="728"/>
      <c r="X3" s="728"/>
      <c r="Y3" s="728"/>
      <c r="Z3" s="728"/>
      <c r="AA3" s="728"/>
      <c r="AB3" s="728"/>
      <c r="AC3" s="728"/>
      <c r="AD3" s="728"/>
      <c r="AE3" s="728"/>
      <c r="AF3" s="728"/>
      <c r="AG3" s="728"/>
      <c r="AH3" s="728"/>
      <c r="AI3" s="728"/>
      <c r="AJ3" s="728"/>
      <c r="AK3" s="728"/>
      <c r="AL3" s="728"/>
      <c r="AM3" s="728"/>
      <c r="AN3" s="728"/>
      <c r="AO3" s="728"/>
      <c r="AP3" s="728"/>
      <c r="AQ3" s="728"/>
      <c r="AR3" s="728"/>
      <c r="AS3" s="728"/>
      <c r="AT3" s="728"/>
      <c r="AU3" s="728"/>
      <c r="AV3" s="728"/>
      <c r="AW3" s="728"/>
      <c r="AX3" s="728"/>
      <c r="AY3" s="728"/>
      <c r="AZ3" s="728"/>
      <c r="BA3" s="728"/>
      <c r="BB3" s="728"/>
      <c r="BC3" s="728"/>
      <c r="BD3" s="728"/>
      <c r="BE3" s="728"/>
      <c r="BF3" s="728"/>
      <c r="BG3" s="728"/>
      <c r="BH3" s="728"/>
      <c r="BI3" s="728"/>
      <c r="BJ3" s="728"/>
      <c r="BK3" s="728"/>
      <c r="BL3" s="728"/>
      <c r="BM3" s="728"/>
      <c r="BN3" s="728"/>
      <c r="BO3" s="728"/>
      <c r="BP3" s="728"/>
      <c r="BQ3" s="728"/>
      <c r="BR3" s="728"/>
      <c r="BS3" s="728"/>
      <c r="BT3" s="728"/>
      <c r="BU3" s="728"/>
      <c r="BV3" s="728"/>
      <c r="BW3" s="728"/>
      <c r="BX3" s="728"/>
      <c r="BY3" s="728"/>
      <c r="BZ3" s="728"/>
      <c r="CA3" s="728"/>
      <c r="CB3" s="728"/>
      <c r="CC3" s="728"/>
      <c r="CD3" s="728"/>
      <c r="CE3" s="728"/>
      <c r="CF3" s="728"/>
      <c r="CG3" s="728"/>
      <c r="CH3" s="728"/>
      <c r="CI3" s="728"/>
      <c r="CJ3" s="728"/>
      <c r="CK3" s="728"/>
      <c r="CL3" s="728"/>
      <c r="CM3" s="728"/>
      <c r="CN3" s="728"/>
      <c r="CO3" s="728"/>
      <c r="CP3" s="728"/>
      <c r="CQ3" s="728"/>
      <c r="CR3" s="728"/>
      <c r="CS3" s="728"/>
      <c r="CT3" s="728"/>
      <c r="CU3" s="728"/>
      <c r="CV3" s="728"/>
      <c r="CW3" s="728"/>
      <c r="CX3" s="728"/>
      <c r="CY3" s="728"/>
      <c r="CZ3" s="728"/>
      <c r="DA3" s="728"/>
      <c r="DB3" s="728"/>
      <c r="DC3" s="728"/>
      <c r="DD3" s="728"/>
      <c r="DE3" s="728"/>
      <c r="DF3" s="728"/>
      <c r="DG3" s="728"/>
      <c r="DH3" s="728"/>
      <c r="DI3" s="728"/>
      <c r="DJ3" s="728"/>
      <c r="DK3" s="728"/>
      <c r="DL3" s="728"/>
      <c r="DM3" s="728"/>
      <c r="DN3" s="728"/>
      <c r="DO3" s="728"/>
      <c r="DP3" s="728"/>
      <c r="DQ3" s="728"/>
      <c r="DR3" s="728"/>
      <c r="DS3" s="728"/>
      <c r="DT3" s="728"/>
      <c r="DU3" s="728"/>
      <c r="DV3" s="728"/>
      <c r="DW3" s="728"/>
      <c r="DX3" s="728"/>
      <c r="DY3" s="728"/>
      <c r="DZ3" s="728"/>
      <c r="EA3" s="728"/>
      <c r="EB3" s="728"/>
      <c r="EC3" s="728"/>
      <c r="ED3" s="728"/>
      <c r="EE3" s="728"/>
      <c r="EF3" s="728"/>
      <c r="EG3" s="728"/>
      <c r="EH3" s="728"/>
      <c r="EI3" s="728"/>
      <c r="EJ3" s="728"/>
      <c r="EK3" s="728"/>
      <c r="EL3" s="728"/>
      <c r="EM3" s="728"/>
      <c r="EN3" s="728"/>
      <c r="EO3" s="728"/>
      <c r="EP3" s="728"/>
      <c r="EQ3" s="728"/>
      <c r="ER3" s="728"/>
      <c r="ES3" s="728"/>
      <c r="ET3" s="728"/>
      <c r="EU3" s="728"/>
      <c r="EV3" s="728"/>
      <c r="EW3" s="728"/>
      <c r="EX3" s="728"/>
      <c r="EY3" s="728"/>
      <c r="EZ3" s="728"/>
      <c r="FA3" s="728"/>
      <c r="FB3" s="728"/>
      <c r="FC3" s="728"/>
      <c r="FD3" s="728"/>
      <c r="FE3" s="728"/>
      <c r="FF3" s="728"/>
      <c r="FG3" s="728"/>
      <c r="FH3" s="728"/>
      <c r="FI3" s="728"/>
      <c r="FJ3" s="728"/>
      <c r="FK3" s="728"/>
      <c r="FL3" s="728"/>
      <c r="FM3" s="728"/>
      <c r="FN3" s="728"/>
      <c r="FO3" s="728"/>
      <c r="FP3" s="728"/>
      <c r="FQ3" s="728"/>
      <c r="FR3" s="728"/>
      <c r="FS3" s="728"/>
      <c r="FT3" s="728"/>
      <c r="FU3" s="728"/>
      <c r="FV3" s="728"/>
      <c r="FW3" s="728"/>
      <c r="FX3" s="728"/>
      <c r="FY3" s="728"/>
      <c r="FZ3" s="728"/>
      <c r="GA3" s="728"/>
      <c r="GB3" s="728"/>
      <c r="GC3" s="728"/>
      <c r="GD3" s="728"/>
      <c r="GE3" s="728"/>
      <c r="GF3" s="728"/>
      <c r="GG3" s="728"/>
      <c r="GH3" s="728"/>
      <c r="GI3" s="728"/>
      <c r="GJ3" s="728"/>
      <c r="GK3" s="728"/>
      <c r="GL3" s="728"/>
      <c r="GM3" s="728"/>
      <c r="GN3" s="728"/>
      <c r="GO3" s="728"/>
      <c r="GP3" s="728"/>
      <c r="GQ3" s="728"/>
      <c r="GR3" s="728"/>
      <c r="GS3" s="728"/>
      <c r="GT3" s="728"/>
      <c r="GU3" s="728"/>
      <c r="GV3" s="728"/>
      <c r="GW3" s="728"/>
      <c r="GX3" s="728"/>
      <c r="GY3" s="728"/>
      <c r="GZ3" s="728"/>
      <c r="HA3" s="728"/>
      <c r="HB3" s="728"/>
      <c r="HC3" s="728"/>
      <c r="HD3" s="728"/>
      <c r="HE3" s="728"/>
      <c r="HF3" s="728"/>
      <c r="HG3" s="728"/>
      <c r="HH3" s="728"/>
      <c r="HI3" s="728"/>
      <c r="HJ3" s="728"/>
      <c r="HK3" s="728"/>
      <c r="HL3" s="728"/>
      <c r="HM3" s="728"/>
      <c r="HN3" s="728"/>
      <c r="HO3" s="728"/>
      <c r="HP3" s="728"/>
      <c r="HQ3" s="728"/>
      <c r="HR3" s="728"/>
      <c r="HS3" s="728"/>
      <c r="HT3" s="728"/>
      <c r="HU3" s="728"/>
      <c r="HV3" s="728"/>
      <c r="HW3" s="728"/>
      <c r="HX3" s="728"/>
      <c r="HY3" s="728"/>
      <c r="HZ3" s="728"/>
      <c r="IA3" s="728"/>
      <c r="IB3" s="728"/>
      <c r="IC3" s="728"/>
      <c r="ID3" s="728"/>
      <c r="IE3" s="728"/>
      <c r="IF3" s="728"/>
      <c r="IG3" s="728"/>
      <c r="IH3" s="728"/>
      <c r="II3" s="728"/>
      <c r="IJ3" s="728"/>
      <c r="IK3" s="728"/>
      <c r="IL3" s="728"/>
      <c r="IM3" s="728"/>
      <c r="IN3" s="728"/>
      <c r="IO3" s="728"/>
      <c r="IP3" s="728"/>
      <c r="IQ3" s="728"/>
      <c r="IR3" s="728"/>
      <c r="IS3" s="728"/>
      <c r="IT3" s="728"/>
      <c r="IU3" s="728"/>
      <c r="IV3" s="728"/>
      <c r="IW3" s="728"/>
    </row>
    <row r="4" customFormat="false" ht="21.75" hidden="false" customHeight="true" outlineLevel="0" collapsed="false">
      <c r="A4" s="729" t="inlineStr">
        <is>
          <t xml:space="preserve">3-D-005</t>
        </is>
      </c>
      <c r="B4" s="745" t="inlineStr">
        <is>
          <t xml:space="preserve">● 조기반응형헤드 적합 유수검지장치 설치 여부</t>
        </is>
      </c>
      <c r="C4" s="744"/>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4" hidden="false" customHeight="true" outlineLevel="0" collapsed="false">
      <c r="A5" s="759" t="inlineStr">
        <is>
          <t xml:space="preserve"> 3-E. 개방형스프링클러설비 방수구역 및 일제개방밸브</t>
        </is>
      </c>
      <c r="B5" s="759"/>
      <c r="C5" s="759"/>
    </row>
    <row r="6" customFormat="false" ht="21.75" hidden="false" customHeight="true" outlineLevel="0" collapsed="false">
      <c r="A6" s="795" t="inlineStr">
        <is>
          <t xml:space="preserve">3-E-001</t>
        </is>
      </c>
      <c r="B6" s="796" t="inlineStr">
        <is>
          <t xml:space="preserve">● 방수구역 적정 여부</t>
        </is>
      </c>
      <c r="C6" s="737"/>
      <c r="D6" s="728"/>
      <c r="E6" s="797"/>
      <c r="F6" s="728"/>
      <c r="G6" s="727" t="inlineStr">
        <is>
          <t xml:space="preserve">○</t>
        </is>
      </c>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3-E-002</t>
        </is>
      </c>
      <c r="B7" s="746" t="inlineStr">
        <is>
          <t xml:space="preserve">● 방수구역 별 일제개방밸브 설치 여부</t>
        </is>
      </c>
      <c r="C7" s="737"/>
      <c r="D7" s="728"/>
      <c r="E7" s="728"/>
      <c r="F7" s="728"/>
      <c r="G7" s="727" t="inlineStr">
        <is>
          <t xml:space="preserve">/</t>
        </is>
      </c>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3-E-003</t>
        </is>
      </c>
      <c r="B8" s="746" t="inlineStr">
        <is>
          <t xml:space="preserve">● 하나의 방수구역을 담당하는 헤드 개수 적정 여부</t>
        </is>
      </c>
      <c r="C8" s="737"/>
      <c r="D8" s="728"/>
      <c r="E8" s="728"/>
      <c r="F8" s="728"/>
      <c r="G8" s="727" t="inlineStr">
        <is>
          <t xml:space="preserve">×</t>
        </is>
      </c>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9" t="inlineStr">
        <is>
          <t xml:space="preserve">3-E-004</t>
        </is>
      </c>
      <c r="B9" s="800" t="inlineStr">
        <is>
          <t xml:space="preserve">○ 일제개방밸브실 설치 적정(실내(구획), 높이, 출입문, 표지)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4" hidden="false" customHeight="true" outlineLevel="0" collapsed="false">
      <c r="A10" s="794" t="inlineStr">
        <is>
          <t xml:space="preserve">  3-F. 배관</t>
        </is>
      </c>
      <c r="B10" s="794"/>
      <c r="C10" s="794"/>
    </row>
    <row r="11" customFormat="false" ht="21.75" hidden="false" customHeight="true" outlineLevel="0" collapsed="false">
      <c r="A11" s="725" t="inlineStr">
        <is>
          <t xml:space="preserve">3-F-001</t>
        </is>
      </c>
      <c r="B11" s="756" t="inlineStr">
        <is>
          <t xml:space="preserve">● 펌프의 흡입측 배관 여과장치의 상태 확인</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29" t="inlineStr">
        <is>
          <t xml:space="preserve">3-F-002</t>
        </is>
      </c>
      <c r="B12" s="745" t="inlineStr">
        <is>
          <t xml:space="preserve">● 성능시험배관 설치(개폐밸브, 유량조절밸브, 유량측정장치)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29" t="inlineStr">
        <is>
          <t xml:space="preserve">3-F-003</t>
        </is>
      </c>
      <c r="B13" s="745" t="inlineStr">
        <is>
          <t xml:space="preserve">● 순환배관 설치(설치위치·배관구경, 릴리프밸브 개방압력)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29" t="inlineStr">
        <is>
          <t xml:space="preserve">3-F-004</t>
        </is>
      </c>
      <c r="B14" s="745" t="inlineStr">
        <is>
          <t xml:space="preserve">● 동결방지조치 상태 적정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33.75" hidden="false" customHeight="true" outlineLevel="0" collapsed="false">
      <c r="A15" s="729" t="inlineStr">
        <is>
          <t xml:space="preserve">3-F-005</t>
        </is>
      </c>
      <c r="B15" s="746" t="inlineStr">
        <is>
          <t xml:space="preserve">○ 급수배관 개폐밸브 설치(개폐표시형, 흡입측 버터플라이 제외) 및 작동표시
   스위치 적정(제어반 표시 및 경보, 스위치 동작 및 도통시험) 여부</t>
        </is>
      </c>
      <c r="C15" s="737"/>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51" hidden="false" customHeight="true" outlineLevel="0" collapsed="false">
      <c r="A16" s="729" t="inlineStr">
        <is>
          <t xml:space="preserve">3-F-006</t>
        </is>
      </c>
      <c r="B16" s="746" t="inlineStr">
        <is>
          <t xml:space="preserve">○ 준비작동식 유수검지장치 및 일제개방밸브 2차측 배관 부대설비 설치 적정
   (개폐표시형 밸브, 수직배수배관, 개폐밸브, 자동배수장치, 압력스위치 설치 및 
   감시제어반 개방 확인) 여부</t>
        </is>
      </c>
      <c r="C16" s="737"/>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8"/>
      <c r="BC16" s="728"/>
      <c r="BD16" s="728"/>
      <c r="BE16" s="728"/>
      <c r="BF16" s="728"/>
      <c r="BG16" s="728"/>
      <c r="BH16" s="728"/>
      <c r="BI16" s="728"/>
      <c r="BJ16" s="728"/>
      <c r="BK16" s="728"/>
      <c r="BL16" s="728"/>
      <c r="BM16" s="728"/>
      <c r="BN16" s="728"/>
      <c r="BO16" s="728"/>
      <c r="BP16" s="728"/>
      <c r="BQ16" s="728"/>
      <c r="BR16" s="728"/>
      <c r="BS16" s="728"/>
      <c r="BT16" s="728"/>
      <c r="BU16" s="728"/>
      <c r="BV16" s="728"/>
      <c r="BW16" s="728"/>
      <c r="BX16" s="728"/>
      <c r="BY16" s="728"/>
      <c r="BZ16" s="728"/>
      <c r="CA16" s="728"/>
      <c r="CB16" s="728"/>
      <c r="CC16" s="728"/>
      <c r="CD16" s="728"/>
      <c r="CE16" s="728"/>
      <c r="CF16" s="728"/>
      <c r="CG16" s="728"/>
      <c r="CH16" s="728"/>
      <c r="CI16" s="728"/>
      <c r="CJ16" s="728"/>
      <c r="CK16" s="728"/>
      <c r="CL16" s="728"/>
      <c r="CM16" s="728"/>
      <c r="CN16" s="728"/>
      <c r="CO16" s="728"/>
      <c r="CP16" s="728"/>
      <c r="CQ16" s="728"/>
      <c r="CR16" s="728"/>
      <c r="CS16" s="728"/>
      <c r="CT16" s="728"/>
      <c r="CU16" s="728"/>
      <c r="CV16" s="728"/>
      <c r="CW16" s="728"/>
      <c r="CX16" s="728"/>
      <c r="CY16" s="728"/>
      <c r="CZ16" s="728"/>
      <c r="DA16" s="728"/>
      <c r="DB16" s="728"/>
      <c r="DC16" s="728"/>
      <c r="DD16" s="728"/>
      <c r="DE16" s="728"/>
      <c r="DF16" s="728"/>
      <c r="DG16" s="728"/>
      <c r="DH16" s="728"/>
      <c r="DI16" s="728"/>
      <c r="DJ16" s="728"/>
      <c r="DK16" s="728"/>
      <c r="DL16" s="728"/>
      <c r="DM16" s="728"/>
      <c r="DN16" s="728"/>
      <c r="DO16" s="728"/>
      <c r="DP16" s="728"/>
      <c r="DQ16" s="728"/>
      <c r="DR16" s="728"/>
      <c r="DS16" s="728"/>
      <c r="DT16" s="728"/>
      <c r="DU16" s="728"/>
      <c r="DV16" s="728"/>
      <c r="DW16" s="728"/>
      <c r="DX16" s="728"/>
      <c r="DY16" s="728"/>
      <c r="DZ16" s="728"/>
      <c r="EA16" s="728"/>
      <c r="EB16" s="728"/>
      <c r="EC16" s="728"/>
      <c r="ED16" s="728"/>
      <c r="EE16" s="728"/>
      <c r="EF16" s="728"/>
      <c r="EG16" s="728"/>
      <c r="EH16" s="728"/>
      <c r="EI16" s="728"/>
      <c r="EJ16" s="728"/>
      <c r="EK16" s="728"/>
      <c r="EL16" s="728"/>
      <c r="EM16" s="728"/>
      <c r="EN16" s="728"/>
      <c r="EO16" s="728"/>
      <c r="EP16" s="728"/>
      <c r="EQ16" s="728"/>
      <c r="ER16" s="728"/>
      <c r="ES16" s="728"/>
      <c r="ET16" s="728"/>
      <c r="EU16" s="728"/>
      <c r="EV16" s="728"/>
      <c r="EW16" s="728"/>
      <c r="EX16" s="728"/>
      <c r="EY16" s="728"/>
      <c r="EZ16" s="728"/>
      <c r="FA16" s="728"/>
      <c r="FB16" s="728"/>
      <c r="FC16" s="728"/>
      <c r="FD16" s="728"/>
      <c r="FE16" s="728"/>
      <c r="FF16" s="728"/>
      <c r="FG16" s="728"/>
      <c r="FH16" s="728"/>
      <c r="FI16" s="728"/>
      <c r="FJ16" s="728"/>
      <c r="FK16" s="728"/>
      <c r="FL16" s="728"/>
      <c r="FM16" s="728"/>
      <c r="FN16" s="728"/>
      <c r="FO16" s="728"/>
      <c r="FP16" s="728"/>
      <c r="FQ16" s="728"/>
      <c r="FR16" s="728"/>
      <c r="FS16" s="728"/>
      <c r="FT16" s="728"/>
      <c r="FU16" s="728"/>
      <c r="FV16" s="728"/>
      <c r="FW16" s="728"/>
      <c r="FX16" s="728"/>
      <c r="FY16" s="728"/>
      <c r="FZ16" s="728"/>
      <c r="GA16" s="728"/>
      <c r="GB16" s="728"/>
      <c r="GC16" s="728"/>
      <c r="GD16" s="728"/>
      <c r="GE16" s="728"/>
      <c r="GF16" s="728"/>
      <c r="GG16" s="728"/>
      <c r="GH16" s="728"/>
      <c r="GI16" s="728"/>
      <c r="GJ16" s="728"/>
      <c r="GK16" s="728"/>
      <c r="GL16" s="728"/>
      <c r="GM16" s="728"/>
      <c r="GN16" s="728"/>
      <c r="GO16" s="728"/>
      <c r="GP16" s="728"/>
      <c r="GQ16" s="728"/>
      <c r="GR16" s="728"/>
      <c r="GS16" s="728"/>
      <c r="GT16" s="728"/>
      <c r="GU16" s="728"/>
      <c r="GV16" s="728"/>
      <c r="GW16" s="728"/>
      <c r="GX16" s="728"/>
      <c r="GY16" s="728"/>
      <c r="GZ16" s="728"/>
      <c r="HA16" s="728"/>
      <c r="HB16" s="728"/>
      <c r="HC16" s="728"/>
      <c r="HD16" s="728"/>
      <c r="HE16" s="728"/>
      <c r="HF16" s="728"/>
      <c r="HG16" s="728"/>
      <c r="HH16" s="728"/>
      <c r="HI16" s="728"/>
      <c r="HJ16" s="728"/>
      <c r="HK16" s="728"/>
      <c r="HL16" s="728"/>
      <c r="HM16" s="728"/>
      <c r="HN16" s="728"/>
      <c r="HO16" s="728"/>
      <c r="HP16" s="728"/>
      <c r="HQ16" s="728"/>
      <c r="HR16" s="728"/>
      <c r="HS16" s="728"/>
      <c r="HT16" s="728"/>
      <c r="HU16" s="728"/>
      <c r="HV16" s="728"/>
      <c r="HW16" s="728"/>
      <c r="HX16" s="728"/>
      <c r="HY16" s="728"/>
      <c r="HZ16" s="728"/>
      <c r="IA16" s="728"/>
      <c r="IB16" s="728"/>
      <c r="IC16" s="728"/>
      <c r="ID16" s="728"/>
      <c r="IE16" s="728"/>
      <c r="IF16" s="728"/>
      <c r="IG16" s="728"/>
      <c r="IH16" s="728"/>
      <c r="II16" s="728"/>
      <c r="IJ16" s="728"/>
      <c r="IK16" s="728"/>
      <c r="IL16" s="728"/>
      <c r="IM16" s="728"/>
      <c r="IN16" s="728"/>
      <c r="IO16" s="728"/>
      <c r="IP16" s="728"/>
      <c r="IQ16" s="728"/>
      <c r="IR16" s="728"/>
      <c r="IS16" s="728"/>
      <c r="IT16" s="728"/>
      <c r="IU16" s="728"/>
      <c r="IV16" s="728"/>
      <c r="IW16" s="728"/>
    </row>
    <row r="17" customFormat="false" ht="33.75" hidden="false" customHeight="true" outlineLevel="0" collapsed="false">
      <c r="A17" s="729" t="inlineStr">
        <is>
          <t xml:space="preserve">3-F-007</t>
        </is>
      </c>
      <c r="B17" s="751" t="inlineStr">
        <is>
          <t xml:space="preserve">○ 유수검지장치 시험장치 설치 적정(설치위치, 배관구경, 개폐밸브 및 개방형 헤드, 
   물받이 통 및 배수관) 여부</t>
        </is>
      </c>
      <c r="C17" s="737"/>
      <c r="D17" s="728"/>
      <c r="E17" s="728"/>
      <c r="F17" s="728"/>
      <c r="G17" s="728"/>
      <c r="H17" s="728"/>
      <c r="I17" s="728"/>
      <c r="J17" s="728"/>
      <c r="K17" s="728"/>
      <c r="L17" s="728"/>
      <c r="M17" s="728"/>
      <c r="N17" s="728"/>
      <c r="O17" s="728"/>
      <c r="P17" s="728"/>
      <c r="Q17" s="728"/>
      <c r="R17" s="728"/>
      <c r="S17" s="728"/>
      <c r="T17" s="728"/>
      <c r="U17" s="728"/>
      <c r="V17" s="728"/>
      <c r="W17" s="728"/>
      <c r="X17" s="728"/>
      <c r="Y17" s="728"/>
      <c r="Z17" s="728"/>
      <c r="AA17" s="728"/>
      <c r="AB17" s="728"/>
      <c r="AC17" s="728"/>
      <c r="AD17" s="728"/>
      <c r="AE17" s="728"/>
      <c r="AF17" s="728"/>
      <c r="AG17" s="728"/>
      <c r="AH17" s="728"/>
      <c r="AI17" s="728"/>
      <c r="AJ17" s="728"/>
      <c r="AK17" s="728"/>
      <c r="AL17" s="728"/>
      <c r="AM17" s="728"/>
      <c r="AN17" s="728"/>
      <c r="AO17" s="728"/>
      <c r="AP17" s="728"/>
      <c r="AQ17" s="728"/>
      <c r="AR17" s="728"/>
      <c r="AS17" s="728"/>
      <c r="AT17" s="728"/>
      <c r="AU17" s="728"/>
      <c r="AV17" s="728"/>
      <c r="AW17" s="728"/>
      <c r="AX17" s="728"/>
      <c r="AY17" s="728"/>
      <c r="AZ17" s="728"/>
      <c r="BA17" s="728"/>
      <c r="BB17" s="728"/>
      <c r="BC17" s="728"/>
      <c r="BD17" s="728"/>
      <c r="BE17" s="728"/>
      <c r="BF17" s="728"/>
      <c r="BG17" s="728"/>
      <c r="BH17" s="728"/>
      <c r="BI17" s="728"/>
      <c r="BJ17" s="728"/>
      <c r="BK17" s="728"/>
      <c r="BL17" s="728"/>
      <c r="BM17" s="728"/>
      <c r="BN17" s="728"/>
      <c r="BO17" s="728"/>
      <c r="BP17" s="728"/>
      <c r="BQ17" s="728"/>
      <c r="BR17" s="728"/>
      <c r="BS17" s="728"/>
      <c r="BT17" s="728"/>
      <c r="BU17" s="728"/>
      <c r="BV17" s="728"/>
      <c r="BW17" s="728"/>
      <c r="BX17" s="728"/>
      <c r="BY17" s="728"/>
      <c r="BZ17" s="728"/>
      <c r="CA17" s="728"/>
      <c r="CB17" s="728"/>
      <c r="CC17" s="728"/>
      <c r="CD17" s="728"/>
      <c r="CE17" s="728"/>
      <c r="CF17" s="728"/>
      <c r="CG17" s="728"/>
      <c r="CH17" s="728"/>
      <c r="CI17" s="728"/>
      <c r="CJ17" s="728"/>
      <c r="CK17" s="728"/>
      <c r="CL17" s="728"/>
      <c r="CM17" s="728"/>
      <c r="CN17" s="728"/>
      <c r="CO17" s="728"/>
      <c r="CP17" s="728"/>
      <c r="CQ17" s="728"/>
      <c r="CR17" s="728"/>
      <c r="CS17" s="728"/>
      <c r="CT17" s="728"/>
      <c r="CU17" s="728"/>
      <c r="CV17" s="728"/>
      <c r="CW17" s="728"/>
      <c r="CX17" s="728"/>
      <c r="CY17" s="728"/>
      <c r="CZ17" s="728"/>
      <c r="DA17" s="728"/>
      <c r="DB17" s="728"/>
      <c r="DC17" s="728"/>
      <c r="DD17" s="728"/>
      <c r="DE17" s="728"/>
      <c r="DF17" s="728"/>
      <c r="DG17" s="728"/>
      <c r="DH17" s="728"/>
      <c r="DI17" s="728"/>
      <c r="DJ17" s="728"/>
      <c r="DK17" s="728"/>
      <c r="DL17" s="728"/>
      <c r="DM17" s="728"/>
      <c r="DN17" s="728"/>
      <c r="DO17" s="728"/>
      <c r="DP17" s="728"/>
      <c r="DQ17" s="728"/>
      <c r="DR17" s="728"/>
      <c r="DS17" s="728"/>
      <c r="DT17" s="728"/>
      <c r="DU17" s="728"/>
      <c r="DV17" s="728"/>
      <c r="DW17" s="728"/>
      <c r="DX17" s="728"/>
      <c r="DY17" s="728"/>
      <c r="DZ17" s="728"/>
      <c r="EA17" s="728"/>
      <c r="EB17" s="728"/>
      <c r="EC17" s="728"/>
      <c r="ED17" s="728"/>
      <c r="EE17" s="728"/>
      <c r="EF17" s="728"/>
      <c r="EG17" s="728"/>
      <c r="EH17" s="728"/>
      <c r="EI17" s="728"/>
      <c r="EJ17" s="728"/>
      <c r="EK17" s="728"/>
      <c r="EL17" s="728"/>
      <c r="EM17" s="728"/>
      <c r="EN17" s="728"/>
      <c r="EO17" s="728"/>
      <c r="EP17" s="728"/>
      <c r="EQ17" s="728"/>
      <c r="ER17" s="728"/>
      <c r="ES17" s="728"/>
      <c r="ET17" s="728"/>
      <c r="EU17" s="728"/>
      <c r="EV17" s="728"/>
      <c r="EW17" s="728"/>
      <c r="EX17" s="728"/>
      <c r="EY17" s="728"/>
      <c r="EZ17" s="728"/>
      <c r="FA17" s="728"/>
      <c r="FB17" s="728"/>
      <c r="FC17" s="728"/>
      <c r="FD17" s="728"/>
      <c r="FE17" s="728"/>
      <c r="FF17" s="728"/>
      <c r="FG17" s="728"/>
      <c r="FH17" s="728"/>
      <c r="FI17" s="728"/>
      <c r="FJ17" s="728"/>
      <c r="FK17" s="728"/>
      <c r="FL17" s="728"/>
      <c r="FM17" s="728"/>
      <c r="FN17" s="728"/>
      <c r="FO17" s="728"/>
      <c r="FP17" s="728"/>
      <c r="FQ17" s="728"/>
      <c r="FR17" s="728"/>
      <c r="FS17" s="728"/>
      <c r="FT17" s="728"/>
      <c r="FU17" s="728"/>
      <c r="FV17" s="728"/>
      <c r="FW17" s="728"/>
      <c r="FX17" s="728"/>
      <c r="FY17" s="728"/>
      <c r="FZ17" s="728"/>
      <c r="GA17" s="728"/>
      <c r="GB17" s="728"/>
      <c r="GC17" s="728"/>
      <c r="GD17" s="728"/>
      <c r="GE17" s="728"/>
      <c r="GF17" s="728"/>
      <c r="GG17" s="728"/>
      <c r="GH17" s="728"/>
      <c r="GI17" s="728"/>
      <c r="GJ17" s="728"/>
      <c r="GK17" s="728"/>
      <c r="GL17" s="728"/>
      <c r="GM17" s="728"/>
      <c r="GN17" s="728"/>
      <c r="GO17" s="728"/>
      <c r="GP17" s="728"/>
      <c r="GQ17" s="728"/>
      <c r="GR17" s="728"/>
      <c r="GS17" s="728"/>
      <c r="GT17" s="728"/>
      <c r="GU17" s="728"/>
      <c r="GV17" s="728"/>
      <c r="GW17" s="728"/>
      <c r="GX17" s="728"/>
      <c r="GY17" s="728"/>
      <c r="GZ17" s="728"/>
      <c r="HA17" s="728"/>
      <c r="HB17" s="728"/>
      <c r="HC17" s="728"/>
      <c r="HD17" s="728"/>
      <c r="HE17" s="728"/>
      <c r="HF17" s="728"/>
      <c r="HG17" s="728"/>
      <c r="HH17" s="728"/>
      <c r="HI17" s="728"/>
      <c r="HJ17" s="728"/>
      <c r="HK17" s="728"/>
      <c r="HL17" s="728"/>
      <c r="HM17" s="728"/>
      <c r="HN17" s="728"/>
      <c r="HO17" s="728"/>
      <c r="HP17" s="728"/>
      <c r="HQ17" s="728"/>
      <c r="HR17" s="728"/>
      <c r="HS17" s="728"/>
      <c r="HT17" s="728"/>
      <c r="HU17" s="728"/>
      <c r="HV17" s="728"/>
      <c r="HW17" s="728"/>
      <c r="HX17" s="728"/>
      <c r="HY17" s="728"/>
      <c r="HZ17" s="728"/>
      <c r="IA17" s="728"/>
      <c r="IB17" s="728"/>
      <c r="IC17" s="728"/>
      <c r="ID17" s="728"/>
      <c r="IE17" s="728"/>
      <c r="IF17" s="728"/>
      <c r="IG17" s="728"/>
      <c r="IH17" s="728"/>
      <c r="II17" s="728"/>
      <c r="IJ17" s="728"/>
      <c r="IK17" s="728"/>
      <c r="IL17" s="728"/>
      <c r="IM17" s="728"/>
      <c r="IN17" s="728"/>
      <c r="IO17" s="728"/>
      <c r="IP17" s="728"/>
      <c r="IQ17" s="728"/>
      <c r="IR17" s="728"/>
      <c r="IS17" s="728"/>
      <c r="IT17" s="728"/>
      <c r="IU17" s="728"/>
      <c r="IV17" s="728"/>
      <c r="IW17" s="728"/>
    </row>
    <row r="18" customFormat="false" ht="21.75" hidden="false" customHeight="true" outlineLevel="0" collapsed="false">
      <c r="A18" s="729" t="inlineStr">
        <is>
          <t xml:space="preserve">3-F-008</t>
        </is>
      </c>
      <c r="B18" s="745" t="inlineStr">
        <is>
          <t xml:space="preserve">● 주차장에 설치된 스프링클러 방식 적정(습식 외의 방식) 여부</t>
        </is>
      </c>
      <c r="C18" s="737"/>
      <c r="D18" s="728"/>
      <c r="E18" s="728"/>
      <c r="F18" s="728"/>
      <c r="G18" s="728"/>
      <c r="H18" s="728"/>
      <c r="I18" s="728"/>
      <c r="J18" s="728"/>
      <c r="K18" s="728"/>
      <c r="L18" s="728"/>
      <c r="M18" s="728"/>
      <c r="N18" s="728"/>
      <c r="O18" s="728"/>
      <c r="P18" s="728"/>
      <c r="Q18" s="728"/>
      <c r="R18" s="728"/>
      <c r="S18" s="728"/>
      <c r="T18" s="728"/>
      <c r="U18" s="728"/>
      <c r="V18" s="728"/>
      <c r="W18" s="728"/>
      <c r="X18" s="728"/>
      <c r="Y18" s="728"/>
      <c r="Z18" s="728"/>
      <c r="AA18" s="728"/>
      <c r="AB18" s="728"/>
      <c r="AC18" s="728"/>
      <c r="AD18" s="728"/>
      <c r="AE18" s="728"/>
      <c r="AF18" s="728"/>
      <c r="AG18" s="728"/>
      <c r="AH18" s="728"/>
      <c r="AI18" s="728"/>
      <c r="AJ18" s="728"/>
      <c r="AK18" s="728"/>
      <c r="AL18" s="728"/>
      <c r="AM18" s="728"/>
      <c r="AN18" s="728"/>
      <c r="AO18" s="728"/>
      <c r="AP18" s="728"/>
      <c r="AQ18" s="728"/>
      <c r="AR18" s="728"/>
      <c r="AS18" s="728"/>
      <c r="AT18" s="728"/>
      <c r="AU18" s="728"/>
      <c r="AV18" s="728"/>
      <c r="AW18" s="728"/>
      <c r="AX18" s="728"/>
      <c r="AY18" s="728"/>
      <c r="AZ18" s="728"/>
      <c r="BA18" s="728"/>
      <c r="BB18" s="728"/>
      <c r="BC18" s="728"/>
      <c r="BD18" s="728"/>
      <c r="BE18" s="728"/>
      <c r="BF18" s="728"/>
      <c r="BG18" s="728"/>
      <c r="BH18" s="728"/>
      <c r="BI18" s="728"/>
      <c r="BJ18" s="728"/>
      <c r="BK18" s="728"/>
      <c r="BL18" s="728"/>
      <c r="BM18" s="728"/>
      <c r="BN18" s="728"/>
      <c r="BO18" s="728"/>
      <c r="BP18" s="728"/>
      <c r="BQ18" s="728"/>
      <c r="BR18" s="728"/>
      <c r="BS18" s="728"/>
      <c r="BT18" s="728"/>
      <c r="BU18" s="728"/>
      <c r="BV18" s="728"/>
      <c r="BW18" s="728"/>
      <c r="BX18" s="728"/>
      <c r="BY18" s="728"/>
      <c r="BZ18" s="728"/>
      <c r="CA18" s="728"/>
      <c r="CB18" s="728"/>
      <c r="CC18" s="728"/>
      <c r="CD18" s="728"/>
      <c r="CE18" s="728"/>
      <c r="CF18" s="728"/>
      <c r="CG18" s="728"/>
      <c r="CH18" s="728"/>
      <c r="CI18" s="728"/>
      <c r="CJ18" s="728"/>
      <c r="CK18" s="728"/>
      <c r="CL18" s="728"/>
      <c r="CM18" s="728"/>
      <c r="CN18" s="728"/>
      <c r="CO18" s="728"/>
      <c r="CP18" s="728"/>
      <c r="CQ18" s="728"/>
      <c r="CR18" s="728"/>
      <c r="CS18" s="728"/>
      <c r="CT18" s="728"/>
      <c r="CU18" s="728"/>
      <c r="CV18" s="728"/>
      <c r="CW18" s="728"/>
      <c r="CX18" s="728"/>
      <c r="CY18" s="728"/>
      <c r="CZ18" s="728"/>
      <c r="DA18" s="728"/>
      <c r="DB18" s="728"/>
      <c r="DC18" s="728"/>
      <c r="DD18" s="728"/>
      <c r="DE18" s="728"/>
      <c r="DF18" s="728"/>
      <c r="DG18" s="728"/>
      <c r="DH18" s="728"/>
      <c r="DI18" s="728"/>
      <c r="DJ18" s="728"/>
      <c r="DK18" s="728"/>
      <c r="DL18" s="728"/>
      <c r="DM18" s="728"/>
      <c r="DN18" s="728"/>
      <c r="DO18" s="728"/>
      <c r="DP18" s="728"/>
      <c r="DQ18" s="728"/>
      <c r="DR18" s="728"/>
      <c r="DS18" s="728"/>
      <c r="DT18" s="728"/>
      <c r="DU18" s="728"/>
      <c r="DV18" s="728"/>
      <c r="DW18" s="728"/>
      <c r="DX18" s="728"/>
      <c r="DY18" s="728"/>
      <c r="DZ18" s="728"/>
      <c r="EA18" s="728"/>
      <c r="EB18" s="728"/>
      <c r="EC18" s="728"/>
      <c r="ED18" s="728"/>
      <c r="EE18" s="728"/>
      <c r="EF18" s="728"/>
      <c r="EG18" s="728"/>
      <c r="EH18" s="728"/>
      <c r="EI18" s="728"/>
      <c r="EJ18" s="728"/>
      <c r="EK18" s="728"/>
      <c r="EL18" s="728"/>
      <c r="EM18" s="728"/>
      <c r="EN18" s="728"/>
      <c r="EO18" s="728"/>
      <c r="EP18" s="728"/>
      <c r="EQ18" s="728"/>
      <c r="ER18" s="728"/>
      <c r="ES18" s="728"/>
      <c r="ET18" s="728"/>
      <c r="EU18" s="728"/>
      <c r="EV18" s="728"/>
      <c r="EW18" s="728"/>
      <c r="EX18" s="728"/>
      <c r="EY18" s="728"/>
      <c r="EZ18" s="728"/>
      <c r="FA18" s="728"/>
      <c r="FB18" s="728"/>
      <c r="FC18" s="728"/>
      <c r="FD18" s="728"/>
      <c r="FE18" s="728"/>
      <c r="FF18" s="728"/>
      <c r="FG18" s="728"/>
      <c r="FH18" s="728"/>
      <c r="FI18" s="728"/>
      <c r="FJ18" s="728"/>
      <c r="FK18" s="728"/>
      <c r="FL18" s="728"/>
      <c r="FM18" s="728"/>
      <c r="FN18" s="728"/>
      <c r="FO18" s="728"/>
      <c r="FP18" s="728"/>
      <c r="FQ18" s="728"/>
      <c r="FR18" s="728"/>
      <c r="FS18" s="728"/>
      <c r="FT18" s="728"/>
      <c r="FU18" s="728"/>
      <c r="FV18" s="728"/>
      <c r="FW18" s="728"/>
      <c r="FX18" s="728"/>
      <c r="FY18" s="728"/>
      <c r="FZ18" s="728"/>
      <c r="GA18" s="728"/>
      <c r="GB18" s="728"/>
      <c r="GC18" s="728"/>
      <c r="GD18" s="728"/>
      <c r="GE18" s="728"/>
      <c r="GF18" s="728"/>
      <c r="GG18" s="728"/>
      <c r="GH18" s="728"/>
      <c r="GI18" s="728"/>
      <c r="GJ18" s="728"/>
      <c r="GK18" s="728"/>
      <c r="GL18" s="728"/>
      <c r="GM18" s="728"/>
      <c r="GN18" s="728"/>
      <c r="GO18" s="728"/>
      <c r="GP18" s="728"/>
      <c r="GQ18" s="728"/>
      <c r="GR18" s="728"/>
      <c r="GS18" s="728"/>
      <c r="GT18" s="728"/>
      <c r="GU18" s="728"/>
      <c r="GV18" s="728"/>
      <c r="GW18" s="728"/>
      <c r="GX18" s="728"/>
      <c r="GY18" s="728"/>
      <c r="GZ18" s="728"/>
      <c r="HA18" s="728"/>
      <c r="HB18" s="728"/>
      <c r="HC18" s="728"/>
      <c r="HD18" s="728"/>
      <c r="HE18" s="728"/>
      <c r="HF18" s="728"/>
      <c r="HG18" s="728"/>
      <c r="HH18" s="728"/>
      <c r="HI18" s="728"/>
      <c r="HJ18" s="728"/>
      <c r="HK18" s="728"/>
      <c r="HL18" s="728"/>
      <c r="HM18" s="728"/>
      <c r="HN18" s="728"/>
      <c r="HO18" s="728"/>
      <c r="HP18" s="728"/>
      <c r="HQ18" s="728"/>
      <c r="HR18" s="728"/>
      <c r="HS18" s="728"/>
      <c r="HT18" s="728"/>
      <c r="HU18" s="728"/>
      <c r="HV18" s="728"/>
      <c r="HW18" s="728"/>
      <c r="HX18" s="728"/>
      <c r="HY18" s="728"/>
      <c r="HZ18" s="728"/>
      <c r="IA18" s="728"/>
      <c r="IB18" s="728"/>
      <c r="IC18" s="728"/>
      <c r="ID18" s="728"/>
      <c r="IE18" s="728"/>
      <c r="IF18" s="728"/>
      <c r="IG18" s="728"/>
      <c r="IH18" s="728"/>
      <c r="II18" s="728"/>
      <c r="IJ18" s="728"/>
      <c r="IK18" s="728"/>
      <c r="IL18" s="728"/>
      <c r="IM18" s="728"/>
      <c r="IN18" s="728"/>
      <c r="IO18" s="728"/>
      <c r="IP18" s="728"/>
      <c r="IQ18" s="728"/>
      <c r="IR18" s="728"/>
      <c r="IS18" s="728"/>
      <c r="IT18" s="728"/>
      <c r="IU18" s="728"/>
      <c r="IV18" s="728"/>
      <c r="IW18" s="728"/>
    </row>
    <row r="19" customFormat="false" ht="21.75" hidden="false" customHeight="true" outlineLevel="0" collapsed="false">
      <c r="A19" s="731" t="inlineStr">
        <is>
          <t xml:space="preserve">3-F-009</t>
        </is>
      </c>
      <c r="B19" s="800" t="inlineStr">
        <is>
          <t xml:space="preserve">● 다른 설비의 배관과의 구분 상태 적정 여부</t>
        </is>
      </c>
      <c r="C19" s="744"/>
      <c r="D19" s="728"/>
      <c r="E19" s="728"/>
      <c r="F19" s="728"/>
      <c r="G19" s="728"/>
      <c r="H19" s="728"/>
      <c r="I19" s="728"/>
      <c r="J19" s="728"/>
      <c r="K19" s="728"/>
      <c r="L19" s="728"/>
      <c r="M19" s="728"/>
      <c r="N19" s="728"/>
      <c r="O19" s="728"/>
      <c r="P19" s="728"/>
      <c r="Q19" s="728"/>
      <c r="R19" s="728"/>
      <c r="S19" s="728"/>
      <c r="T19" s="728"/>
      <c r="U19" s="728"/>
      <c r="V19" s="728"/>
      <c r="W19" s="728"/>
      <c r="X19" s="728"/>
      <c r="Y19" s="728"/>
      <c r="Z19" s="728"/>
      <c r="AA19" s="728"/>
      <c r="AB19" s="728"/>
      <c r="AC19" s="728"/>
      <c r="AD19" s="728"/>
      <c r="AE19" s="728"/>
      <c r="AF19" s="728"/>
      <c r="AG19" s="728"/>
      <c r="AH19" s="728"/>
      <c r="AI19" s="728"/>
      <c r="AJ19" s="728"/>
      <c r="AK19" s="728"/>
      <c r="AL19" s="728"/>
      <c r="AM19" s="728"/>
      <c r="AN19" s="728"/>
      <c r="AO19" s="728"/>
      <c r="AP19" s="728"/>
      <c r="AQ19" s="728"/>
      <c r="AR19" s="728"/>
      <c r="AS19" s="728"/>
      <c r="AT19" s="728"/>
      <c r="AU19" s="728"/>
      <c r="AV19" s="728"/>
      <c r="AW19" s="728"/>
      <c r="AX19" s="728"/>
      <c r="AY19" s="728"/>
      <c r="AZ19" s="728"/>
      <c r="BA19" s="728"/>
      <c r="BB19" s="728"/>
      <c r="BC19" s="728"/>
      <c r="BD19" s="728"/>
      <c r="BE19" s="728"/>
      <c r="BF19" s="728"/>
      <c r="BG19" s="728"/>
      <c r="BH19" s="728"/>
      <c r="BI19" s="728"/>
      <c r="BJ19" s="728"/>
      <c r="BK19" s="728"/>
      <c r="BL19" s="728"/>
      <c r="BM19" s="728"/>
      <c r="BN19" s="728"/>
      <c r="BO19" s="728"/>
      <c r="BP19" s="728"/>
      <c r="BQ19" s="728"/>
      <c r="BR19" s="728"/>
      <c r="BS19" s="728"/>
      <c r="BT19" s="728"/>
      <c r="BU19" s="728"/>
      <c r="BV19" s="728"/>
      <c r="BW19" s="728"/>
      <c r="BX19" s="728"/>
      <c r="BY19" s="728"/>
      <c r="BZ19" s="728"/>
      <c r="CA19" s="728"/>
      <c r="CB19" s="728"/>
      <c r="CC19" s="728"/>
      <c r="CD19" s="728"/>
      <c r="CE19" s="728"/>
      <c r="CF19" s="728"/>
      <c r="CG19" s="728"/>
      <c r="CH19" s="728"/>
      <c r="CI19" s="728"/>
      <c r="CJ19" s="728"/>
      <c r="CK19" s="728"/>
      <c r="CL19" s="728"/>
      <c r="CM19" s="728"/>
      <c r="CN19" s="728"/>
      <c r="CO19" s="728"/>
      <c r="CP19" s="728"/>
      <c r="CQ19" s="728"/>
      <c r="CR19" s="728"/>
      <c r="CS19" s="728"/>
      <c r="CT19" s="728"/>
      <c r="CU19" s="728"/>
      <c r="CV19" s="728"/>
      <c r="CW19" s="728"/>
      <c r="CX19" s="728"/>
      <c r="CY19" s="728"/>
      <c r="CZ19" s="728"/>
      <c r="DA19" s="728"/>
      <c r="DB19" s="728"/>
      <c r="DC19" s="728"/>
      <c r="DD19" s="728"/>
      <c r="DE19" s="728"/>
      <c r="DF19" s="728"/>
      <c r="DG19" s="728"/>
      <c r="DH19" s="728"/>
      <c r="DI19" s="728"/>
      <c r="DJ19" s="728"/>
      <c r="DK19" s="728"/>
      <c r="DL19" s="728"/>
      <c r="DM19" s="728"/>
      <c r="DN19" s="728"/>
      <c r="DO19" s="728"/>
      <c r="DP19" s="728"/>
      <c r="DQ19" s="728"/>
      <c r="DR19" s="728"/>
      <c r="DS19" s="728"/>
      <c r="DT19" s="728"/>
      <c r="DU19" s="728"/>
      <c r="DV19" s="728"/>
      <c r="DW19" s="728"/>
      <c r="DX19" s="728"/>
      <c r="DY19" s="728"/>
      <c r="DZ19" s="728"/>
      <c r="EA19" s="728"/>
      <c r="EB19" s="728"/>
      <c r="EC19" s="728"/>
      <c r="ED19" s="728"/>
      <c r="EE19" s="728"/>
      <c r="EF19" s="728"/>
      <c r="EG19" s="728"/>
      <c r="EH19" s="728"/>
      <c r="EI19" s="728"/>
      <c r="EJ19" s="728"/>
      <c r="EK19" s="728"/>
      <c r="EL19" s="728"/>
      <c r="EM19" s="728"/>
      <c r="EN19" s="728"/>
      <c r="EO19" s="728"/>
      <c r="EP19" s="728"/>
      <c r="EQ19" s="728"/>
      <c r="ER19" s="728"/>
      <c r="ES19" s="728"/>
      <c r="ET19" s="728"/>
      <c r="EU19" s="728"/>
      <c r="EV19" s="728"/>
      <c r="EW19" s="728"/>
      <c r="EX19" s="728"/>
      <c r="EY19" s="728"/>
      <c r="EZ19" s="728"/>
      <c r="FA19" s="728"/>
      <c r="FB19" s="728"/>
      <c r="FC19" s="728"/>
      <c r="FD19" s="728"/>
      <c r="FE19" s="728"/>
      <c r="FF19" s="728"/>
      <c r="FG19" s="728"/>
      <c r="FH19" s="728"/>
      <c r="FI19" s="728"/>
      <c r="FJ19" s="728"/>
      <c r="FK19" s="728"/>
      <c r="FL19" s="728"/>
      <c r="FM19" s="728"/>
      <c r="FN19" s="728"/>
      <c r="FO19" s="728"/>
      <c r="FP19" s="728"/>
      <c r="FQ19" s="728"/>
      <c r="FR19" s="728"/>
      <c r="FS19" s="728"/>
      <c r="FT19" s="728"/>
      <c r="FU19" s="728"/>
      <c r="FV19" s="728"/>
      <c r="FW19" s="728"/>
      <c r="FX19" s="728"/>
      <c r="FY19" s="728"/>
      <c r="FZ19" s="728"/>
      <c r="GA19" s="728"/>
      <c r="GB19" s="728"/>
      <c r="GC19" s="728"/>
      <c r="GD19" s="728"/>
      <c r="GE19" s="728"/>
      <c r="GF19" s="728"/>
      <c r="GG19" s="728"/>
      <c r="GH19" s="728"/>
      <c r="GI19" s="728"/>
      <c r="GJ19" s="728"/>
      <c r="GK19" s="728"/>
      <c r="GL19" s="728"/>
      <c r="GM19" s="728"/>
      <c r="GN19" s="728"/>
      <c r="GO19" s="728"/>
      <c r="GP19" s="728"/>
      <c r="GQ19" s="728"/>
      <c r="GR19" s="728"/>
      <c r="GS19" s="728"/>
      <c r="GT19" s="728"/>
      <c r="GU19" s="728"/>
      <c r="GV19" s="728"/>
      <c r="GW19" s="728"/>
      <c r="GX19" s="728"/>
      <c r="GY19" s="728"/>
      <c r="GZ19" s="728"/>
      <c r="HA19" s="728"/>
      <c r="HB19" s="728"/>
      <c r="HC19" s="728"/>
      <c r="HD19" s="728"/>
      <c r="HE19" s="728"/>
      <c r="HF19" s="728"/>
      <c r="HG19" s="728"/>
      <c r="HH19" s="728"/>
      <c r="HI19" s="728"/>
      <c r="HJ19" s="728"/>
      <c r="HK19" s="728"/>
      <c r="HL19" s="728"/>
      <c r="HM19" s="728"/>
      <c r="HN19" s="728"/>
      <c r="HO19" s="728"/>
      <c r="HP19" s="728"/>
      <c r="HQ19" s="728"/>
      <c r="HR19" s="728"/>
      <c r="HS19" s="728"/>
      <c r="HT19" s="728"/>
      <c r="HU19" s="728"/>
      <c r="HV19" s="728"/>
      <c r="HW19" s="728"/>
      <c r="HX19" s="728"/>
      <c r="HY19" s="728"/>
      <c r="HZ19" s="728"/>
      <c r="IA19" s="728"/>
      <c r="IB19" s="728"/>
      <c r="IC19" s="728"/>
      <c r="ID19" s="728"/>
      <c r="IE19" s="728"/>
      <c r="IF19" s="728"/>
      <c r="IG19" s="728"/>
      <c r="IH19" s="728"/>
      <c r="II19" s="728"/>
      <c r="IJ19" s="728"/>
      <c r="IK19" s="728"/>
      <c r="IL19" s="728"/>
      <c r="IM19" s="728"/>
      <c r="IN19" s="728"/>
      <c r="IO19" s="728"/>
      <c r="IP19" s="728"/>
      <c r="IQ19" s="728"/>
      <c r="IR19" s="728"/>
      <c r="IS19" s="728"/>
      <c r="IT19" s="728"/>
      <c r="IU19" s="728"/>
      <c r="IV19" s="728"/>
      <c r="IW19" s="728"/>
    </row>
    <row r="20" customFormat="false" ht="24" hidden="false" customHeight="true" outlineLevel="0" collapsed="false">
      <c r="A20" s="724" t="inlineStr">
        <is>
          <t xml:space="preserve"> 3-G. 음향장치 및 기동장치</t>
        </is>
      </c>
      <c r="B20" s="724"/>
      <c r="C20" s="724"/>
    </row>
    <row r="21" customFormat="false" ht="21.75" hidden="false" customHeight="true" outlineLevel="0" collapsed="false">
      <c r="A21" s="770" t="inlineStr">
        <is>
          <t xml:space="preserve">3-G-001</t>
        </is>
      </c>
      <c r="B21" s="743" t="inlineStr">
        <is>
          <t xml:space="preserve">○ 유수검지에 따른 음향장치 작동 가능 여부(습식·건식의 경우)</t>
        </is>
      </c>
      <c r="C21" s="793"/>
    </row>
    <row r="22" customFormat="false" ht="21.75" hidden="false" customHeight="true" outlineLevel="0" collapsed="false">
      <c r="A22" s="763" t="inlineStr">
        <is>
          <t xml:space="preserve">3-G-002</t>
        </is>
      </c>
      <c r="B22" s="743" t="inlineStr">
        <is>
          <t xml:space="preserve">○ 감지기 작동에 따라 음향장치 작동 여부(준비작동식 및 일제개방밸브의 경우)</t>
        </is>
      </c>
      <c r="C22" s="737"/>
    </row>
    <row r="23" customFormat="false" ht="21.75" hidden="false" customHeight="true" outlineLevel="0" collapsed="false">
      <c r="A23" s="763" t="inlineStr">
        <is>
          <t xml:space="preserve">3-G-003</t>
        </is>
      </c>
      <c r="B23" s="743" t="inlineStr">
        <is>
          <t xml:space="preserve">● 음향장치 설치 담당구역 및 수평거리 적정 여부</t>
        </is>
      </c>
      <c r="C23" s="737"/>
    </row>
    <row r="24" customFormat="false" ht="21.75" hidden="false" customHeight="true" outlineLevel="0" collapsed="false">
      <c r="A24" s="763" t="inlineStr">
        <is>
          <t xml:space="preserve">3-G-004</t>
        </is>
      </c>
      <c r="B24" s="743" t="inlineStr">
        <is>
          <t xml:space="preserve">● 주 음향장치 수신기 내부 또는 직근 설치 여부</t>
        </is>
      </c>
      <c r="C24" s="737"/>
    </row>
    <row r="25" customFormat="false" ht="21.75" hidden="false" customHeight="true" outlineLevel="0" collapsed="false">
      <c r="A25" s="763" t="inlineStr">
        <is>
          <t xml:space="preserve">3-G-005</t>
        </is>
      </c>
      <c r="B25" s="743" t="inlineStr">
        <is>
          <t xml:space="preserve">● 우선경보방식에 따른 경보 적정 여부</t>
        </is>
      </c>
      <c r="C25" s="737"/>
    </row>
    <row r="26" customFormat="false" ht="21.75" hidden="false" customHeight="true" outlineLevel="0" collapsed="false">
      <c r="A26" s="763" t="inlineStr">
        <is>
          <t xml:space="preserve">3-G-006</t>
        </is>
      </c>
      <c r="B26" s="743" t="inlineStr">
        <is>
          <t xml:space="preserve">○ 음향장치(경종 등) 변형·손상 확인 및 정상 작동(음량 포함) 여부</t>
        </is>
      </c>
      <c r="C26" s="737"/>
    </row>
    <row r="27" customFormat="false" ht="21.75" hidden="false" customHeight="true" outlineLevel="0" collapsed="false">
      <c r="A27" s="729"/>
      <c r="B27" s="762" t="inlineStr">
        <is>
          <t xml:space="preserve"> [펌프 작동]</t>
        </is>
      </c>
      <c r="C27" s="734"/>
    </row>
    <row r="28" customFormat="false" ht="33.75" hidden="false" customHeight="true" outlineLevel="0" collapsed="false">
      <c r="A28" s="763" t="inlineStr">
        <is>
          <t xml:space="preserve">3-G-011</t>
        </is>
      </c>
      <c r="B28" s="746" t="inlineStr">
        <is>
          <t xml:space="preserve">○ 유수검지장치의 발신이나 기동용 수압개폐장치의 작동에 따른 펌프 기동 확인
   (습식·건식의 경우)</t>
        </is>
      </c>
      <c r="C28" s="737"/>
    </row>
    <row r="29" customFormat="false" ht="33.75" hidden="false" customHeight="true" outlineLevel="0" collapsed="false">
      <c r="A29" s="763" t="inlineStr">
        <is>
          <t xml:space="preserve">3-G-012</t>
        </is>
      </c>
      <c r="B29" s="746" t="inlineStr">
        <is>
          <t xml:space="preserve">○ 화재감지기의 감지나 기동용 수압개폐장치의 작동에 따른 펌프 기동 확인
   (준비작동식 및 일제개방밸브의 경우)</t>
        </is>
      </c>
      <c r="C29" s="737"/>
    </row>
    <row r="30" customFormat="false" ht="21.75" hidden="false" customHeight="true" outlineLevel="0" collapsed="false">
      <c r="A30" s="729"/>
      <c r="B30" s="762" t="inlineStr">
        <is>
          <t xml:space="preserve"> [준비작동식유수검지장치 또는 일제개발밸브 작동]</t>
        </is>
      </c>
      <c r="C30" s="734"/>
    </row>
    <row r="31" customFormat="false" ht="21.75" hidden="false" customHeight="true" outlineLevel="0" collapsed="false">
      <c r="A31" s="763" t="inlineStr">
        <is>
          <t xml:space="preserve">3-G-021</t>
        </is>
      </c>
      <c r="B31" s="745" t="inlineStr">
        <is>
          <t xml:space="preserve">○ 담당구역내 화재감지기 동작(수동 기동 포함)에 따라 개방 및 작동 여부</t>
        </is>
      </c>
      <c r="C31" s="737"/>
    </row>
    <row r="32" customFormat="false" ht="21.75" hidden="false" customHeight="true" outlineLevel="0" collapsed="false">
      <c r="A32" s="764" t="inlineStr">
        <is>
          <t xml:space="preserve">3-G-022</t>
        </is>
      </c>
      <c r="B32" s="765" t="inlineStr">
        <is>
          <t xml:space="preserve">○ 수동조작함 (설치높이, 표시등) 설치 적정 여부</t>
        </is>
      </c>
      <c r="C32" s="801"/>
    </row>
  </sheetData>
  <mergeCells count="4">
    <mergeCell ref="A1:C1"/>
    <mergeCell ref="A5:C5"/>
    <mergeCell ref="A10:C10"/>
    <mergeCell ref="A20:C20"/>
  </mergeCells>
  <dataValidations count="1">
    <dataValidation allowBlank="true" errorStyle="stop" operator="between" showDropDown="false" showErrorMessage="true" showInputMessage="false" sqref="C3:C4 C6:C9 C11:C19 C21:C32" type="list">
      <formula1>$G$6:$G$8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40"/>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40" activeCellId="0" sqref="B40"/>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(3면)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3-H. 헤드</t>
        </is>
      </c>
      <c r="B3" s="759"/>
      <c r="C3" s="759"/>
    </row>
    <row r="4" customFormat="false" ht="20.25" hidden="false" customHeight="true" outlineLevel="0" collapsed="false">
      <c r="A4" s="770" t="inlineStr">
        <is>
          <t xml:space="preserve">3-H-001</t>
        </is>
      </c>
      <c r="B4" s="802" t="inlineStr">
        <is>
          <t xml:space="preserve">○ 헤드의 변형·손상 유무</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0.25" hidden="false" customHeight="true" outlineLevel="0" collapsed="false">
      <c r="A5" s="763" t="inlineStr">
        <is>
          <t xml:space="preserve">3-H-002</t>
        </is>
      </c>
      <c r="B5" s="803" t="inlineStr">
        <is>
          <t xml:space="preserve">○ 헤드 설치 위치·장소·상태(고정) 적정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0.25" hidden="false" customHeight="true" outlineLevel="0" collapsed="false">
      <c r="A6" s="763" t="inlineStr">
        <is>
          <t xml:space="preserve">3-H-003</t>
        </is>
      </c>
      <c r="B6" s="803" t="inlineStr">
        <is>
          <t xml:space="preserve">○ 헤드 살수장애 여부</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0.25" hidden="false" customHeight="true" outlineLevel="0" collapsed="false">
      <c r="A7" s="763" t="inlineStr">
        <is>
          <t xml:space="preserve">3-H-004</t>
        </is>
      </c>
      <c r="B7" s="803" t="inlineStr">
        <is>
          <t xml:space="preserve">● 무대부 또는 연소우려 있는 개구부 개방형 헤드 설치 여부</t>
        </is>
      </c>
      <c r="C7" s="73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0.25" hidden="false" customHeight="true" outlineLevel="0" collapsed="false">
      <c r="A8" s="763" t="inlineStr">
        <is>
          <t xml:space="preserve">3-H-005</t>
        </is>
      </c>
      <c r="B8" s="803" t="inlineStr">
        <is>
          <t xml:space="preserve">● 조기반응형 헤드 설치 여부(의무 설치 장소의 경우)</t>
        </is>
      </c>
      <c r="C8" s="73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0.25" hidden="false" customHeight="true" outlineLevel="0" collapsed="false">
      <c r="A9" s="763" t="inlineStr">
        <is>
          <t xml:space="preserve">3-H-006</t>
        </is>
      </c>
      <c r="B9" s="803" t="inlineStr">
        <is>
          <t xml:space="preserve">● 경사진 천장의 경우 스프링클러헤드의 배치상태</t>
        </is>
      </c>
      <c r="C9" s="737"/>
      <c r="D9" s="728"/>
      <c r="E9" s="728"/>
      <c r="F9" s="728"/>
      <c r="G9" s="727" t="inlineStr">
        <is>
          <t xml:space="preserve">○</t>
        </is>
      </c>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0.25" hidden="false" customHeight="true" outlineLevel="0" collapsed="false">
      <c r="A10" s="763" t="inlineStr">
        <is>
          <t xml:space="preserve">3-H-007</t>
        </is>
      </c>
      <c r="B10" s="803" t="inlineStr">
        <is>
          <t xml:space="preserve">● 연소할 우려가 있는 개구부 헤드 설치 적정 여부</t>
        </is>
      </c>
      <c r="C10" s="737"/>
      <c r="D10" s="728"/>
      <c r="E10" s="728"/>
      <c r="F10" s="728"/>
      <c r="G10" s="727" t="inlineStr">
        <is>
          <t xml:space="preserve">/</t>
        </is>
      </c>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0.25" hidden="false" customHeight="true" outlineLevel="0" collapsed="false">
      <c r="A11" s="763" t="inlineStr">
        <is>
          <t xml:space="preserve">3-H-008</t>
        </is>
      </c>
      <c r="B11" s="803" t="inlineStr">
        <is>
          <t xml:space="preserve">● 습식·부압식스프링클러 외의 설비 상향식 헤드 설치 여부</t>
        </is>
      </c>
      <c r="C11" s="737"/>
      <c r="D11" s="728"/>
      <c r="E11" s="728"/>
      <c r="F11" s="728"/>
      <c r="G11" s="727" t="inlineStr">
        <is>
          <t xml:space="preserve">×</t>
        </is>
      </c>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0.25" hidden="false" customHeight="true" outlineLevel="0" collapsed="false">
      <c r="A12" s="763" t="inlineStr">
        <is>
          <t xml:space="preserve">3-H-009</t>
        </is>
      </c>
      <c r="B12" s="803" t="inlineStr">
        <is>
          <t xml:space="preserve">● 측벽형 헤드 설치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0.25" hidden="false" customHeight="true" outlineLevel="0" collapsed="false">
      <c r="A13" s="775" t="inlineStr">
        <is>
          <t xml:space="preserve">3-H-010</t>
        </is>
      </c>
      <c r="B13" s="804" t="inlineStr">
        <is>
          <t xml:space="preserve">● 감열부에 영향을 받을 우려가 있는 헤드의 차폐판 설치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4" hidden="false" customHeight="true" outlineLevel="0" collapsed="false">
      <c r="A14" s="794" t="inlineStr">
        <is>
          <t xml:space="preserve"> 3-I. 송수구</t>
        </is>
      </c>
      <c r="B14" s="794"/>
      <c r="C14" s="794"/>
    </row>
    <row r="15" customFormat="false" ht="20.25" hidden="false" customHeight="true" outlineLevel="0" collapsed="false">
      <c r="A15" s="770" t="inlineStr">
        <is>
          <t xml:space="preserve">3-I-001</t>
        </is>
      </c>
      <c r="B15" s="756" t="inlineStr">
        <is>
          <t xml:space="preserve">○ 설치장소 적정 여부</t>
        </is>
      </c>
      <c r="C15" s="737"/>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20.25" hidden="false" customHeight="true" outlineLevel="0" collapsed="false">
      <c r="A16" s="763" t="inlineStr">
        <is>
          <t xml:space="preserve">3-I-002</t>
        </is>
      </c>
      <c r="B16" s="745" t="inlineStr">
        <is>
          <t xml:space="preserve">● 연결배관에 개폐밸브를 설치한 경우 개폐상태 확인 및 조작가능 여부</t>
        </is>
      </c>
      <c r="C16" s="737"/>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8"/>
      <c r="BC16" s="728"/>
      <c r="BD16" s="728"/>
      <c r="BE16" s="728"/>
      <c r="BF16" s="728"/>
      <c r="BG16" s="728"/>
      <c r="BH16" s="728"/>
      <c r="BI16" s="728"/>
      <c r="BJ16" s="728"/>
      <c r="BK16" s="728"/>
      <c r="BL16" s="728"/>
      <c r="BM16" s="728"/>
      <c r="BN16" s="728"/>
      <c r="BO16" s="728"/>
      <c r="BP16" s="728"/>
      <c r="BQ16" s="728"/>
      <c r="BR16" s="728"/>
      <c r="BS16" s="728"/>
      <c r="BT16" s="728"/>
      <c r="BU16" s="728"/>
      <c r="BV16" s="728"/>
      <c r="BW16" s="728"/>
      <c r="BX16" s="728"/>
      <c r="BY16" s="728"/>
      <c r="BZ16" s="728"/>
      <c r="CA16" s="728"/>
      <c r="CB16" s="728"/>
      <c r="CC16" s="728"/>
      <c r="CD16" s="728"/>
      <c r="CE16" s="728"/>
      <c r="CF16" s="728"/>
      <c r="CG16" s="728"/>
      <c r="CH16" s="728"/>
      <c r="CI16" s="728"/>
      <c r="CJ16" s="728"/>
      <c r="CK16" s="728"/>
      <c r="CL16" s="728"/>
      <c r="CM16" s="728"/>
      <c r="CN16" s="728"/>
      <c r="CO16" s="728"/>
      <c r="CP16" s="728"/>
      <c r="CQ16" s="728"/>
      <c r="CR16" s="728"/>
      <c r="CS16" s="728"/>
      <c r="CT16" s="728"/>
      <c r="CU16" s="728"/>
      <c r="CV16" s="728"/>
      <c r="CW16" s="728"/>
      <c r="CX16" s="728"/>
      <c r="CY16" s="728"/>
      <c r="CZ16" s="728"/>
      <c r="DA16" s="728"/>
      <c r="DB16" s="728"/>
      <c r="DC16" s="728"/>
      <c r="DD16" s="728"/>
      <c r="DE16" s="728"/>
      <c r="DF16" s="728"/>
      <c r="DG16" s="728"/>
      <c r="DH16" s="728"/>
      <c r="DI16" s="728"/>
      <c r="DJ16" s="728"/>
      <c r="DK16" s="728"/>
      <c r="DL16" s="728"/>
      <c r="DM16" s="728"/>
      <c r="DN16" s="728"/>
      <c r="DO16" s="728"/>
      <c r="DP16" s="728"/>
      <c r="DQ16" s="728"/>
      <c r="DR16" s="728"/>
      <c r="DS16" s="728"/>
      <c r="DT16" s="728"/>
      <c r="DU16" s="728"/>
      <c r="DV16" s="728"/>
      <c r="DW16" s="728"/>
      <c r="DX16" s="728"/>
      <c r="DY16" s="728"/>
      <c r="DZ16" s="728"/>
      <c r="EA16" s="728"/>
      <c r="EB16" s="728"/>
      <c r="EC16" s="728"/>
      <c r="ED16" s="728"/>
      <c r="EE16" s="728"/>
      <c r="EF16" s="728"/>
      <c r="EG16" s="728"/>
      <c r="EH16" s="728"/>
      <c r="EI16" s="728"/>
      <c r="EJ16" s="728"/>
      <c r="EK16" s="728"/>
      <c r="EL16" s="728"/>
      <c r="EM16" s="728"/>
      <c r="EN16" s="728"/>
      <c r="EO16" s="728"/>
      <c r="EP16" s="728"/>
      <c r="EQ16" s="728"/>
      <c r="ER16" s="728"/>
      <c r="ES16" s="728"/>
      <c r="ET16" s="728"/>
      <c r="EU16" s="728"/>
      <c r="EV16" s="728"/>
      <c r="EW16" s="728"/>
      <c r="EX16" s="728"/>
      <c r="EY16" s="728"/>
      <c r="EZ16" s="728"/>
      <c r="FA16" s="728"/>
      <c r="FB16" s="728"/>
      <c r="FC16" s="728"/>
      <c r="FD16" s="728"/>
      <c r="FE16" s="728"/>
      <c r="FF16" s="728"/>
      <c r="FG16" s="728"/>
      <c r="FH16" s="728"/>
      <c r="FI16" s="728"/>
      <c r="FJ16" s="728"/>
      <c r="FK16" s="728"/>
      <c r="FL16" s="728"/>
      <c r="FM16" s="728"/>
      <c r="FN16" s="728"/>
      <c r="FO16" s="728"/>
      <c r="FP16" s="728"/>
      <c r="FQ16" s="728"/>
      <c r="FR16" s="728"/>
      <c r="FS16" s="728"/>
      <c r="FT16" s="728"/>
      <c r="FU16" s="728"/>
      <c r="FV16" s="728"/>
      <c r="FW16" s="728"/>
      <c r="FX16" s="728"/>
      <c r="FY16" s="728"/>
      <c r="FZ16" s="728"/>
      <c r="GA16" s="728"/>
      <c r="GB16" s="728"/>
      <c r="GC16" s="728"/>
      <c r="GD16" s="728"/>
      <c r="GE16" s="728"/>
      <c r="GF16" s="728"/>
      <c r="GG16" s="728"/>
      <c r="GH16" s="728"/>
      <c r="GI16" s="728"/>
      <c r="GJ16" s="728"/>
      <c r="GK16" s="728"/>
      <c r="GL16" s="728"/>
      <c r="GM16" s="728"/>
      <c r="GN16" s="728"/>
      <c r="GO16" s="728"/>
      <c r="GP16" s="728"/>
      <c r="GQ16" s="728"/>
      <c r="GR16" s="728"/>
      <c r="GS16" s="728"/>
      <c r="GT16" s="728"/>
      <c r="GU16" s="728"/>
      <c r="GV16" s="728"/>
      <c r="GW16" s="728"/>
      <c r="GX16" s="728"/>
      <c r="GY16" s="728"/>
      <c r="GZ16" s="728"/>
      <c r="HA16" s="728"/>
      <c r="HB16" s="728"/>
      <c r="HC16" s="728"/>
      <c r="HD16" s="728"/>
      <c r="HE16" s="728"/>
      <c r="HF16" s="728"/>
      <c r="HG16" s="728"/>
      <c r="HH16" s="728"/>
      <c r="HI16" s="728"/>
      <c r="HJ16" s="728"/>
      <c r="HK16" s="728"/>
      <c r="HL16" s="728"/>
      <c r="HM16" s="728"/>
      <c r="HN16" s="728"/>
      <c r="HO16" s="728"/>
      <c r="HP16" s="728"/>
      <c r="HQ16" s="728"/>
      <c r="HR16" s="728"/>
      <c r="HS16" s="728"/>
      <c r="HT16" s="728"/>
      <c r="HU16" s="728"/>
      <c r="HV16" s="728"/>
      <c r="HW16" s="728"/>
      <c r="HX16" s="728"/>
      <c r="HY16" s="728"/>
      <c r="HZ16" s="728"/>
      <c r="IA16" s="728"/>
      <c r="IB16" s="728"/>
      <c r="IC16" s="728"/>
      <c r="ID16" s="728"/>
      <c r="IE16" s="728"/>
      <c r="IF16" s="728"/>
      <c r="IG16" s="728"/>
      <c r="IH16" s="728"/>
      <c r="II16" s="728"/>
      <c r="IJ16" s="728"/>
      <c r="IK16" s="728"/>
      <c r="IL16" s="728"/>
      <c r="IM16" s="728"/>
      <c r="IN16" s="728"/>
      <c r="IO16" s="728"/>
      <c r="IP16" s="728"/>
      <c r="IQ16" s="728"/>
      <c r="IR16" s="728"/>
      <c r="IS16" s="728"/>
      <c r="IT16" s="728"/>
      <c r="IU16" s="728"/>
      <c r="IV16" s="728"/>
      <c r="IW16" s="728"/>
    </row>
    <row r="17" customFormat="false" ht="20.25" hidden="false" customHeight="true" outlineLevel="0" collapsed="false">
      <c r="A17" s="763" t="inlineStr">
        <is>
          <t xml:space="preserve">3-I-003</t>
        </is>
      </c>
      <c r="B17" s="745" t="inlineStr">
        <is>
          <t xml:space="preserve">● 송수구 설치 높이 및 구경 적정 여부</t>
        </is>
      </c>
      <c r="C17" s="737"/>
      <c r="D17" s="728"/>
      <c r="E17" s="728"/>
      <c r="F17" s="728"/>
      <c r="G17" s="728"/>
      <c r="H17" s="728"/>
      <c r="I17" s="728"/>
      <c r="J17" s="728"/>
      <c r="K17" s="728"/>
      <c r="L17" s="728"/>
      <c r="M17" s="728"/>
      <c r="N17" s="728"/>
      <c r="O17" s="728"/>
      <c r="P17" s="728"/>
      <c r="Q17" s="728"/>
      <c r="R17" s="728"/>
      <c r="S17" s="728"/>
      <c r="T17" s="728"/>
      <c r="U17" s="728"/>
      <c r="V17" s="728"/>
      <c r="W17" s="728"/>
      <c r="X17" s="728"/>
      <c r="Y17" s="728"/>
      <c r="Z17" s="728"/>
      <c r="AA17" s="728"/>
      <c r="AB17" s="728"/>
      <c r="AC17" s="728"/>
      <c r="AD17" s="728"/>
      <c r="AE17" s="728"/>
      <c r="AF17" s="728"/>
      <c r="AG17" s="728"/>
      <c r="AH17" s="728"/>
      <c r="AI17" s="728"/>
      <c r="AJ17" s="728"/>
      <c r="AK17" s="728"/>
      <c r="AL17" s="728"/>
      <c r="AM17" s="728"/>
      <c r="AN17" s="728"/>
      <c r="AO17" s="728"/>
      <c r="AP17" s="728"/>
      <c r="AQ17" s="728"/>
      <c r="AR17" s="728"/>
      <c r="AS17" s="728"/>
      <c r="AT17" s="728"/>
      <c r="AU17" s="728"/>
      <c r="AV17" s="728"/>
      <c r="AW17" s="728"/>
      <c r="AX17" s="728"/>
      <c r="AY17" s="728"/>
      <c r="AZ17" s="728"/>
      <c r="BA17" s="728"/>
      <c r="BB17" s="728"/>
      <c r="BC17" s="728"/>
      <c r="BD17" s="728"/>
      <c r="BE17" s="728"/>
      <c r="BF17" s="728"/>
      <c r="BG17" s="728"/>
      <c r="BH17" s="728"/>
      <c r="BI17" s="728"/>
      <c r="BJ17" s="728"/>
      <c r="BK17" s="728"/>
      <c r="BL17" s="728"/>
      <c r="BM17" s="728"/>
      <c r="BN17" s="728"/>
      <c r="BO17" s="728"/>
      <c r="BP17" s="728"/>
      <c r="BQ17" s="728"/>
      <c r="BR17" s="728"/>
      <c r="BS17" s="728"/>
      <c r="BT17" s="728"/>
      <c r="BU17" s="728"/>
      <c r="BV17" s="728"/>
      <c r="BW17" s="728"/>
      <c r="BX17" s="728"/>
      <c r="BY17" s="728"/>
      <c r="BZ17" s="728"/>
      <c r="CA17" s="728"/>
      <c r="CB17" s="728"/>
      <c r="CC17" s="728"/>
      <c r="CD17" s="728"/>
      <c r="CE17" s="728"/>
      <c r="CF17" s="728"/>
      <c r="CG17" s="728"/>
      <c r="CH17" s="728"/>
      <c r="CI17" s="728"/>
      <c r="CJ17" s="728"/>
      <c r="CK17" s="728"/>
      <c r="CL17" s="728"/>
      <c r="CM17" s="728"/>
      <c r="CN17" s="728"/>
      <c r="CO17" s="728"/>
      <c r="CP17" s="728"/>
      <c r="CQ17" s="728"/>
      <c r="CR17" s="728"/>
      <c r="CS17" s="728"/>
      <c r="CT17" s="728"/>
      <c r="CU17" s="728"/>
      <c r="CV17" s="728"/>
      <c r="CW17" s="728"/>
      <c r="CX17" s="728"/>
      <c r="CY17" s="728"/>
      <c r="CZ17" s="728"/>
      <c r="DA17" s="728"/>
      <c r="DB17" s="728"/>
      <c r="DC17" s="728"/>
      <c r="DD17" s="728"/>
      <c r="DE17" s="728"/>
      <c r="DF17" s="728"/>
      <c r="DG17" s="728"/>
      <c r="DH17" s="728"/>
      <c r="DI17" s="728"/>
      <c r="DJ17" s="728"/>
      <c r="DK17" s="728"/>
      <c r="DL17" s="728"/>
      <c r="DM17" s="728"/>
      <c r="DN17" s="728"/>
      <c r="DO17" s="728"/>
      <c r="DP17" s="728"/>
      <c r="DQ17" s="728"/>
      <c r="DR17" s="728"/>
      <c r="DS17" s="728"/>
      <c r="DT17" s="728"/>
      <c r="DU17" s="728"/>
      <c r="DV17" s="728"/>
      <c r="DW17" s="728"/>
      <c r="DX17" s="728"/>
      <c r="DY17" s="728"/>
      <c r="DZ17" s="728"/>
      <c r="EA17" s="728"/>
      <c r="EB17" s="728"/>
      <c r="EC17" s="728"/>
      <c r="ED17" s="728"/>
      <c r="EE17" s="728"/>
      <c r="EF17" s="728"/>
      <c r="EG17" s="728"/>
      <c r="EH17" s="728"/>
      <c r="EI17" s="728"/>
      <c r="EJ17" s="728"/>
      <c r="EK17" s="728"/>
      <c r="EL17" s="728"/>
      <c r="EM17" s="728"/>
      <c r="EN17" s="728"/>
      <c r="EO17" s="728"/>
      <c r="EP17" s="728"/>
      <c r="EQ17" s="728"/>
      <c r="ER17" s="728"/>
      <c r="ES17" s="728"/>
      <c r="ET17" s="728"/>
      <c r="EU17" s="728"/>
      <c r="EV17" s="728"/>
      <c r="EW17" s="728"/>
      <c r="EX17" s="728"/>
      <c r="EY17" s="728"/>
      <c r="EZ17" s="728"/>
      <c r="FA17" s="728"/>
      <c r="FB17" s="728"/>
      <c r="FC17" s="728"/>
      <c r="FD17" s="728"/>
      <c r="FE17" s="728"/>
      <c r="FF17" s="728"/>
      <c r="FG17" s="728"/>
      <c r="FH17" s="728"/>
      <c r="FI17" s="728"/>
      <c r="FJ17" s="728"/>
      <c r="FK17" s="728"/>
      <c r="FL17" s="728"/>
      <c r="FM17" s="728"/>
      <c r="FN17" s="728"/>
      <c r="FO17" s="728"/>
      <c r="FP17" s="728"/>
      <c r="FQ17" s="728"/>
      <c r="FR17" s="728"/>
      <c r="FS17" s="728"/>
      <c r="FT17" s="728"/>
      <c r="FU17" s="728"/>
      <c r="FV17" s="728"/>
      <c r="FW17" s="728"/>
      <c r="FX17" s="728"/>
      <c r="FY17" s="728"/>
      <c r="FZ17" s="728"/>
      <c r="GA17" s="728"/>
      <c r="GB17" s="728"/>
      <c r="GC17" s="728"/>
      <c r="GD17" s="728"/>
      <c r="GE17" s="728"/>
      <c r="GF17" s="728"/>
      <c r="GG17" s="728"/>
      <c r="GH17" s="728"/>
      <c r="GI17" s="728"/>
      <c r="GJ17" s="728"/>
      <c r="GK17" s="728"/>
      <c r="GL17" s="728"/>
      <c r="GM17" s="728"/>
      <c r="GN17" s="728"/>
      <c r="GO17" s="728"/>
      <c r="GP17" s="728"/>
      <c r="GQ17" s="728"/>
      <c r="GR17" s="728"/>
      <c r="GS17" s="728"/>
      <c r="GT17" s="728"/>
      <c r="GU17" s="728"/>
      <c r="GV17" s="728"/>
      <c r="GW17" s="728"/>
      <c r="GX17" s="728"/>
      <c r="GY17" s="728"/>
      <c r="GZ17" s="728"/>
      <c r="HA17" s="728"/>
      <c r="HB17" s="728"/>
      <c r="HC17" s="728"/>
      <c r="HD17" s="728"/>
      <c r="HE17" s="728"/>
      <c r="HF17" s="728"/>
      <c r="HG17" s="728"/>
      <c r="HH17" s="728"/>
      <c r="HI17" s="728"/>
      <c r="HJ17" s="728"/>
      <c r="HK17" s="728"/>
      <c r="HL17" s="728"/>
      <c r="HM17" s="728"/>
      <c r="HN17" s="728"/>
      <c r="HO17" s="728"/>
      <c r="HP17" s="728"/>
      <c r="HQ17" s="728"/>
      <c r="HR17" s="728"/>
      <c r="HS17" s="728"/>
      <c r="HT17" s="728"/>
      <c r="HU17" s="728"/>
      <c r="HV17" s="728"/>
      <c r="HW17" s="728"/>
      <c r="HX17" s="728"/>
      <c r="HY17" s="728"/>
      <c r="HZ17" s="728"/>
      <c r="IA17" s="728"/>
      <c r="IB17" s="728"/>
      <c r="IC17" s="728"/>
      <c r="ID17" s="728"/>
      <c r="IE17" s="728"/>
      <c r="IF17" s="728"/>
      <c r="IG17" s="728"/>
      <c r="IH17" s="728"/>
      <c r="II17" s="728"/>
      <c r="IJ17" s="728"/>
      <c r="IK17" s="728"/>
      <c r="IL17" s="728"/>
      <c r="IM17" s="728"/>
      <c r="IN17" s="728"/>
      <c r="IO17" s="728"/>
      <c r="IP17" s="728"/>
      <c r="IQ17" s="728"/>
      <c r="IR17" s="728"/>
      <c r="IS17" s="728"/>
      <c r="IT17" s="728"/>
      <c r="IU17" s="728"/>
      <c r="IV17" s="728"/>
      <c r="IW17" s="728"/>
    </row>
    <row r="18" customFormat="false" ht="20.25" hidden="false" customHeight="true" outlineLevel="0" collapsed="false">
      <c r="A18" s="763" t="inlineStr">
        <is>
          <t xml:space="preserve">3-I-004</t>
        </is>
      </c>
      <c r="B18" s="745" t="inlineStr">
        <is>
          <t xml:space="preserve">○ 송수압력범위 표시 표지 설치 여부</t>
        </is>
      </c>
      <c r="C18" s="737"/>
      <c r="D18" s="728"/>
      <c r="E18" s="728"/>
      <c r="F18" s="728"/>
      <c r="G18" s="728"/>
      <c r="H18" s="728"/>
      <c r="I18" s="728"/>
      <c r="J18" s="728"/>
      <c r="K18" s="728"/>
      <c r="L18" s="728"/>
      <c r="M18" s="728"/>
      <c r="N18" s="728"/>
      <c r="O18" s="728"/>
      <c r="P18" s="728"/>
      <c r="Q18" s="728"/>
      <c r="R18" s="728"/>
      <c r="S18" s="728"/>
      <c r="T18" s="728"/>
      <c r="U18" s="728"/>
      <c r="V18" s="728"/>
      <c r="W18" s="728"/>
      <c r="X18" s="728"/>
      <c r="Y18" s="728"/>
      <c r="Z18" s="728"/>
      <c r="AA18" s="728"/>
      <c r="AB18" s="728"/>
      <c r="AC18" s="728"/>
      <c r="AD18" s="728"/>
      <c r="AE18" s="728"/>
      <c r="AF18" s="728"/>
      <c r="AG18" s="728"/>
      <c r="AH18" s="728"/>
      <c r="AI18" s="728"/>
      <c r="AJ18" s="728"/>
      <c r="AK18" s="728"/>
      <c r="AL18" s="728"/>
      <c r="AM18" s="728"/>
      <c r="AN18" s="728"/>
      <c r="AO18" s="728"/>
      <c r="AP18" s="728"/>
      <c r="AQ18" s="728"/>
      <c r="AR18" s="728"/>
      <c r="AS18" s="728"/>
      <c r="AT18" s="728"/>
      <c r="AU18" s="728"/>
      <c r="AV18" s="728"/>
      <c r="AW18" s="728"/>
      <c r="AX18" s="728"/>
      <c r="AY18" s="728"/>
      <c r="AZ18" s="728"/>
      <c r="BA18" s="728"/>
      <c r="BB18" s="728"/>
      <c r="BC18" s="728"/>
      <c r="BD18" s="728"/>
      <c r="BE18" s="728"/>
      <c r="BF18" s="728"/>
      <c r="BG18" s="728"/>
      <c r="BH18" s="728"/>
      <c r="BI18" s="728"/>
      <c r="BJ18" s="728"/>
      <c r="BK18" s="728"/>
      <c r="BL18" s="728"/>
      <c r="BM18" s="728"/>
      <c r="BN18" s="728"/>
      <c r="BO18" s="728"/>
      <c r="BP18" s="728"/>
      <c r="BQ18" s="728"/>
      <c r="BR18" s="728"/>
      <c r="BS18" s="728"/>
      <c r="BT18" s="728"/>
      <c r="BU18" s="728"/>
      <c r="BV18" s="728"/>
      <c r="BW18" s="728"/>
      <c r="BX18" s="728"/>
      <c r="BY18" s="728"/>
      <c r="BZ18" s="728"/>
      <c r="CA18" s="728"/>
      <c r="CB18" s="728"/>
      <c r="CC18" s="728"/>
      <c r="CD18" s="728"/>
      <c r="CE18" s="728"/>
      <c r="CF18" s="728"/>
      <c r="CG18" s="728"/>
      <c r="CH18" s="728"/>
      <c r="CI18" s="728"/>
      <c r="CJ18" s="728"/>
      <c r="CK18" s="728"/>
      <c r="CL18" s="728"/>
      <c r="CM18" s="728"/>
      <c r="CN18" s="728"/>
      <c r="CO18" s="728"/>
      <c r="CP18" s="728"/>
      <c r="CQ18" s="728"/>
      <c r="CR18" s="728"/>
      <c r="CS18" s="728"/>
      <c r="CT18" s="728"/>
      <c r="CU18" s="728"/>
      <c r="CV18" s="728"/>
      <c r="CW18" s="728"/>
      <c r="CX18" s="728"/>
      <c r="CY18" s="728"/>
      <c r="CZ18" s="728"/>
      <c r="DA18" s="728"/>
      <c r="DB18" s="728"/>
      <c r="DC18" s="728"/>
      <c r="DD18" s="728"/>
      <c r="DE18" s="728"/>
      <c r="DF18" s="728"/>
      <c r="DG18" s="728"/>
      <c r="DH18" s="728"/>
      <c r="DI18" s="728"/>
      <c r="DJ18" s="728"/>
      <c r="DK18" s="728"/>
      <c r="DL18" s="728"/>
      <c r="DM18" s="728"/>
      <c r="DN18" s="728"/>
      <c r="DO18" s="728"/>
      <c r="DP18" s="728"/>
      <c r="DQ18" s="728"/>
      <c r="DR18" s="728"/>
      <c r="DS18" s="728"/>
      <c r="DT18" s="728"/>
      <c r="DU18" s="728"/>
      <c r="DV18" s="728"/>
      <c r="DW18" s="728"/>
      <c r="DX18" s="728"/>
      <c r="DY18" s="728"/>
      <c r="DZ18" s="728"/>
      <c r="EA18" s="728"/>
      <c r="EB18" s="728"/>
      <c r="EC18" s="728"/>
      <c r="ED18" s="728"/>
      <c r="EE18" s="728"/>
      <c r="EF18" s="728"/>
      <c r="EG18" s="728"/>
      <c r="EH18" s="728"/>
      <c r="EI18" s="728"/>
      <c r="EJ18" s="728"/>
      <c r="EK18" s="728"/>
      <c r="EL18" s="728"/>
      <c r="EM18" s="728"/>
      <c r="EN18" s="728"/>
      <c r="EO18" s="728"/>
      <c r="EP18" s="728"/>
      <c r="EQ18" s="728"/>
      <c r="ER18" s="728"/>
      <c r="ES18" s="728"/>
      <c r="ET18" s="728"/>
      <c r="EU18" s="728"/>
      <c r="EV18" s="728"/>
      <c r="EW18" s="728"/>
      <c r="EX18" s="728"/>
      <c r="EY18" s="728"/>
      <c r="EZ18" s="728"/>
      <c r="FA18" s="728"/>
      <c r="FB18" s="728"/>
      <c r="FC18" s="728"/>
      <c r="FD18" s="728"/>
      <c r="FE18" s="728"/>
      <c r="FF18" s="728"/>
      <c r="FG18" s="728"/>
      <c r="FH18" s="728"/>
      <c r="FI18" s="728"/>
      <c r="FJ18" s="728"/>
      <c r="FK18" s="728"/>
      <c r="FL18" s="728"/>
      <c r="FM18" s="728"/>
      <c r="FN18" s="728"/>
      <c r="FO18" s="728"/>
      <c r="FP18" s="728"/>
      <c r="FQ18" s="728"/>
      <c r="FR18" s="728"/>
      <c r="FS18" s="728"/>
      <c r="FT18" s="728"/>
      <c r="FU18" s="728"/>
      <c r="FV18" s="728"/>
      <c r="FW18" s="728"/>
      <c r="FX18" s="728"/>
      <c r="FY18" s="728"/>
      <c r="FZ18" s="728"/>
      <c r="GA18" s="728"/>
      <c r="GB18" s="728"/>
      <c r="GC18" s="728"/>
      <c r="GD18" s="728"/>
      <c r="GE18" s="728"/>
      <c r="GF18" s="728"/>
      <c r="GG18" s="728"/>
      <c r="GH18" s="728"/>
      <c r="GI18" s="728"/>
      <c r="GJ18" s="728"/>
      <c r="GK18" s="728"/>
      <c r="GL18" s="728"/>
      <c r="GM18" s="728"/>
      <c r="GN18" s="728"/>
      <c r="GO18" s="728"/>
      <c r="GP18" s="728"/>
      <c r="GQ18" s="728"/>
      <c r="GR18" s="728"/>
      <c r="GS18" s="728"/>
      <c r="GT18" s="728"/>
      <c r="GU18" s="728"/>
      <c r="GV18" s="728"/>
      <c r="GW18" s="728"/>
      <c r="GX18" s="728"/>
      <c r="GY18" s="728"/>
      <c r="GZ18" s="728"/>
      <c r="HA18" s="728"/>
      <c r="HB18" s="728"/>
      <c r="HC18" s="728"/>
      <c r="HD18" s="728"/>
      <c r="HE18" s="728"/>
      <c r="HF18" s="728"/>
      <c r="HG18" s="728"/>
      <c r="HH18" s="728"/>
      <c r="HI18" s="728"/>
      <c r="HJ18" s="728"/>
      <c r="HK18" s="728"/>
      <c r="HL18" s="728"/>
      <c r="HM18" s="728"/>
      <c r="HN18" s="728"/>
      <c r="HO18" s="728"/>
      <c r="HP18" s="728"/>
      <c r="HQ18" s="728"/>
      <c r="HR18" s="728"/>
      <c r="HS18" s="728"/>
      <c r="HT18" s="728"/>
      <c r="HU18" s="728"/>
      <c r="HV18" s="728"/>
      <c r="HW18" s="728"/>
      <c r="HX18" s="728"/>
      <c r="HY18" s="728"/>
      <c r="HZ18" s="728"/>
      <c r="IA18" s="728"/>
      <c r="IB18" s="728"/>
      <c r="IC18" s="728"/>
      <c r="ID18" s="728"/>
      <c r="IE18" s="728"/>
      <c r="IF18" s="728"/>
      <c r="IG18" s="728"/>
      <c r="IH18" s="728"/>
      <c r="II18" s="728"/>
      <c r="IJ18" s="728"/>
      <c r="IK18" s="728"/>
      <c r="IL18" s="728"/>
      <c r="IM18" s="728"/>
      <c r="IN18" s="728"/>
      <c r="IO18" s="728"/>
      <c r="IP18" s="728"/>
      <c r="IQ18" s="728"/>
      <c r="IR18" s="728"/>
      <c r="IS18" s="728"/>
      <c r="IT18" s="728"/>
      <c r="IU18" s="728"/>
      <c r="IV18" s="728"/>
      <c r="IW18" s="728"/>
    </row>
    <row r="19" customFormat="false" ht="20.25" hidden="false" customHeight="true" outlineLevel="0" collapsed="false">
      <c r="A19" s="763" t="inlineStr">
        <is>
          <t xml:space="preserve">3-I-005</t>
        </is>
      </c>
      <c r="B19" s="745" t="inlineStr">
        <is>
          <t xml:space="preserve">● 송수구 설치 개수 적정 여부(폐쇄형 스프링클러설비의 경우)</t>
        </is>
      </c>
      <c r="C19" s="737"/>
      <c r="D19" s="728"/>
      <c r="E19" s="728"/>
      <c r="F19" s="728"/>
      <c r="G19" s="728"/>
      <c r="H19" s="728"/>
      <c r="I19" s="728"/>
      <c r="J19" s="728"/>
      <c r="K19" s="728"/>
      <c r="L19" s="728"/>
      <c r="M19" s="728"/>
      <c r="N19" s="728"/>
      <c r="O19" s="728"/>
      <c r="P19" s="728"/>
      <c r="Q19" s="728"/>
      <c r="R19" s="728"/>
      <c r="S19" s="728"/>
      <c r="T19" s="728"/>
      <c r="U19" s="728"/>
      <c r="V19" s="728"/>
      <c r="W19" s="728"/>
      <c r="X19" s="728"/>
      <c r="Y19" s="728"/>
      <c r="Z19" s="728"/>
      <c r="AA19" s="728"/>
      <c r="AB19" s="728"/>
      <c r="AC19" s="728"/>
      <c r="AD19" s="728"/>
      <c r="AE19" s="728"/>
      <c r="AF19" s="728"/>
      <c r="AG19" s="728"/>
      <c r="AH19" s="728"/>
      <c r="AI19" s="728"/>
      <c r="AJ19" s="728"/>
      <c r="AK19" s="728"/>
      <c r="AL19" s="728"/>
      <c r="AM19" s="728"/>
      <c r="AN19" s="728"/>
      <c r="AO19" s="728"/>
      <c r="AP19" s="728"/>
      <c r="AQ19" s="728"/>
      <c r="AR19" s="728"/>
      <c r="AS19" s="728"/>
      <c r="AT19" s="728"/>
      <c r="AU19" s="728"/>
      <c r="AV19" s="728"/>
      <c r="AW19" s="728"/>
      <c r="AX19" s="728"/>
      <c r="AY19" s="728"/>
      <c r="AZ19" s="728"/>
      <c r="BA19" s="728"/>
      <c r="BB19" s="728"/>
      <c r="BC19" s="728"/>
      <c r="BD19" s="728"/>
      <c r="BE19" s="728"/>
      <c r="BF19" s="728"/>
      <c r="BG19" s="728"/>
      <c r="BH19" s="728"/>
      <c r="BI19" s="728"/>
      <c r="BJ19" s="728"/>
      <c r="BK19" s="728"/>
      <c r="BL19" s="728"/>
      <c r="BM19" s="728"/>
      <c r="BN19" s="728"/>
      <c r="BO19" s="728"/>
      <c r="BP19" s="728"/>
      <c r="BQ19" s="728"/>
      <c r="BR19" s="728"/>
      <c r="BS19" s="728"/>
      <c r="BT19" s="728"/>
      <c r="BU19" s="728"/>
      <c r="BV19" s="728"/>
      <c r="BW19" s="728"/>
      <c r="BX19" s="728"/>
      <c r="BY19" s="728"/>
      <c r="BZ19" s="728"/>
      <c r="CA19" s="728"/>
      <c r="CB19" s="728"/>
      <c r="CC19" s="728"/>
      <c r="CD19" s="728"/>
      <c r="CE19" s="728"/>
      <c r="CF19" s="728"/>
      <c r="CG19" s="728"/>
      <c r="CH19" s="728"/>
      <c r="CI19" s="728"/>
      <c r="CJ19" s="728"/>
      <c r="CK19" s="728"/>
      <c r="CL19" s="728"/>
      <c r="CM19" s="728"/>
      <c r="CN19" s="728"/>
      <c r="CO19" s="728"/>
      <c r="CP19" s="728"/>
      <c r="CQ19" s="728"/>
      <c r="CR19" s="728"/>
      <c r="CS19" s="728"/>
      <c r="CT19" s="728"/>
      <c r="CU19" s="728"/>
      <c r="CV19" s="728"/>
      <c r="CW19" s="728"/>
      <c r="CX19" s="728"/>
      <c r="CY19" s="728"/>
      <c r="CZ19" s="728"/>
      <c r="DA19" s="728"/>
      <c r="DB19" s="728"/>
      <c r="DC19" s="728"/>
      <c r="DD19" s="728"/>
      <c r="DE19" s="728"/>
      <c r="DF19" s="728"/>
      <c r="DG19" s="728"/>
      <c r="DH19" s="728"/>
      <c r="DI19" s="728"/>
      <c r="DJ19" s="728"/>
      <c r="DK19" s="728"/>
      <c r="DL19" s="728"/>
      <c r="DM19" s="728"/>
      <c r="DN19" s="728"/>
      <c r="DO19" s="728"/>
      <c r="DP19" s="728"/>
      <c r="DQ19" s="728"/>
      <c r="DR19" s="728"/>
      <c r="DS19" s="728"/>
      <c r="DT19" s="728"/>
      <c r="DU19" s="728"/>
      <c r="DV19" s="728"/>
      <c r="DW19" s="728"/>
      <c r="DX19" s="728"/>
      <c r="DY19" s="728"/>
      <c r="DZ19" s="728"/>
      <c r="EA19" s="728"/>
      <c r="EB19" s="728"/>
      <c r="EC19" s="728"/>
      <c r="ED19" s="728"/>
      <c r="EE19" s="728"/>
      <c r="EF19" s="728"/>
      <c r="EG19" s="728"/>
      <c r="EH19" s="728"/>
      <c r="EI19" s="728"/>
      <c r="EJ19" s="728"/>
      <c r="EK19" s="728"/>
      <c r="EL19" s="728"/>
      <c r="EM19" s="728"/>
      <c r="EN19" s="728"/>
      <c r="EO19" s="728"/>
      <c r="EP19" s="728"/>
      <c r="EQ19" s="728"/>
      <c r="ER19" s="728"/>
      <c r="ES19" s="728"/>
      <c r="ET19" s="728"/>
      <c r="EU19" s="728"/>
      <c r="EV19" s="728"/>
      <c r="EW19" s="728"/>
      <c r="EX19" s="728"/>
      <c r="EY19" s="728"/>
      <c r="EZ19" s="728"/>
      <c r="FA19" s="728"/>
      <c r="FB19" s="728"/>
      <c r="FC19" s="728"/>
      <c r="FD19" s="728"/>
      <c r="FE19" s="728"/>
      <c r="FF19" s="728"/>
      <c r="FG19" s="728"/>
      <c r="FH19" s="728"/>
      <c r="FI19" s="728"/>
      <c r="FJ19" s="728"/>
      <c r="FK19" s="728"/>
      <c r="FL19" s="728"/>
      <c r="FM19" s="728"/>
      <c r="FN19" s="728"/>
      <c r="FO19" s="728"/>
      <c r="FP19" s="728"/>
      <c r="FQ19" s="728"/>
      <c r="FR19" s="728"/>
      <c r="FS19" s="728"/>
      <c r="FT19" s="728"/>
      <c r="FU19" s="728"/>
      <c r="FV19" s="728"/>
      <c r="FW19" s="728"/>
      <c r="FX19" s="728"/>
      <c r="FY19" s="728"/>
      <c r="FZ19" s="728"/>
      <c r="GA19" s="728"/>
      <c r="GB19" s="728"/>
      <c r="GC19" s="728"/>
      <c r="GD19" s="728"/>
      <c r="GE19" s="728"/>
      <c r="GF19" s="728"/>
      <c r="GG19" s="728"/>
      <c r="GH19" s="728"/>
      <c r="GI19" s="728"/>
      <c r="GJ19" s="728"/>
      <c r="GK19" s="728"/>
      <c r="GL19" s="728"/>
      <c r="GM19" s="728"/>
      <c r="GN19" s="728"/>
      <c r="GO19" s="728"/>
      <c r="GP19" s="728"/>
      <c r="GQ19" s="728"/>
      <c r="GR19" s="728"/>
      <c r="GS19" s="728"/>
      <c r="GT19" s="728"/>
      <c r="GU19" s="728"/>
      <c r="GV19" s="728"/>
      <c r="GW19" s="728"/>
      <c r="GX19" s="728"/>
      <c r="GY19" s="728"/>
      <c r="GZ19" s="728"/>
      <c r="HA19" s="728"/>
      <c r="HB19" s="728"/>
      <c r="HC19" s="728"/>
      <c r="HD19" s="728"/>
      <c r="HE19" s="728"/>
      <c r="HF19" s="728"/>
      <c r="HG19" s="728"/>
      <c r="HH19" s="728"/>
      <c r="HI19" s="728"/>
      <c r="HJ19" s="728"/>
      <c r="HK19" s="728"/>
      <c r="HL19" s="728"/>
      <c r="HM19" s="728"/>
      <c r="HN19" s="728"/>
      <c r="HO19" s="728"/>
      <c r="HP19" s="728"/>
      <c r="HQ19" s="728"/>
      <c r="HR19" s="728"/>
      <c r="HS19" s="728"/>
      <c r="HT19" s="728"/>
      <c r="HU19" s="728"/>
      <c r="HV19" s="728"/>
      <c r="HW19" s="728"/>
      <c r="HX19" s="728"/>
      <c r="HY19" s="728"/>
      <c r="HZ19" s="728"/>
      <c r="IA19" s="728"/>
      <c r="IB19" s="728"/>
      <c r="IC19" s="728"/>
      <c r="ID19" s="728"/>
      <c r="IE19" s="728"/>
      <c r="IF19" s="728"/>
      <c r="IG19" s="728"/>
      <c r="IH19" s="728"/>
      <c r="II19" s="728"/>
      <c r="IJ19" s="728"/>
      <c r="IK19" s="728"/>
      <c r="IL19" s="728"/>
      <c r="IM19" s="728"/>
      <c r="IN19" s="728"/>
      <c r="IO19" s="728"/>
      <c r="IP19" s="728"/>
      <c r="IQ19" s="728"/>
      <c r="IR19" s="728"/>
      <c r="IS19" s="728"/>
      <c r="IT19" s="728"/>
      <c r="IU19" s="728"/>
      <c r="IV19" s="728"/>
      <c r="IW19" s="728"/>
    </row>
    <row r="20" customFormat="false" ht="20.25" hidden="false" customHeight="true" outlineLevel="0" collapsed="false">
      <c r="A20" s="763" t="inlineStr">
        <is>
          <t xml:space="preserve">3-I-006</t>
        </is>
      </c>
      <c r="B20" s="745" t="inlineStr">
        <is>
          <t xml:space="preserve">● 자동배수밸브(또는 배수공)·체크밸브 설치 여부 및 설치 상태 적정 여부</t>
        </is>
      </c>
      <c r="C20" s="737"/>
      <c r="D20" s="728"/>
      <c r="E20" s="728"/>
      <c r="F20" s="728"/>
      <c r="G20" s="728"/>
      <c r="H20" s="728"/>
      <c r="I20" s="728"/>
      <c r="J20" s="728"/>
      <c r="K20" s="728"/>
      <c r="L20" s="728"/>
      <c r="M20" s="728"/>
      <c r="N20" s="728"/>
      <c r="O20" s="728"/>
      <c r="P20" s="728"/>
      <c r="Q20" s="728"/>
      <c r="R20" s="728"/>
      <c r="S20" s="728"/>
      <c r="T20" s="728"/>
      <c r="U20" s="728"/>
      <c r="V20" s="728"/>
      <c r="W20" s="728"/>
      <c r="X20" s="728"/>
      <c r="Y20" s="728"/>
      <c r="Z20" s="728"/>
      <c r="AA20" s="728"/>
      <c r="AB20" s="728"/>
      <c r="AC20" s="728"/>
      <c r="AD20" s="728"/>
      <c r="AE20" s="728"/>
      <c r="AF20" s="728"/>
      <c r="AG20" s="728"/>
      <c r="AH20" s="728"/>
      <c r="AI20" s="728"/>
      <c r="AJ20" s="728"/>
      <c r="AK20" s="728"/>
      <c r="AL20" s="728"/>
      <c r="AM20" s="728"/>
      <c r="AN20" s="728"/>
      <c r="AO20" s="728"/>
      <c r="AP20" s="728"/>
      <c r="AQ20" s="728"/>
      <c r="AR20" s="728"/>
      <c r="AS20" s="728"/>
      <c r="AT20" s="728"/>
      <c r="AU20" s="728"/>
      <c r="AV20" s="728"/>
      <c r="AW20" s="728"/>
      <c r="AX20" s="728"/>
      <c r="AY20" s="728"/>
      <c r="AZ20" s="728"/>
      <c r="BA20" s="728"/>
      <c r="BB20" s="728"/>
      <c r="BC20" s="728"/>
      <c r="BD20" s="728"/>
      <c r="BE20" s="728"/>
      <c r="BF20" s="728"/>
      <c r="BG20" s="728"/>
      <c r="BH20" s="728"/>
      <c r="BI20" s="728"/>
      <c r="BJ20" s="728"/>
      <c r="BK20" s="728"/>
      <c r="BL20" s="728"/>
      <c r="BM20" s="728"/>
      <c r="BN20" s="728"/>
      <c r="BO20" s="728"/>
      <c r="BP20" s="728"/>
      <c r="BQ20" s="728"/>
      <c r="BR20" s="728"/>
      <c r="BS20" s="728"/>
      <c r="BT20" s="728"/>
      <c r="BU20" s="728"/>
      <c r="BV20" s="728"/>
      <c r="BW20" s="728"/>
      <c r="BX20" s="728"/>
      <c r="BY20" s="728"/>
      <c r="BZ20" s="728"/>
      <c r="CA20" s="728"/>
      <c r="CB20" s="728"/>
      <c r="CC20" s="728"/>
      <c r="CD20" s="728"/>
      <c r="CE20" s="728"/>
      <c r="CF20" s="728"/>
      <c r="CG20" s="728"/>
      <c r="CH20" s="728"/>
      <c r="CI20" s="728"/>
      <c r="CJ20" s="728"/>
      <c r="CK20" s="728"/>
      <c r="CL20" s="728"/>
      <c r="CM20" s="728"/>
      <c r="CN20" s="728"/>
      <c r="CO20" s="728"/>
      <c r="CP20" s="728"/>
      <c r="CQ20" s="728"/>
      <c r="CR20" s="728"/>
      <c r="CS20" s="728"/>
      <c r="CT20" s="728"/>
      <c r="CU20" s="728"/>
      <c r="CV20" s="728"/>
      <c r="CW20" s="728"/>
      <c r="CX20" s="728"/>
      <c r="CY20" s="728"/>
      <c r="CZ20" s="728"/>
      <c r="DA20" s="728"/>
      <c r="DB20" s="728"/>
      <c r="DC20" s="728"/>
      <c r="DD20" s="728"/>
      <c r="DE20" s="728"/>
      <c r="DF20" s="728"/>
      <c r="DG20" s="728"/>
      <c r="DH20" s="728"/>
      <c r="DI20" s="728"/>
      <c r="DJ20" s="728"/>
      <c r="DK20" s="728"/>
      <c r="DL20" s="728"/>
      <c r="DM20" s="728"/>
      <c r="DN20" s="728"/>
      <c r="DO20" s="728"/>
      <c r="DP20" s="728"/>
      <c r="DQ20" s="728"/>
      <c r="DR20" s="728"/>
      <c r="DS20" s="728"/>
      <c r="DT20" s="728"/>
      <c r="DU20" s="728"/>
      <c r="DV20" s="728"/>
      <c r="DW20" s="728"/>
      <c r="DX20" s="728"/>
      <c r="DY20" s="728"/>
      <c r="DZ20" s="728"/>
      <c r="EA20" s="728"/>
      <c r="EB20" s="728"/>
      <c r="EC20" s="728"/>
      <c r="ED20" s="728"/>
      <c r="EE20" s="728"/>
      <c r="EF20" s="728"/>
      <c r="EG20" s="728"/>
      <c r="EH20" s="728"/>
      <c r="EI20" s="728"/>
      <c r="EJ20" s="728"/>
      <c r="EK20" s="728"/>
      <c r="EL20" s="728"/>
      <c r="EM20" s="728"/>
      <c r="EN20" s="728"/>
      <c r="EO20" s="728"/>
      <c r="EP20" s="728"/>
      <c r="EQ20" s="728"/>
      <c r="ER20" s="728"/>
      <c r="ES20" s="728"/>
      <c r="ET20" s="728"/>
      <c r="EU20" s="728"/>
      <c r="EV20" s="728"/>
      <c r="EW20" s="728"/>
      <c r="EX20" s="728"/>
      <c r="EY20" s="728"/>
      <c r="EZ20" s="728"/>
      <c r="FA20" s="728"/>
      <c r="FB20" s="728"/>
      <c r="FC20" s="728"/>
      <c r="FD20" s="728"/>
      <c r="FE20" s="728"/>
      <c r="FF20" s="728"/>
      <c r="FG20" s="728"/>
      <c r="FH20" s="728"/>
      <c r="FI20" s="728"/>
      <c r="FJ20" s="728"/>
      <c r="FK20" s="728"/>
      <c r="FL20" s="728"/>
      <c r="FM20" s="728"/>
      <c r="FN20" s="728"/>
      <c r="FO20" s="728"/>
      <c r="FP20" s="728"/>
      <c r="FQ20" s="728"/>
      <c r="FR20" s="728"/>
      <c r="FS20" s="728"/>
      <c r="FT20" s="728"/>
      <c r="FU20" s="728"/>
      <c r="FV20" s="728"/>
      <c r="FW20" s="728"/>
      <c r="FX20" s="728"/>
      <c r="FY20" s="728"/>
      <c r="FZ20" s="728"/>
      <c r="GA20" s="728"/>
      <c r="GB20" s="728"/>
      <c r="GC20" s="728"/>
      <c r="GD20" s="728"/>
      <c r="GE20" s="728"/>
      <c r="GF20" s="728"/>
      <c r="GG20" s="728"/>
      <c r="GH20" s="728"/>
      <c r="GI20" s="728"/>
      <c r="GJ20" s="728"/>
      <c r="GK20" s="728"/>
      <c r="GL20" s="728"/>
      <c r="GM20" s="728"/>
      <c r="GN20" s="728"/>
      <c r="GO20" s="728"/>
      <c r="GP20" s="728"/>
      <c r="GQ20" s="728"/>
      <c r="GR20" s="728"/>
      <c r="GS20" s="728"/>
      <c r="GT20" s="728"/>
      <c r="GU20" s="728"/>
      <c r="GV20" s="728"/>
      <c r="GW20" s="728"/>
      <c r="GX20" s="728"/>
      <c r="GY20" s="728"/>
      <c r="GZ20" s="728"/>
      <c r="HA20" s="728"/>
      <c r="HB20" s="728"/>
      <c r="HC20" s="728"/>
      <c r="HD20" s="728"/>
      <c r="HE20" s="728"/>
      <c r="HF20" s="728"/>
      <c r="HG20" s="728"/>
      <c r="HH20" s="728"/>
      <c r="HI20" s="728"/>
      <c r="HJ20" s="728"/>
      <c r="HK20" s="728"/>
      <c r="HL20" s="728"/>
      <c r="HM20" s="728"/>
      <c r="HN20" s="728"/>
      <c r="HO20" s="728"/>
      <c r="HP20" s="728"/>
      <c r="HQ20" s="728"/>
      <c r="HR20" s="728"/>
      <c r="HS20" s="728"/>
      <c r="HT20" s="728"/>
      <c r="HU20" s="728"/>
      <c r="HV20" s="728"/>
      <c r="HW20" s="728"/>
      <c r="HX20" s="728"/>
      <c r="HY20" s="728"/>
      <c r="HZ20" s="728"/>
      <c r="IA20" s="728"/>
      <c r="IB20" s="728"/>
      <c r="IC20" s="728"/>
      <c r="ID20" s="728"/>
      <c r="IE20" s="728"/>
      <c r="IF20" s="728"/>
      <c r="IG20" s="728"/>
      <c r="IH20" s="728"/>
      <c r="II20" s="728"/>
      <c r="IJ20" s="728"/>
      <c r="IK20" s="728"/>
      <c r="IL20" s="728"/>
      <c r="IM20" s="728"/>
      <c r="IN20" s="728"/>
      <c r="IO20" s="728"/>
      <c r="IP20" s="728"/>
      <c r="IQ20" s="728"/>
      <c r="IR20" s="728"/>
      <c r="IS20" s="728"/>
      <c r="IT20" s="728"/>
      <c r="IU20" s="728"/>
      <c r="IV20" s="728"/>
      <c r="IW20" s="728"/>
    </row>
    <row r="21" customFormat="false" ht="20.25" hidden="false" customHeight="true" outlineLevel="0" collapsed="false">
      <c r="A21" s="775" t="inlineStr">
        <is>
          <t xml:space="preserve">3-I-007</t>
        </is>
      </c>
      <c r="B21" s="757" t="inlineStr">
        <is>
          <t xml:space="preserve">○ 송수구 마개 설치 여부</t>
        </is>
      </c>
      <c r="C21" s="737"/>
      <c r="D21" s="728"/>
      <c r="E21" s="728"/>
      <c r="F21" s="728"/>
      <c r="G21" s="728"/>
      <c r="H21" s="728"/>
      <c r="I21" s="728"/>
      <c r="J21" s="728"/>
      <c r="K21" s="728"/>
      <c r="L21" s="728"/>
      <c r="M21" s="728"/>
      <c r="N21" s="728"/>
      <c r="O21" s="728"/>
      <c r="P21" s="728"/>
      <c r="Q21" s="728"/>
      <c r="R21" s="728"/>
      <c r="S21" s="728"/>
      <c r="T21" s="728"/>
      <c r="U21" s="728"/>
      <c r="V21" s="728"/>
      <c r="W21" s="728"/>
      <c r="X21" s="728"/>
      <c r="Y21" s="728"/>
      <c r="Z21" s="728"/>
      <c r="AA21" s="728"/>
      <c r="AB21" s="728"/>
      <c r="AC21" s="728"/>
      <c r="AD21" s="728"/>
      <c r="AE21" s="728"/>
      <c r="AF21" s="728"/>
      <c r="AG21" s="728"/>
      <c r="AH21" s="728"/>
      <c r="AI21" s="728"/>
      <c r="AJ21" s="728"/>
      <c r="AK21" s="728"/>
      <c r="AL21" s="728"/>
      <c r="AM21" s="728"/>
      <c r="AN21" s="728"/>
      <c r="AO21" s="728"/>
      <c r="AP21" s="728"/>
      <c r="AQ21" s="728"/>
      <c r="AR21" s="728"/>
      <c r="AS21" s="728"/>
      <c r="AT21" s="728"/>
      <c r="AU21" s="728"/>
      <c r="AV21" s="728"/>
      <c r="AW21" s="728"/>
      <c r="AX21" s="728"/>
      <c r="AY21" s="728"/>
      <c r="AZ21" s="728"/>
      <c r="BA21" s="728"/>
      <c r="BB21" s="728"/>
      <c r="BC21" s="728"/>
      <c r="BD21" s="728"/>
      <c r="BE21" s="728"/>
      <c r="BF21" s="728"/>
      <c r="BG21" s="728"/>
      <c r="BH21" s="728"/>
      <c r="BI21" s="728"/>
      <c r="BJ21" s="728"/>
      <c r="BK21" s="728"/>
      <c r="BL21" s="728"/>
      <c r="BM21" s="728"/>
      <c r="BN21" s="728"/>
      <c r="BO21" s="728"/>
      <c r="BP21" s="728"/>
      <c r="BQ21" s="728"/>
      <c r="BR21" s="728"/>
      <c r="BS21" s="728"/>
      <c r="BT21" s="728"/>
      <c r="BU21" s="728"/>
      <c r="BV21" s="728"/>
      <c r="BW21" s="728"/>
      <c r="BX21" s="728"/>
      <c r="BY21" s="728"/>
      <c r="BZ21" s="728"/>
      <c r="CA21" s="728"/>
      <c r="CB21" s="728"/>
      <c r="CC21" s="728"/>
      <c r="CD21" s="728"/>
      <c r="CE21" s="728"/>
      <c r="CF21" s="728"/>
      <c r="CG21" s="728"/>
      <c r="CH21" s="728"/>
      <c r="CI21" s="728"/>
      <c r="CJ21" s="728"/>
      <c r="CK21" s="728"/>
      <c r="CL21" s="728"/>
      <c r="CM21" s="728"/>
      <c r="CN21" s="728"/>
      <c r="CO21" s="728"/>
      <c r="CP21" s="728"/>
      <c r="CQ21" s="728"/>
      <c r="CR21" s="728"/>
      <c r="CS21" s="728"/>
      <c r="CT21" s="728"/>
      <c r="CU21" s="728"/>
      <c r="CV21" s="728"/>
      <c r="CW21" s="728"/>
      <c r="CX21" s="728"/>
      <c r="CY21" s="728"/>
      <c r="CZ21" s="728"/>
      <c r="DA21" s="728"/>
      <c r="DB21" s="728"/>
      <c r="DC21" s="728"/>
      <c r="DD21" s="728"/>
      <c r="DE21" s="728"/>
      <c r="DF21" s="728"/>
      <c r="DG21" s="728"/>
      <c r="DH21" s="728"/>
      <c r="DI21" s="728"/>
      <c r="DJ21" s="728"/>
      <c r="DK21" s="728"/>
      <c r="DL21" s="728"/>
      <c r="DM21" s="728"/>
      <c r="DN21" s="728"/>
      <c r="DO21" s="728"/>
      <c r="DP21" s="728"/>
      <c r="DQ21" s="728"/>
      <c r="DR21" s="728"/>
      <c r="DS21" s="728"/>
      <c r="DT21" s="728"/>
      <c r="DU21" s="728"/>
      <c r="DV21" s="728"/>
      <c r="DW21" s="728"/>
      <c r="DX21" s="728"/>
      <c r="DY21" s="728"/>
      <c r="DZ21" s="728"/>
      <c r="EA21" s="728"/>
      <c r="EB21" s="728"/>
      <c r="EC21" s="728"/>
      <c r="ED21" s="728"/>
      <c r="EE21" s="728"/>
      <c r="EF21" s="728"/>
      <c r="EG21" s="728"/>
      <c r="EH21" s="728"/>
      <c r="EI21" s="728"/>
      <c r="EJ21" s="728"/>
      <c r="EK21" s="728"/>
      <c r="EL21" s="728"/>
      <c r="EM21" s="728"/>
      <c r="EN21" s="728"/>
      <c r="EO21" s="728"/>
      <c r="EP21" s="728"/>
      <c r="EQ21" s="728"/>
      <c r="ER21" s="728"/>
      <c r="ES21" s="728"/>
      <c r="ET21" s="728"/>
      <c r="EU21" s="728"/>
      <c r="EV21" s="728"/>
      <c r="EW21" s="728"/>
      <c r="EX21" s="728"/>
      <c r="EY21" s="728"/>
      <c r="EZ21" s="728"/>
      <c r="FA21" s="728"/>
      <c r="FB21" s="728"/>
      <c r="FC21" s="728"/>
      <c r="FD21" s="728"/>
      <c r="FE21" s="728"/>
      <c r="FF21" s="728"/>
      <c r="FG21" s="728"/>
      <c r="FH21" s="728"/>
      <c r="FI21" s="728"/>
      <c r="FJ21" s="728"/>
      <c r="FK21" s="728"/>
      <c r="FL21" s="728"/>
      <c r="FM21" s="728"/>
      <c r="FN21" s="728"/>
      <c r="FO21" s="728"/>
      <c r="FP21" s="728"/>
      <c r="FQ21" s="728"/>
      <c r="FR21" s="728"/>
      <c r="FS21" s="728"/>
      <c r="FT21" s="728"/>
      <c r="FU21" s="728"/>
      <c r="FV21" s="728"/>
      <c r="FW21" s="728"/>
      <c r="FX21" s="728"/>
      <c r="FY21" s="728"/>
      <c r="FZ21" s="728"/>
      <c r="GA21" s="728"/>
      <c r="GB21" s="728"/>
      <c r="GC21" s="728"/>
      <c r="GD21" s="728"/>
      <c r="GE21" s="728"/>
      <c r="GF21" s="728"/>
      <c r="GG21" s="728"/>
      <c r="GH21" s="728"/>
      <c r="GI21" s="728"/>
      <c r="GJ21" s="728"/>
      <c r="GK21" s="728"/>
      <c r="GL21" s="728"/>
      <c r="GM21" s="728"/>
      <c r="GN21" s="728"/>
      <c r="GO21" s="728"/>
      <c r="GP21" s="728"/>
      <c r="GQ21" s="728"/>
      <c r="GR21" s="728"/>
      <c r="GS21" s="728"/>
      <c r="GT21" s="728"/>
      <c r="GU21" s="728"/>
      <c r="GV21" s="728"/>
      <c r="GW21" s="728"/>
      <c r="GX21" s="728"/>
      <c r="GY21" s="728"/>
      <c r="GZ21" s="728"/>
      <c r="HA21" s="728"/>
      <c r="HB21" s="728"/>
      <c r="HC21" s="728"/>
      <c r="HD21" s="728"/>
      <c r="HE21" s="728"/>
      <c r="HF21" s="728"/>
      <c r="HG21" s="728"/>
      <c r="HH21" s="728"/>
      <c r="HI21" s="728"/>
      <c r="HJ21" s="728"/>
      <c r="HK21" s="728"/>
      <c r="HL21" s="728"/>
      <c r="HM21" s="728"/>
      <c r="HN21" s="728"/>
      <c r="HO21" s="728"/>
      <c r="HP21" s="728"/>
      <c r="HQ21" s="728"/>
      <c r="HR21" s="728"/>
      <c r="HS21" s="728"/>
      <c r="HT21" s="728"/>
      <c r="HU21" s="728"/>
      <c r="HV21" s="728"/>
      <c r="HW21" s="728"/>
      <c r="HX21" s="728"/>
      <c r="HY21" s="728"/>
      <c r="HZ21" s="728"/>
      <c r="IA21" s="728"/>
      <c r="IB21" s="728"/>
      <c r="IC21" s="728"/>
      <c r="ID21" s="728"/>
      <c r="IE21" s="728"/>
      <c r="IF21" s="728"/>
      <c r="IG21" s="728"/>
      <c r="IH21" s="728"/>
      <c r="II21" s="728"/>
      <c r="IJ21" s="728"/>
      <c r="IK21" s="728"/>
      <c r="IL21" s="728"/>
      <c r="IM21" s="728"/>
      <c r="IN21" s="728"/>
      <c r="IO21" s="728"/>
      <c r="IP21" s="728"/>
      <c r="IQ21" s="728"/>
      <c r="IR21" s="728"/>
      <c r="IS21" s="728"/>
      <c r="IT21" s="728"/>
      <c r="IU21" s="728"/>
      <c r="IV21" s="728"/>
      <c r="IW21" s="728"/>
    </row>
    <row r="22" customFormat="false" ht="24" hidden="false" customHeight="true" outlineLevel="0" collapsed="false">
      <c r="A22" s="794" t="inlineStr">
        <is>
          <t xml:space="preserve"> 3-J. 전원</t>
        </is>
      </c>
      <c r="B22" s="794"/>
      <c r="C22" s="794"/>
    </row>
    <row r="23" customFormat="false" ht="20.25" hidden="false" customHeight="true" outlineLevel="0" collapsed="false">
      <c r="A23" s="770" t="inlineStr">
        <is>
          <t xml:space="preserve">3-J-001</t>
        </is>
      </c>
      <c r="B23" s="756" t="inlineStr">
        <is>
          <t xml:space="preserve">● 대상물 수전방식에 따른 상용전원 적정 여부</t>
        </is>
      </c>
      <c r="C23" s="737"/>
    </row>
    <row r="24" customFormat="false" ht="20.25" hidden="false" customHeight="true" outlineLevel="0" collapsed="false">
      <c r="A24" s="763" t="inlineStr">
        <is>
          <t xml:space="preserve">3-J-002</t>
        </is>
      </c>
      <c r="B24" s="745" t="inlineStr">
        <is>
          <t xml:space="preserve">● 비상전원 설치장소 적정 및 관리 여부</t>
        </is>
      </c>
      <c r="C24" s="737"/>
    </row>
    <row r="25" customFormat="false" ht="20.25" hidden="false" customHeight="true" outlineLevel="0" collapsed="false">
      <c r="A25" s="763" t="inlineStr">
        <is>
          <t xml:space="preserve">3-J-003</t>
        </is>
      </c>
      <c r="B25" s="745" t="inlineStr">
        <is>
          <t xml:space="preserve">○ 자가발전설비인 경우 연료 적정량 보유 여부</t>
        </is>
      </c>
      <c r="C25" s="737"/>
    </row>
    <row r="26" customFormat="false" ht="20.25" hidden="false" customHeight="true" outlineLevel="0" collapsed="false">
      <c r="A26" s="775" t="inlineStr">
        <is>
          <t xml:space="preserve">3-J-004</t>
        </is>
      </c>
      <c r="B26" s="757" t="inlineStr">
        <is>
          <t xml:space="preserve">○ 자가발전설비인 경우「전기사업법」에 따른 정기점검 결과 확인</t>
        </is>
      </c>
      <c r="C26" s="737"/>
    </row>
    <row r="27" customFormat="false" ht="21.75" hidden="false" customHeight="true" outlineLevel="0" collapsed="false">
      <c r="A27" s="794" t="inlineStr">
        <is>
          <t xml:space="preserve"> 3-K. 제어반</t>
        </is>
      </c>
      <c r="B27" s="794"/>
      <c r="C27" s="794"/>
    </row>
    <row r="28" customFormat="false" ht="20.25" hidden="false" customHeight="true" outlineLevel="0" collapsed="false">
      <c r="A28" s="805" t="inlineStr">
        <is>
          <t xml:space="preserve">3-K-001</t>
        </is>
      </c>
      <c r="B28" s="761" t="inlineStr">
        <is>
          <t xml:space="preserve">● 겸용 감시·동력 제어반 성능 적정 여부(겸용으로 설치된 경우)</t>
        </is>
      </c>
      <c r="C28" s="737"/>
    </row>
    <row r="29" customFormat="false" ht="20.25" hidden="false" customHeight="true" outlineLevel="0" collapsed="false">
      <c r="A29" s="729"/>
      <c r="B29" s="762" t="inlineStr">
        <is>
          <t xml:space="preserve"> [감시제어반]</t>
        </is>
      </c>
      <c r="C29" s="734"/>
    </row>
    <row r="30" customFormat="false" ht="20.25" hidden="false" customHeight="true" outlineLevel="0" collapsed="false">
      <c r="A30" s="763" t="inlineStr">
        <is>
          <t xml:space="preserve">3-K-011</t>
        </is>
      </c>
      <c r="B30" s="745" t="inlineStr">
        <is>
          <t xml:space="preserve">○ 펌프 작동 여부 확인 표시등 및 음향경보장치 정상작동 여부</t>
        </is>
      </c>
      <c r="C30" s="737"/>
    </row>
    <row r="31" customFormat="false" ht="20.25" hidden="false" customHeight="true" outlineLevel="0" collapsed="false">
      <c r="A31" s="763" t="inlineStr">
        <is>
          <t xml:space="preserve">3-K-012</t>
        </is>
      </c>
      <c r="B31" s="745" t="inlineStr">
        <is>
          <t xml:space="preserve">○ 펌프 별 자동·수동 전환스위치 정상작동 여부</t>
        </is>
      </c>
      <c r="C31" s="737"/>
    </row>
    <row r="32" customFormat="false" ht="20.25" hidden="false" customHeight="true" outlineLevel="0" collapsed="false">
      <c r="A32" s="763" t="inlineStr">
        <is>
          <t xml:space="preserve">3-K-013</t>
        </is>
      </c>
      <c r="B32" s="745" t="inlineStr">
        <is>
          <t xml:space="preserve">● 펌프 별 수동기동 및 수동중단 기능 정상작동 여부</t>
        </is>
      </c>
      <c r="C32" s="737"/>
    </row>
    <row r="33" customFormat="false" ht="20.25" hidden="false" customHeight="true" outlineLevel="0" collapsed="false">
      <c r="A33" s="763" t="inlineStr">
        <is>
          <t xml:space="preserve">3-K-014</t>
        </is>
      </c>
      <c r="B33" s="745" t="inlineStr">
        <is>
          <t xml:space="preserve">● 상용전원 및 비상전원 공급 확인 가능 여부(비상전원 있는 경우)</t>
        </is>
      </c>
      <c r="C33" s="737"/>
    </row>
    <row r="34" customFormat="false" ht="20.25" hidden="false" customHeight="true" outlineLevel="0" collapsed="false">
      <c r="A34" s="763" t="inlineStr">
        <is>
          <t xml:space="preserve">3-K-015</t>
        </is>
      </c>
      <c r="B34" s="745" t="inlineStr">
        <is>
          <t xml:space="preserve">● 수조·물올림탱크 저수위 표시등 및 음향경보장치 정상작동 여부</t>
        </is>
      </c>
      <c r="C34" s="737"/>
    </row>
    <row r="35" customFormat="false" ht="20.25" hidden="false" customHeight="true" outlineLevel="0" collapsed="false">
      <c r="A35" s="763" t="inlineStr">
        <is>
          <t xml:space="preserve">3-K-016</t>
        </is>
      </c>
      <c r="B35" s="745" t="inlineStr">
        <is>
          <t xml:space="preserve">○ 각 확인회로 별 도통시험 및 작동시험 정상작동 여부</t>
        </is>
      </c>
      <c r="C35" s="737"/>
    </row>
    <row r="36" customFormat="false" ht="20.25" hidden="false" customHeight="true" outlineLevel="0" collapsed="false">
      <c r="A36" s="763" t="inlineStr">
        <is>
          <t xml:space="preserve">3-K-017</t>
        </is>
      </c>
      <c r="B36" s="745" t="inlineStr">
        <is>
          <t xml:space="preserve">○ 예비전원 확보 유무 및 시험 적합 여부</t>
        </is>
      </c>
      <c r="C36" s="737"/>
    </row>
    <row r="37" customFormat="false" ht="20.25" hidden="false" customHeight="true" outlineLevel="0" collapsed="false">
      <c r="A37" s="763" t="inlineStr">
        <is>
          <t xml:space="preserve">3-K-018</t>
        </is>
      </c>
      <c r="B37" s="745" t="inlineStr">
        <is>
          <t xml:space="preserve">● 감시제어반 전용실 적정 설치 및 관리 여부</t>
        </is>
      </c>
      <c r="C37" s="737"/>
    </row>
    <row r="38" customFormat="false" ht="20.25" hidden="false" customHeight="true" outlineLevel="0" collapsed="false">
      <c r="A38" s="763" t="inlineStr">
        <is>
          <t xml:space="preserve">3-K-019</t>
        </is>
      </c>
      <c r="B38" s="745" t="inlineStr">
        <is>
          <t xml:space="preserve">● 기계·기구 또는 시설 등 제어 및 감시설비 외 설치 여부</t>
        </is>
      </c>
      <c r="C38" s="737"/>
    </row>
    <row r="39" customFormat="false" ht="20.25" hidden="false" customHeight="true" outlineLevel="0" collapsed="false">
      <c r="A39" s="763" t="inlineStr">
        <is>
          <t xml:space="preserve">3-K-020</t>
        </is>
      </c>
      <c r="B39" s="745" t="inlineStr">
        <is>
          <t xml:space="preserve">○ 유수검지장치·일제개방밸브 작동 시 표시 및 경보 정상작동 여부</t>
        </is>
      </c>
      <c r="C39" s="737"/>
    </row>
    <row r="40" customFormat="false" ht="20.25" hidden="false" customHeight="true" outlineLevel="0" collapsed="false">
      <c r="A40" s="764" t="inlineStr">
        <is>
          <t xml:space="preserve">3-K-021</t>
        </is>
      </c>
      <c r="B40" s="765" t="inlineStr">
        <is>
          <t xml:space="preserve">○ 일제개방밸브 수동조작스위치 설치 여부</t>
        </is>
      </c>
      <c r="C40" s="801"/>
    </row>
  </sheetData>
  <mergeCells count="5">
    <mergeCell ref="A1:C1"/>
    <mergeCell ref="A3:C3"/>
    <mergeCell ref="A14:C14"/>
    <mergeCell ref="A22:C22"/>
    <mergeCell ref="A27:C27"/>
  </mergeCells>
  <dataValidations count="1">
    <dataValidation allowBlank="true" errorStyle="stop" operator="between" showDropDown="false" showErrorMessage="true" showInputMessage="false" sqref="C4:C13 C15:C21 C23:C26 C28:C40" type="list">
      <formula1>$G$9:$G$11</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I9"/>
    </sheetView>
  </sheetViews>
  <sheetFormatPr defaultColWidth="8.88671875" defaultRowHeight="13.5" customHeight="false" zeroHeight="false" outlineLevelRow="0" outlineLevelCol="0"/>
  <cols>
    <col collapsed="false" customWidth="true" hidden="false" outlineLevel="0" max="1" min="1" style="766" width="3.33"/>
    <col collapsed="false" customWidth="true" hidden="false" outlineLevel="0" max="2" min="2" style="766" width="6.55"/>
    <col collapsed="false" customWidth="true" hidden="false" outlineLevel="0" max="3" min="3" style="766" width="5.66"/>
    <col collapsed="false" customWidth="true" hidden="false" outlineLevel="0" max="5" min="4" style="766" width="9.66"/>
    <col collapsed="false" customWidth="true" hidden="false" outlineLevel="0" max="7" min="6" style="766" width="5.44"/>
    <col collapsed="false" customWidth="true" hidden="false" outlineLevel="0" max="8" min="8" style="766" width="10.88"/>
    <col collapsed="false" customWidth="true" hidden="false" outlineLevel="0" max="9" min="9" style="766" width="12.33"/>
    <col collapsed="false" customWidth="true" hidden="false" outlineLevel="0" max="11" min="10" style="766" width="7.44"/>
    <col collapsed="false" customWidth="false" hidden="false" outlineLevel="0" max="257" min="12" style="766" width="8.88"/>
  </cols>
  <sheetData>
    <row r="1" customFormat="false" ht="6" hidden="false" customHeight="true" outlineLevel="0" collapsed="false">
      <c r="A1" s="767"/>
      <c r="B1" s="767"/>
      <c r="C1" s="767"/>
      <c r="D1" s="767"/>
      <c r="E1" s="767"/>
      <c r="F1" s="767"/>
      <c r="G1" s="767"/>
      <c r="H1" s="767"/>
      <c r="I1" s="767"/>
      <c r="J1" s="767"/>
      <c r="K1" s="767"/>
    </row>
    <row r="2" customFormat="false" ht="13.5" hidden="false" customHeight="false" outlineLevel="0" collapsed="false">
      <c r="A2" s="768" t="inlineStr">
        <is>
          <t xml:space="preserve">(4면)</t>
        </is>
      </c>
      <c r="B2" s="768"/>
      <c r="C2" s="768"/>
      <c r="D2" s="768"/>
      <c r="E2" s="768"/>
      <c r="F2" s="768"/>
      <c r="G2" s="768"/>
      <c r="H2" s="768"/>
      <c r="I2" s="768"/>
      <c r="J2" s="768"/>
      <c r="K2" s="768"/>
    </row>
    <row r="3" customFormat="false" ht="26.25" hidden="false" customHeight="true" outlineLevel="0" collapsed="false">
      <c r="A3" s="721" t="inlineStr">
        <is>
          <t xml:space="preserve">번호</t>
        </is>
      </c>
      <c r="B3" s="721"/>
      <c r="C3" s="722" t="inlineStr">
        <is>
          <t xml:space="preserve">점검항목</t>
        </is>
      </c>
      <c r="D3" s="722"/>
      <c r="E3" s="722"/>
      <c r="F3" s="722"/>
      <c r="G3" s="722"/>
      <c r="H3" s="722"/>
      <c r="I3" s="722"/>
      <c r="J3" s="769" t="inlineStr">
        <is>
          <t xml:space="preserve">점검결과</t>
        </is>
      </c>
      <c r="K3" s="769"/>
    </row>
    <row r="4" customFormat="false" ht="25.5" hidden="false" customHeight="true" outlineLevel="0" collapsed="false">
      <c r="A4" s="770" t="inlineStr">
        <is>
          <t xml:space="preserve">3-K-022</t>
        </is>
      </c>
      <c r="B4" s="770"/>
      <c r="C4" s="771" t="inlineStr">
        <is>
          <t xml:space="preserve">● 일제개방밸브 사용 설비 화재감지기 회로별 화재표시 적정 여부</t>
        </is>
      </c>
      <c r="D4" s="771"/>
      <c r="E4" s="771"/>
      <c r="F4" s="771"/>
      <c r="G4" s="771"/>
      <c r="H4" s="771"/>
      <c r="I4" s="771"/>
      <c r="J4" s="772"/>
      <c r="K4" s="772"/>
    </row>
    <row r="5" customFormat="false" ht="25.5" hidden="false" customHeight="true" outlineLevel="0" collapsed="false">
      <c r="A5" s="763" t="inlineStr">
        <is>
          <t xml:space="preserve">3-K-023</t>
        </is>
      </c>
      <c r="B5" s="763"/>
      <c r="C5" s="773" t="inlineStr">
        <is>
          <t xml:space="preserve">● 감시제어반과 수신기 간 상호 연동 여부(별도로 설치된 경우)</t>
        </is>
      </c>
      <c r="D5" s="773"/>
      <c r="E5" s="773"/>
      <c r="F5" s="773"/>
      <c r="G5" s="773"/>
      <c r="H5" s="773"/>
      <c r="I5" s="773"/>
      <c r="J5" s="772"/>
      <c r="K5" s="772"/>
    </row>
    <row r="6" customFormat="false" ht="25.5" hidden="false" customHeight="true" outlineLevel="0" collapsed="false">
      <c r="A6" s="770"/>
      <c r="B6" s="770"/>
      <c r="C6" s="774" t="inlineStr">
        <is>
          <t xml:space="preserve"> [동력제어반]</t>
        </is>
      </c>
      <c r="D6" s="774"/>
      <c r="E6" s="774"/>
      <c r="F6" s="774"/>
      <c r="G6" s="774"/>
      <c r="H6" s="774"/>
      <c r="I6" s="774"/>
      <c r="J6" s="772"/>
      <c r="K6" s="772"/>
      <c r="O6" s="727" t="inlineStr">
        <is>
          <t xml:space="preserve">○</t>
        </is>
      </c>
    </row>
    <row r="7" customFormat="false" ht="25.5" hidden="false" customHeight="true" outlineLevel="0" collapsed="false">
      <c r="A7" s="775" t="inlineStr">
        <is>
          <t xml:space="preserve">3-K-031</t>
        </is>
      </c>
      <c r="B7" s="775"/>
      <c r="C7" s="776" t="inlineStr">
        <is>
          <t xml:space="preserve">○ 앞면은 적색으로 하고, “스프링클러설비용 동력제어반” 표지 설치 여부</t>
        </is>
      </c>
      <c r="D7" s="776"/>
      <c r="E7" s="776"/>
      <c r="F7" s="776"/>
      <c r="G7" s="776"/>
      <c r="H7" s="776"/>
      <c r="I7" s="776"/>
      <c r="J7" s="772"/>
      <c r="K7" s="772"/>
      <c r="O7" s="727" t="inlineStr">
        <is>
          <t xml:space="preserve">/</t>
        </is>
      </c>
    </row>
    <row r="8" customFormat="false" ht="25.5" hidden="false" customHeight="true" outlineLevel="0" collapsed="false">
      <c r="A8" s="770"/>
      <c r="B8" s="770"/>
      <c r="C8" s="777" t="inlineStr">
        <is>
          <t xml:space="preserve"> [발전기제어반]</t>
        </is>
      </c>
      <c r="D8" s="777"/>
      <c r="E8" s="777"/>
      <c r="F8" s="777"/>
      <c r="G8" s="777"/>
      <c r="H8" s="777"/>
      <c r="I8" s="777"/>
      <c r="J8" s="772"/>
      <c r="K8" s="772"/>
      <c r="O8" s="727" t="inlineStr">
        <is>
          <t xml:space="preserve">×</t>
        </is>
      </c>
    </row>
    <row r="9" customFormat="false" ht="25.5" hidden="false" customHeight="true" outlineLevel="0" collapsed="false">
      <c r="A9" s="775" t="inlineStr">
        <is>
          <t xml:space="preserve">3-K-041</t>
        </is>
      </c>
      <c r="B9" s="775"/>
      <c r="C9" s="773" t="inlineStr">
        <is>
          <t xml:space="preserve">● 소방전원보존형발전기는 이를 식별할 수 있는 표지 설치 여부</t>
        </is>
      </c>
      <c r="D9" s="773"/>
      <c r="E9" s="773"/>
      <c r="F9" s="773"/>
      <c r="G9" s="773"/>
      <c r="H9" s="773"/>
      <c r="I9" s="773"/>
      <c r="J9" s="772"/>
      <c r="K9" s="772"/>
    </row>
    <row r="10" customFormat="false" ht="25.5" hidden="false" customHeight="true" outlineLevel="0" collapsed="false">
      <c r="A10" s="806" t="inlineStr">
        <is>
          <t xml:space="preserve"> 3-L. 헤드 설치제외</t>
        </is>
      </c>
      <c r="B10" s="806"/>
      <c r="C10" s="806"/>
      <c r="D10" s="806"/>
      <c r="E10" s="806"/>
      <c r="F10" s="806"/>
      <c r="G10" s="806"/>
      <c r="H10" s="806"/>
      <c r="I10" s="806"/>
      <c r="J10" s="806"/>
      <c r="K10" s="806"/>
    </row>
    <row r="11" customFormat="false" ht="25.5" hidden="false" customHeight="true" outlineLevel="0" collapsed="false">
      <c r="A11" s="770" t="inlineStr">
        <is>
          <t xml:space="preserve">3-L-001</t>
        </is>
      </c>
      <c r="B11" s="770"/>
      <c r="C11" s="777" t="inlineStr">
        <is>
          <t xml:space="preserve">● 헤드 설치 제외 적정 여부(설치 제외된 경우)</t>
        </is>
      </c>
      <c r="D11" s="777"/>
      <c r="E11" s="777"/>
      <c r="F11" s="777"/>
      <c r="G11" s="777"/>
      <c r="H11" s="777"/>
      <c r="I11" s="777"/>
      <c r="J11" s="772"/>
      <c r="K11" s="772"/>
    </row>
    <row r="12" customFormat="false" ht="25.5" hidden="false" customHeight="true" outlineLevel="0" collapsed="false">
      <c r="A12" s="763" t="inlineStr">
        <is>
          <t xml:space="preserve">3-L-002</t>
        </is>
      </c>
      <c r="B12" s="763"/>
      <c r="C12" s="773" t="inlineStr">
        <is>
          <t xml:space="preserve">● 드렌처설비 설치 적정 여부</t>
        </is>
      </c>
      <c r="D12" s="773"/>
      <c r="E12" s="773"/>
      <c r="F12" s="773"/>
      <c r="G12" s="773"/>
      <c r="H12" s="773"/>
      <c r="I12" s="773"/>
      <c r="J12" s="772"/>
      <c r="K12" s="772"/>
    </row>
    <row r="13" customFormat="false" ht="31.5" hidden="false" customHeight="true" outlineLevel="0" collapsed="false">
      <c r="A13" s="778" t="inlineStr">
        <is>
          <t xml:space="preserve">* 펌프성능시험(펌프 명판 및 설계치 참조)</t>
        </is>
      </c>
      <c r="B13" s="778"/>
      <c r="C13" s="778"/>
      <c r="D13" s="778"/>
      <c r="E13" s="778"/>
      <c r="F13" s="778"/>
      <c r="G13" s="778"/>
      <c r="H13" s="778"/>
      <c r="I13" s="778"/>
      <c r="J13" s="778"/>
      <c r="K13" s="778"/>
    </row>
    <row r="14" customFormat="false" ht="31.5" hidden="false" customHeight="true" outlineLevel="0" collapsed="false">
      <c r="A14" s="779" t="inlineStr">
        <is>
          <t xml:space="preserve">구분</t>
        </is>
      </c>
      <c r="B14" s="779"/>
      <c r="C14" s="779"/>
      <c r="D14" s="780" t="inlineStr">
        <is>
          <t xml:space="preserve">체절운전</t>
        </is>
      </c>
      <c r="E14" s="781" t="inlineStr">
        <is>
          <t xml:space="preserve">정격운전
(100%)</t>
        </is>
      </c>
      <c r="F14" s="781" t="inlineStr">
        <is>
          <t xml:space="preserve">정격유량의
150%운전</t>
        </is>
      </c>
      <c r="G14" s="781"/>
      <c r="H14" s="782" t="inlineStr">
        <is>
          <t xml:space="preserve">적   정   여   부</t>
        </is>
      </c>
      <c r="I14" s="782"/>
      <c r="J14" s="783" t="inlineStr">
        <is>
          <t xml:space="preserve">o 설정압력:
o 주펌프
기동:        MPa
정지:        MPa
o 예비펌프
기동:        MPa
정지:        MPa 
o 충압펌프
기동:        MPa
정지:        MPa</t>
        </is>
      </c>
      <c r="K14" s="783"/>
    </row>
    <row r="15" customFormat="false" ht="31.5" hidden="false" customHeight="true" outlineLevel="0" collapsed="false">
      <c r="A15" s="784" t="inlineStr">
        <is>
          <t xml:space="preserve">토출량
(ℓ/min)</t>
        </is>
      </c>
      <c r="B15" s="784"/>
      <c r="C15" s="781" t="inlineStr">
        <is>
          <t xml:space="preserve">주</t>
        </is>
      </c>
      <c r="D15" s="785"/>
      <c r="E15" s="786"/>
      <c r="F15" s="787"/>
      <c r="G15" s="787"/>
      <c r="H15" s="788" t="inlineStr">
        <is>
          <t xml:space="preserve">1. 체절운전시 토출압은 
  정격토출압의 140% 이하 (   )
2. 정격운전시 토출량과 
  토출압이 규정치 이상(   )
3. 정격토출량 150%에서 토출압이 
  정격토출압의 65%이상 (   )</t>
        </is>
      </c>
      <c r="I15" s="788"/>
      <c r="J15" s="783"/>
      <c r="K15" s="783"/>
    </row>
    <row r="16" customFormat="false" ht="31.5" hidden="false" customHeight="true" outlineLevel="0" collapsed="false">
      <c r="A16" s="784"/>
      <c r="B16" s="784"/>
      <c r="C16" s="781" t="inlineStr">
        <is>
          <t xml:space="preserve">예비</t>
        </is>
      </c>
      <c r="D16" s="785"/>
      <c r="E16" s="789"/>
      <c r="F16" s="789"/>
      <c r="G16" s="789"/>
      <c r="H16" s="788"/>
      <c r="I16" s="788"/>
      <c r="J16" s="783"/>
      <c r="K16" s="783"/>
    </row>
    <row r="17" customFormat="false" ht="31.5" hidden="false" customHeight="true" outlineLevel="0" collapsed="false">
      <c r="A17" s="784" t="inlineStr">
        <is>
          <t xml:space="preserve">토출압
(MPa)</t>
        </is>
      </c>
      <c r="B17" s="784"/>
      <c r="C17" s="781" t="inlineStr">
        <is>
          <t xml:space="preserve">주</t>
        </is>
      </c>
      <c r="D17" s="785"/>
      <c r="E17" s="786"/>
      <c r="F17" s="787"/>
      <c r="G17" s="787"/>
      <c r="H17" s="788"/>
      <c r="I17" s="788"/>
      <c r="J17" s="783"/>
      <c r="K17" s="783"/>
    </row>
    <row r="18" customFormat="false" ht="31.5" hidden="false" customHeight="true" outlineLevel="0" collapsed="false">
      <c r="A18" s="784"/>
      <c r="B18" s="784"/>
      <c r="C18" s="781" t="inlineStr">
        <is>
          <t xml:space="preserve">예비</t>
        </is>
      </c>
      <c r="D18" s="785"/>
      <c r="E18" s="789"/>
      <c r="F18" s="789"/>
      <c r="G18" s="789"/>
      <c r="H18" s="788"/>
      <c r="I18" s="788"/>
      <c r="J18" s="783"/>
      <c r="K18" s="783"/>
    </row>
    <row r="19" customFormat="false" ht="31.5" hidden="false" customHeight="true" outlineLevel="0" collapsed="false">
      <c r="A19" s="790" t="inlineStr">
        <is>
          <t xml:space="preserve">* 릴리프밸브 작동 압력 :  1.60/1.70  MPa</t>
        </is>
      </c>
      <c r="B19" s="790"/>
      <c r="C19" s="790"/>
      <c r="D19" s="790"/>
      <c r="E19" s="790"/>
      <c r="F19" s="790"/>
      <c r="G19" s="790"/>
      <c r="H19" s="790"/>
      <c r="I19" s="790"/>
      <c r="J19" s="790"/>
      <c r="K19" s="790"/>
    </row>
    <row r="20" customFormat="false" ht="48" hidden="false" customHeight="true" outlineLevel="0" collapsed="false">
      <c r="A20" s="791" t="inlineStr">
        <is>
          <t xml:space="preserve">비고</t>
        </is>
      </c>
      <c r="B20" s="791"/>
      <c r="C20" s="792"/>
      <c r="D20" s="792"/>
      <c r="E20" s="792"/>
      <c r="F20" s="792"/>
      <c r="G20" s="792"/>
      <c r="H20" s="792"/>
      <c r="I20" s="792"/>
      <c r="J20" s="792"/>
      <c r="K20" s="792"/>
    </row>
    <row r="21" customFormat="false" ht="30" hidden="false" customHeight="true" outlineLevel="0" collapsed="false"/>
  </sheetData>
  <mergeCells count="45">
    <mergeCell ref="A1:K1"/>
    <mergeCell ref="A2:K2"/>
    <mergeCell ref="A3:B3"/>
    <mergeCell ref="C3:I3"/>
    <mergeCell ref="J3:K3"/>
    <mergeCell ref="A4:B4"/>
    <mergeCell ref="C4:I4"/>
    <mergeCell ref="J4:K4"/>
    <mergeCell ref="A5:B5"/>
    <mergeCell ref="C5:I5"/>
    <mergeCell ref="J5:K5"/>
    <mergeCell ref="A6:B6"/>
    <mergeCell ref="C6:I6"/>
    <mergeCell ref="J6:K6"/>
    <mergeCell ref="A7:B7"/>
    <mergeCell ref="C7:I7"/>
    <mergeCell ref="J7:K7"/>
    <mergeCell ref="A8:B8"/>
    <mergeCell ref="C8:I8"/>
    <mergeCell ref="J8:K8"/>
    <mergeCell ref="A9:B9"/>
    <mergeCell ref="C9:I9"/>
    <mergeCell ref="J9:K9"/>
    <mergeCell ref="A10:K10"/>
    <mergeCell ref="A11:B11"/>
    <mergeCell ref="C11:I11"/>
    <mergeCell ref="J11:K11"/>
    <mergeCell ref="A12:B12"/>
    <mergeCell ref="C12:I12"/>
    <mergeCell ref="J12:K12"/>
    <mergeCell ref="A13:K13"/>
    <mergeCell ref="A14:C14"/>
    <mergeCell ref="F14:G14"/>
    <mergeCell ref="H14:I14"/>
    <mergeCell ref="J14:K18"/>
    <mergeCell ref="A15:B16"/>
    <mergeCell ref="F15:G15"/>
    <mergeCell ref="H15:I18"/>
    <mergeCell ref="F16:G16"/>
    <mergeCell ref="A17:B18"/>
    <mergeCell ref="F17:G17"/>
    <mergeCell ref="F18:G18"/>
    <mergeCell ref="A19:K19"/>
    <mergeCell ref="A20:B20"/>
    <mergeCell ref="C20:K20"/>
  </mergeCells>
  <dataValidations count="1">
    <dataValidation allowBlank="true" errorStyle="stop" operator="between" showDropDown="false" showErrorMessage="true" showInputMessage="false" sqref="J4:K9 J11:K12" type="list">
      <formula1>$O$6:$O$8</formula1>
      <formula2>0</formula2>
    </dataValidation>
  </dataValidations>
  <printOptions headings="false" gridLines="false" gridLinesSet="true" horizontalCentered="false" verticalCentered="false"/>
  <pageMargins left="0.32" right="0.15748031496062992" top="0.29" bottom="0.39" header="0.27" footer="0.3937007874015748"/>
  <pageSetup paperSize="9" scale="10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G10"/>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4. 간이스프링클러설비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1" hidden="false" customHeight="true" outlineLevel="0" collapsed="false">
      <c r="A3" s="724" t="inlineStr">
        <is>
          <t xml:space="preserve"> 4-A. 수원</t>
        </is>
      </c>
      <c r="B3" s="724"/>
      <c r="C3" s="724"/>
    </row>
    <row r="4" customFormat="false" ht="21" hidden="false" customHeight="true" outlineLevel="0" collapsed="false">
      <c r="A4" s="725" t="inlineStr">
        <is>
          <t xml:space="preserve">4-A-001</t>
        </is>
      </c>
      <c r="B4" s="743" t="inlineStr">
        <is>
          <t xml:space="preserve">○ 수원의 유효수량 적정 여부(겸용설비 포함)</t>
        </is>
      </c>
      <c r="C4" s="744"/>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 hidden="false" customHeight="true" outlineLevel="0" collapsed="false">
      <c r="A5" s="724" t="inlineStr">
        <is>
          <t xml:space="preserve"> 4-B. 수조</t>
        </is>
      </c>
      <c r="B5" s="724"/>
      <c r="C5" s="724"/>
    </row>
    <row r="6" customFormat="false" ht="21" hidden="false" customHeight="true" outlineLevel="0" collapsed="false">
      <c r="A6" s="729" t="inlineStr">
        <is>
          <t xml:space="preserve">4-B-001</t>
        </is>
      </c>
      <c r="B6" s="807" t="inlineStr">
        <is>
          <t xml:space="preserve">○ 자동급수장치 설치 여부</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 hidden="false" customHeight="true" outlineLevel="0" collapsed="false">
      <c r="A7" s="729" t="inlineStr">
        <is>
          <t xml:space="preserve">4-B-002</t>
        </is>
      </c>
      <c r="B7" s="730" t="inlineStr">
        <is>
          <t xml:space="preserve">● 동결방지조치 상태 적정 여부</t>
        </is>
      </c>
      <c r="C7" s="73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 hidden="false" customHeight="true" outlineLevel="0" collapsed="false">
      <c r="A8" s="729" t="inlineStr">
        <is>
          <t xml:space="preserve">4-B-003</t>
        </is>
      </c>
      <c r="B8" s="743" t="inlineStr">
        <is>
          <t xml:space="preserve">○ 수위계 설치 또는 수위 확인 가능 여부</t>
        </is>
      </c>
      <c r="C8" s="737"/>
      <c r="D8" s="728"/>
      <c r="E8" s="728"/>
      <c r="F8" s="728"/>
      <c r="G8" s="727" t="inlineStr">
        <is>
          <t xml:space="preserve">○</t>
        </is>
      </c>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 hidden="false" customHeight="true" outlineLevel="0" collapsed="false">
      <c r="A9" s="729" t="inlineStr">
        <is>
          <t xml:space="preserve">4-B-004</t>
        </is>
      </c>
      <c r="B9" s="743" t="inlineStr">
        <is>
          <t xml:space="preserve">● 수조 외측 고정사다리 설치 여부(바닥보다 낮은 경우 제외)</t>
        </is>
      </c>
      <c r="C9" s="737"/>
      <c r="D9" s="728"/>
      <c r="E9" s="728"/>
      <c r="F9" s="728"/>
      <c r="G9" s="727" t="inlineStr">
        <is>
          <t xml:space="preserve">/</t>
        </is>
      </c>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 hidden="false" customHeight="true" outlineLevel="0" collapsed="false">
      <c r="A10" s="729" t="inlineStr">
        <is>
          <t xml:space="preserve">4-B-005</t>
        </is>
      </c>
      <c r="B10" s="743" t="inlineStr">
        <is>
          <t xml:space="preserve">● 실내설치 시 조명설비 설치 여부</t>
        </is>
      </c>
      <c r="C10" s="737"/>
      <c r="D10" s="728"/>
      <c r="E10" s="728"/>
      <c r="F10" s="728"/>
      <c r="G10" s="727" t="inlineStr">
        <is>
          <t xml:space="preserve">×</t>
        </is>
      </c>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 hidden="false" customHeight="true" outlineLevel="0" collapsed="false">
      <c r="A11" s="729" t="inlineStr">
        <is>
          <t xml:space="preserve">4-B-006</t>
        </is>
      </c>
      <c r="B11" s="743" t="inlineStr">
        <is>
          <t xml:space="preserve">○“간이스프링클러설비용 수조”표지 설치상태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 hidden="false" customHeight="true" outlineLevel="0" collapsed="false">
      <c r="A12" s="729" t="inlineStr">
        <is>
          <t xml:space="preserve">4-B-007</t>
        </is>
      </c>
      <c r="B12" s="743" t="inlineStr">
        <is>
          <t xml:space="preserve">● 다른 소화설비와 겸용 시 겸용설비의 이름 표시한 표지설치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 hidden="false" customHeight="true" outlineLevel="0" collapsed="false">
      <c r="A13" s="729" t="inlineStr">
        <is>
          <t xml:space="preserve">4-B-008</t>
        </is>
      </c>
      <c r="B13" s="743" t="inlineStr">
        <is>
          <t xml:space="preserve">● 수조-수직배관 접속부분“간이스프링클러설비용 배관”표지설치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 hidden="false" customHeight="true" outlineLevel="0" collapsed="false">
      <c r="A14" s="724" t="inlineStr">
        <is>
          <t xml:space="preserve"> 4-C. 가압송수장치</t>
        </is>
      </c>
      <c r="B14" s="724"/>
      <c r="C14" s="724"/>
    </row>
    <row r="15" customFormat="false" ht="21" hidden="false" customHeight="true" outlineLevel="0" collapsed="false">
      <c r="A15" s="725"/>
      <c r="B15" s="733" t="inlineStr">
        <is>
          <t xml:space="preserve"> [상수도직결형]</t>
        </is>
      </c>
      <c r="C15" s="734"/>
    </row>
    <row r="16" customFormat="false" ht="21" hidden="false" customHeight="true" outlineLevel="0" collapsed="false">
      <c r="A16" s="729" t="inlineStr">
        <is>
          <t xml:space="preserve">4-C-001</t>
        </is>
      </c>
      <c r="B16" s="745" t="inlineStr">
        <is>
          <t xml:space="preserve">○ 방수량 및 방수압력 적정 여부</t>
        </is>
      </c>
      <c r="C16" s="734"/>
    </row>
    <row r="17" customFormat="false" ht="21" hidden="false" customHeight="true" outlineLevel="0" collapsed="false">
      <c r="A17" s="725"/>
      <c r="B17" s="733" t="inlineStr">
        <is>
          <t xml:space="preserve"> [펌프방식]</t>
        </is>
      </c>
      <c r="C17" s="734"/>
    </row>
    <row r="18" customFormat="false" ht="21" hidden="false" customHeight="true" outlineLevel="0" collapsed="false">
      <c r="A18" s="729" t="inlineStr">
        <is>
          <t xml:space="preserve">4-C-011</t>
        </is>
      </c>
      <c r="B18" s="745" t="inlineStr">
        <is>
          <t xml:space="preserve">● 동결방지조치 상태 적정 여부</t>
        </is>
      </c>
      <c r="C18" s="737"/>
    </row>
    <row r="19" customFormat="false" ht="21" hidden="false" customHeight="true" outlineLevel="0" collapsed="false">
      <c r="A19" s="729" t="inlineStr">
        <is>
          <t xml:space="preserve">4-C-012</t>
        </is>
      </c>
      <c r="B19" s="745" t="inlineStr">
        <is>
          <t xml:space="preserve">○ 성능시험배관을 통한 펌프 성능시험 적정 여부</t>
        </is>
      </c>
      <c r="C19" s="737"/>
    </row>
    <row r="20" customFormat="false" ht="21" hidden="false" customHeight="true" outlineLevel="0" collapsed="false">
      <c r="A20" s="729" t="inlineStr">
        <is>
          <t xml:space="preserve">4-C-013</t>
        </is>
      </c>
      <c r="B20" s="745" t="inlineStr">
        <is>
          <t xml:space="preserve">● 다른 소화설비와 겸용인 경우 펌프 성능 확보 가능 여부</t>
        </is>
      </c>
      <c r="C20" s="737"/>
    </row>
    <row r="21" customFormat="false" ht="21" hidden="false" customHeight="true" outlineLevel="0" collapsed="false">
      <c r="A21" s="729" t="inlineStr">
        <is>
          <t xml:space="preserve">4-C-014</t>
        </is>
      </c>
      <c r="B21" s="745" t="inlineStr">
        <is>
          <t xml:space="preserve">○ 펌프 흡입측 연성계·진공계 및 토출측 압력계 등 부속장치의 변형·손상 유무</t>
        </is>
      </c>
      <c r="C21" s="737"/>
    </row>
    <row r="22" customFormat="false" ht="21" hidden="false" customHeight="true" outlineLevel="0" collapsed="false">
      <c r="A22" s="729" t="inlineStr">
        <is>
          <t xml:space="preserve">4-C-015</t>
        </is>
      </c>
      <c r="B22" s="745" t="inlineStr">
        <is>
          <t xml:space="preserve">● 기동장치 적정 설치 및 기동압력 설정 적정 여부</t>
        </is>
      </c>
      <c r="C22" s="737"/>
    </row>
    <row r="23" customFormat="false" ht="21" hidden="false" customHeight="true" outlineLevel="0" collapsed="false">
      <c r="A23" s="729" t="inlineStr">
        <is>
          <t xml:space="preserve">4-C-016</t>
        </is>
      </c>
      <c r="B23" s="745" t="inlineStr">
        <is>
          <t xml:space="preserve">● 물올림장치 설치 적정(전용 여부, 유효수량, 배관구경, 자동급수) 여부</t>
        </is>
      </c>
      <c r="C23" s="737"/>
    </row>
    <row r="24" customFormat="false" ht="21" hidden="false" customHeight="true" outlineLevel="0" collapsed="false">
      <c r="A24" s="729" t="inlineStr">
        <is>
          <t xml:space="preserve">4-C-017</t>
        </is>
      </c>
      <c r="B24" s="745" t="inlineStr">
        <is>
          <t xml:space="preserve">● 충압펌프 설치 적정(토출압력, 정격토출량) 여부</t>
        </is>
      </c>
      <c r="C24" s="737"/>
    </row>
    <row r="25" customFormat="false" ht="33.75" hidden="false" customHeight="true" outlineLevel="0" collapsed="false">
      <c r="A25" s="729" t="inlineStr">
        <is>
          <t xml:space="preserve">4-C-018</t>
        </is>
      </c>
      <c r="B25" s="746" t="inlineStr">
        <is>
          <t xml:space="preserve">○ 내연기관 방식의 펌프 설치 적정(정상기동(기동장치 및 제어반) 여부, 
   축전지상태, 연료량) 여부</t>
        </is>
      </c>
      <c r="C25" s="737"/>
    </row>
    <row r="26" customFormat="false" ht="33.75" hidden="false" customHeight="true" outlineLevel="0" collapsed="false">
      <c r="A26" s="729" t="inlineStr">
        <is>
          <t xml:space="preserve">4-C-019</t>
        </is>
      </c>
      <c r="B26" s="746" t="inlineStr">
        <is>
          <t xml:space="preserve">○ 가압송수장치의“간이스프링클러펌프”표지설치 여부 또는 다른 소화설비와
   겸용 시 겸용설비 이름 표시 부착 여부</t>
        </is>
      </c>
      <c r="C26" s="734"/>
    </row>
    <row r="27" customFormat="false" ht="21" hidden="false" customHeight="true" outlineLevel="0" collapsed="false">
      <c r="A27" s="725"/>
      <c r="B27" s="747" t="inlineStr">
        <is>
          <t xml:space="preserve"> [고가수조방식]</t>
        </is>
      </c>
      <c r="C27" s="734"/>
    </row>
    <row r="28" customFormat="false" ht="21" hidden="false" customHeight="true" outlineLevel="0" collapsed="false">
      <c r="A28" s="731" t="inlineStr">
        <is>
          <t xml:space="preserve">4-C-031</t>
        </is>
      </c>
      <c r="B28" s="748" t="inlineStr">
        <is>
          <t xml:space="preserve">○ 수위계·배수관·급수관·오버플로우관·맨홀 등 부속장치의 변형·손상 유무</t>
        </is>
      </c>
      <c r="C28" s="734"/>
    </row>
    <row r="29" customFormat="false" ht="21" hidden="false" customHeight="true" outlineLevel="0" collapsed="false">
      <c r="A29" s="729"/>
      <c r="B29" s="749" t="inlineStr">
        <is>
          <t xml:space="preserve"> [압력수조방식]</t>
        </is>
      </c>
      <c r="C29" s="734"/>
    </row>
    <row r="30" customFormat="false" ht="21" hidden="false" customHeight="true" outlineLevel="0" collapsed="false">
      <c r="A30" s="729" t="inlineStr">
        <is>
          <t xml:space="preserve">4-C-041</t>
        </is>
      </c>
      <c r="B30" s="743" t="inlineStr">
        <is>
          <t xml:space="preserve">● 압력수조의 압력 적정 여부</t>
        </is>
      </c>
      <c r="C30" s="734"/>
    </row>
    <row r="31" customFormat="false" ht="33.75" hidden="false" customHeight="true" outlineLevel="0" collapsed="false">
      <c r="A31" s="729" t="inlineStr">
        <is>
          <t xml:space="preserve">4-C-042</t>
        </is>
      </c>
      <c r="B31" s="750" t="inlineStr">
        <is>
          <t xml:space="preserve">○ 수위계·급수관·급기관·압력계·안전장치·공기압축기 등 부속장치의 변형·손상
  유무</t>
        </is>
      </c>
      <c r="C31" s="734"/>
    </row>
    <row r="32" customFormat="false" ht="21" hidden="false" customHeight="true" outlineLevel="0" collapsed="false">
      <c r="A32" s="725"/>
      <c r="B32" s="747" t="inlineStr">
        <is>
          <t xml:space="preserve"> [가압수조방식]</t>
        </is>
      </c>
      <c r="C32" s="734"/>
    </row>
    <row r="33" customFormat="false" ht="21" hidden="false" customHeight="true" outlineLevel="0" collapsed="false">
      <c r="A33" s="729" t="inlineStr">
        <is>
          <t xml:space="preserve">4-C-051</t>
        </is>
      </c>
      <c r="B33" s="751" t="inlineStr">
        <is>
          <t xml:space="preserve">● 가압수조 및 가압원 설치장소의 방화구획 여부</t>
        </is>
      </c>
      <c r="C33" s="734"/>
    </row>
    <row r="34" customFormat="false" ht="21" hidden="false" customHeight="true" outlineLevel="0" collapsed="false">
      <c r="A34" s="731" t="inlineStr">
        <is>
          <t xml:space="preserve">4-C-052</t>
        </is>
      </c>
      <c r="B34" s="748" t="inlineStr">
        <is>
          <t xml:space="preserve">○ 수위계·급수관·배수관·급기관·압력계 등 부속장치의 변형·손상 유무</t>
        </is>
      </c>
      <c r="C34" s="734"/>
    </row>
    <row r="35" customFormat="false" ht="44.25" hidden="false" customHeight="true" outlineLevel="0" collapsed="false">
      <c r="A35" s="764" t="inlineStr">
        <is>
          <t xml:space="preserve">비고</t>
        </is>
      </c>
      <c r="B35" s="808"/>
      <c r="C35" s="808"/>
    </row>
  </sheetData>
  <mergeCells count="5">
    <mergeCell ref="A1:C1"/>
    <mergeCell ref="A3:C3"/>
    <mergeCell ref="A5:C5"/>
    <mergeCell ref="A14:C14"/>
    <mergeCell ref="B35:C35"/>
  </mergeCells>
  <dataValidations count="1">
    <dataValidation allowBlank="true" errorStyle="stop" operator="between" showDropDown="false" showErrorMessage="true" showInputMessage="false" sqref="C4 C6:C13 C16:C34" type="list">
      <formula1>$G$8:$G$10</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F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4-D. 방호구역 및 유수검지장치</t>
        </is>
      </c>
      <c r="B3" s="759"/>
      <c r="C3" s="759"/>
    </row>
    <row r="4" customFormat="false" ht="21.75" hidden="false" customHeight="true" outlineLevel="0" collapsed="false">
      <c r="A4" s="770" t="inlineStr">
        <is>
          <t xml:space="preserve">4-D-001</t>
        </is>
      </c>
      <c r="B4" s="756" t="inlineStr">
        <is>
          <t xml:space="preserve">● 방호구역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63" t="inlineStr">
        <is>
          <t xml:space="preserve">4-D-002</t>
        </is>
      </c>
      <c r="B5" s="745" t="inlineStr">
        <is>
          <t xml:space="preserve">● 유수검지장치 설치 적정(수량, 접근·점검 편의성, 높이)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63" t="inlineStr">
        <is>
          <t xml:space="preserve">4-D-003</t>
        </is>
      </c>
      <c r="B6" s="745" t="inlineStr">
        <is>
          <t xml:space="preserve">○ 유수검지장치실 설치 적정(실내 또는 구획, 출입문 크기, 표지) 여부</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63" t="inlineStr">
        <is>
          <t xml:space="preserve">4-D-004</t>
        </is>
      </c>
      <c r="B7" s="745" t="inlineStr">
        <is>
          <t xml:space="preserve">● 자연낙차에 의한 유수압력과 유수검지장치의 유수검지압력 적정여부</t>
        </is>
      </c>
      <c r="C7" s="737"/>
      <c r="D7" s="728"/>
      <c r="E7" s="728"/>
      <c r="F7" s="727" t="inlineStr">
        <is>
          <t xml:space="preserve">○</t>
        </is>
      </c>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75" t="inlineStr">
        <is>
          <t xml:space="preserve">4-D-005</t>
        </is>
      </c>
      <c r="B8" s="757" t="inlineStr">
        <is>
          <t xml:space="preserve">● 주차장에 설치된 간이스프링클러 방식 적정(습식 외의 방식) 여부</t>
        </is>
      </c>
      <c r="C8" s="737"/>
      <c r="D8" s="728"/>
      <c r="E8" s="728"/>
      <c r="F8" s="727" t="inlineStr">
        <is>
          <t xml:space="preserve">/</t>
        </is>
      </c>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4" hidden="false" customHeight="true" outlineLevel="0" collapsed="false">
      <c r="A9" s="794" t="inlineStr">
        <is>
          <t xml:space="preserve"> 4-E. 배관 및 밸브</t>
        </is>
      </c>
      <c r="B9" s="794"/>
      <c r="C9" s="794"/>
      <c r="F9" s="727" t="inlineStr">
        <is>
          <t xml:space="preserve">×</t>
        </is>
      </c>
    </row>
    <row r="10" customFormat="false" ht="21.75" hidden="false" customHeight="true" outlineLevel="0" collapsed="false">
      <c r="A10" s="770" t="inlineStr">
        <is>
          <t xml:space="preserve">4-E-001</t>
        </is>
      </c>
      <c r="B10" s="756" t="inlineStr">
        <is>
          <t xml:space="preserve">○ 상수도직결형 수도배관 구경 및 유수검지에 따른 다른 배관 자동 송수 차단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36" hidden="false" customHeight="true" outlineLevel="0" collapsed="false">
      <c r="A11" s="763" t="inlineStr">
        <is>
          <t xml:space="preserve">4-E-002</t>
        </is>
      </c>
      <c r="B11" s="746" t="inlineStr">
        <is>
          <t xml:space="preserve">○ 급수배관 개폐밸브 설치(개폐표시형, 흡입측 버터플라이 제외) 및 작동표시
   스위치 적정(제어반 표시 및 경보, 스위치 동작 및 도통시험)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63" t="inlineStr">
        <is>
          <t xml:space="preserve">4-E-003</t>
        </is>
      </c>
      <c r="B12" s="745" t="inlineStr">
        <is>
          <t xml:space="preserve">● 펌프의 흡입측 배관 여과장치의 상태 확인</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63" t="inlineStr">
        <is>
          <t xml:space="preserve">4-E-004</t>
        </is>
      </c>
      <c r="B13" s="745" t="inlineStr">
        <is>
          <t xml:space="preserve">● 성능시험배관 설치(개폐밸브, 유량조절밸브, 유량측정장치)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63" t="inlineStr">
        <is>
          <t xml:space="preserve">4-E-005</t>
        </is>
      </c>
      <c r="B14" s="745" t="inlineStr">
        <is>
          <t xml:space="preserve">● 순환배관 설치(설치위치·배관구경, 릴리프밸브 개방압력) 적정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1.75" hidden="false" customHeight="true" outlineLevel="0" collapsed="false">
      <c r="A15" s="763" t="inlineStr">
        <is>
          <t xml:space="preserve">4-E-006</t>
        </is>
      </c>
      <c r="B15" s="745" t="inlineStr">
        <is>
          <t xml:space="preserve">● 동결방지조치 상태 적정 여부</t>
        </is>
      </c>
      <c r="C15" s="737"/>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36" hidden="false" customHeight="true" outlineLevel="0" collapsed="false">
      <c r="A16" s="763" t="inlineStr">
        <is>
          <t xml:space="preserve">4-E-007</t>
        </is>
      </c>
      <c r="B16" s="746" t="inlineStr">
        <is>
          <t xml:space="preserve">○ 준비작동식 유수검지장치 2차측 배관 부대설비 설치 적정(개폐표시형 밸브, 수직배수
   배관·개폐밸브, 자동배수장치, 압력스위치 설치 및 감시제어반 개방 확인) 여부</t>
        </is>
      </c>
      <c r="C16" s="737"/>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8"/>
      <c r="BC16" s="728"/>
      <c r="BD16" s="728"/>
      <c r="BE16" s="728"/>
      <c r="BF16" s="728"/>
      <c r="BG16" s="728"/>
      <c r="BH16" s="728"/>
      <c r="BI16" s="728"/>
      <c r="BJ16" s="728"/>
      <c r="BK16" s="728"/>
      <c r="BL16" s="728"/>
      <c r="BM16" s="728"/>
      <c r="BN16" s="728"/>
      <c r="BO16" s="728"/>
      <c r="BP16" s="728"/>
      <c r="BQ16" s="728"/>
      <c r="BR16" s="728"/>
      <c r="BS16" s="728"/>
      <c r="BT16" s="728"/>
      <c r="BU16" s="728"/>
      <c r="BV16" s="728"/>
      <c r="BW16" s="728"/>
      <c r="BX16" s="728"/>
      <c r="BY16" s="728"/>
      <c r="BZ16" s="728"/>
      <c r="CA16" s="728"/>
      <c r="CB16" s="728"/>
      <c r="CC16" s="728"/>
      <c r="CD16" s="728"/>
      <c r="CE16" s="728"/>
      <c r="CF16" s="728"/>
      <c r="CG16" s="728"/>
      <c r="CH16" s="728"/>
      <c r="CI16" s="728"/>
      <c r="CJ16" s="728"/>
      <c r="CK16" s="728"/>
      <c r="CL16" s="728"/>
      <c r="CM16" s="728"/>
      <c r="CN16" s="728"/>
      <c r="CO16" s="728"/>
      <c r="CP16" s="728"/>
      <c r="CQ16" s="728"/>
      <c r="CR16" s="728"/>
      <c r="CS16" s="728"/>
      <c r="CT16" s="728"/>
      <c r="CU16" s="728"/>
      <c r="CV16" s="728"/>
      <c r="CW16" s="728"/>
      <c r="CX16" s="728"/>
      <c r="CY16" s="728"/>
      <c r="CZ16" s="728"/>
      <c r="DA16" s="728"/>
      <c r="DB16" s="728"/>
      <c r="DC16" s="728"/>
      <c r="DD16" s="728"/>
      <c r="DE16" s="728"/>
      <c r="DF16" s="728"/>
      <c r="DG16" s="728"/>
      <c r="DH16" s="728"/>
      <c r="DI16" s="728"/>
      <c r="DJ16" s="728"/>
      <c r="DK16" s="728"/>
      <c r="DL16" s="728"/>
      <c r="DM16" s="728"/>
      <c r="DN16" s="728"/>
      <c r="DO16" s="728"/>
      <c r="DP16" s="728"/>
      <c r="DQ16" s="728"/>
      <c r="DR16" s="728"/>
      <c r="DS16" s="728"/>
      <c r="DT16" s="728"/>
      <c r="DU16" s="728"/>
      <c r="DV16" s="728"/>
      <c r="DW16" s="728"/>
      <c r="DX16" s="728"/>
      <c r="DY16" s="728"/>
      <c r="DZ16" s="728"/>
      <c r="EA16" s="728"/>
      <c r="EB16" s="728"/>
      <c r="EC16" s="728"/>
      <c r="ED16" s="728"/>
      <c r="EE16" s="728"/>
      <c r="EF16" s="728"/>
      <c r="EG16" s="728"/>
      <c r="EH16" s="728"/>
      <c r="EI16" s="728"/>
      <c r="EJ16" s="728"/>
      <c r="EK16" s="728"/>
      <c r="EL16" s="728"/>
      <c r="EM16" s="728"/>
      <c r="EN16" s="728"/>
      <c r="EO16" s="728"/>
      <c r="EP16" s="728"/>
      <c r="EQ16" s="728"/>
      <c r="ER16" s="728"/>
      <c r="ES16" s="728"/>
      <c r="ET16" s="728"/>
      <c r="EU16" s="728"/>
      <c r="EV16" s="728"/>
      <c r="EW16" s="728"/>
      <c r="EX16" s="728"/>
      <c r="EY16" s="728"/>
      <c r="EZ16" s="728"/>
      <c r="FA16" s="728"/>
      <c r="FB16" s="728"/>
      <c r="FC16" s="728"/>
      <c r="FD16" s="728"/>
      <c r="FE16" s="728"/>
      <c r="FF16" s="728"/>
      <c r="FG16" s="728"/>
      <c r="FH16" s="728"/>
      <c r="FI16" s="728"/>
      <c r="FJ16" s="728"/>
      <c r="FK16" s="728"/>
      <c r="FL16" s="728"/>
      <c r="FM16" s="728"/>
      <c r="FN16" s="728"/>
      <c r="FO16" s="728"/>
      <c r="FP16" s="728"/>
      <c r="FQ16" s="728"/>
      <c r="FR16" s="728"/>
      <c r="FS16" s="728"/>
      <c r="FT16" s="728"/>
      <c r="FU16" s="728"/>
      <c r="FV16" s="728"/>
      <c r="FW16" s="728"/>
      <c r="FX16" s="728"/>
      <c r="FY16" s="728"/>
      <c r="FZ16" s="728"/>
      <c r="GA16" s="728"/>
      <c r="GB16" s="728"/>
      <c r="GC16" s="728"/>
      <c r="GD16" s="728"/>
      <c r="GE16" s="728"/>
      <c r="GF16" s="728"/>
      <c r="GG16" s="728"/>
      <c r="GH16" s="728"/>
      <c r="GI16" s="728"/>
      <c r="GJ16" s="728"/>
      <c r="GK16" s="728"/>
      <c r="GL16" s="728"/>
      <c r="GM16" s="728"/>
      <c r="GN16" s="728"/>
      <c r="GO16" s="728"/>
      <c r="GP16" s="728"/>
      <c r="GQ16" s="728"/>
      <c r="GR16" s="728"/>
      <c r="GS16" s="728"/>
      <c r="GT16" s="728"/>
      <c r="GU16" s="728"/>
      <c r="GV16" s="728"/>
      <c r="GW16" s="728"/>
      <c r="GX16" s="728"/>
      <c r="GY16" s="728"/>
      <c r="GZ16" s="728"/>
      <c r="HA16" s="728"/>
      <c r="HB16" s="728"/>
      <c r="HC16" s="728"/>
      <c r="HD16" s="728"/>
      <c r="HE16" s="728"/>
      <c r="HF16" s="728"/>
      <c r="HG16" s="728"/>
      <c r="HH16" s="728"/>
      <c r="HI16" s="728"/>
      <c r="HJ16" s="728"/>
      <c r="HK16" s="728"/>
      <c r="HL16" s="728"/>
      <c r="HM16" s="728"/>
      <c r="HN16" s="728"/>
      <c r="HO16" s="728"/>
      <c r="HP16" s="728"/>
      <c r="HQ16" s="728"/>
      <c r="HR16" s="728"/>
      <c r="HS16" s="728"/>
      <c r="HT16" s="728"/>
      <c r="HU16" s="728"/>
      <c r="HV16" s="728"/>
      <c r="HW16" s="728"/>
      <c r="HX16" s="728"/>
      <c r="HY16" s="728"/>
      <c r="HZ16" s="728"/>
      <c r="IA16" s="728"/>
      <c r="IB16" s="728"/>
      <c r="IC16" s="728"/>
      <c r="ID16" s="728"/>
      <c r="IE16" s="728"/>
      <c r="IF16" s="728"/>
      <c r="IG16" s="728"/>
      <c r="IH16" s="728"/>
      <c r="II16" s="728"/>
      <c r="IJ16" s="728"/>
      <c r="IK16" s="728"/>
      <c r="IL16" s="728"/>
      <c r="IM16" s="728"/>
      <c r="IN16" s="728"/>
      <c r="IO16" s="728"/>
      <c r="IP16" s="728"/>
      <c r="IQ16" s="728"/>
      <c r="IR16" s="728"/>
      <c r="IS16" s="728"/>
      <c r="IT16" s="728"/>
      <c r="IU16" s="728"/>
      <c r="IV16" s="728"/>
      <c r="IW16" s="728"/>
    </row>
    <row r="17" customFormat="false" ht="36" hidden="false" customHeight="true" outlineLevel="0" collapsed="false">
      <c r="A17" s="729" t="inlineStr">
        <is>
          <t xml:space="preserve">4-E-008</t>
        </is>
      </c>
      <c r="B17" s="746" t="inlineStr">
        <is>
          <t xml:space="preserve">○ 유수검지장치 시험장치 설치 적정(설치위치, 배관구경, 개폐밸브 및 개방형 헤드, 
   물받이 통 및 배수관) 여부</t>
        </is>
      </c>
      <c r="C17" s="737"/>
      <c r="D17" s="728"/>
      <c r="E17" s="728"/>
      <c r="F17" s="728"/>
      <c r="G17" s="728"/>
      <c r="H17" s="728"/>
      <c r="I17" s="728"/>
      <c r="J17" s="728"/>
      <c r="K17" s="728"/>
      <c r="L17" s="728"/>
      <c r="M17" s="728"/>
      <c r="N17" s="728"/>
      <c r="O17" s="728"/>
      <c r="P17" s="728"/>
      <c r="Q17" s="728"/>
      <c r="R17" s="728"/>
      <c r="S17" s="728"/>
      <c r="T17" s="728"/>
      <c r="U17" s="728"/>
      <c r="V17" s="728"/>
      <c r="W17" s="728"/>
      <c r="X17" s="728"/>
      <c r="Y17" s="728"/>
      <c r="Z17" s="728"/>
      <c r="AA17" s="728"/>
      <c r="AB17" s="728"/>
      <c r="AC17" s="728"/>
      <c r="AD17" s="728"/>
      <c r="AE17" s="728"/>
      <c r="AF17" s="728"/>
      <c r="AG17" s="728"/>
      <c r="AH17" s="728"/>
      <c r="AI17" s="728"/>
      <c r="AJ17" s="728"/>
      <c r="AK17" s="728"/>
      <c r="AL17" s="728"/>
      <c r="AM17" s="728"/>
      <c r="AN17" s="728"/>
      <c r="AO17" s="728"/>
      <c r="AP17" s="728"/>
      <c r="AQ17" s="728"/>
      <c r="AR17" s="728"/>
      <c r="AS17" s="728"/>
      <c r="AT17" s="728"/>
      <c r="AU17" s="728"/>
      <c r="AV17" s="728"/>
      <c r="AW17" s="728"/>
      <c r="AX17" s="728"/>
      <c r="AY17" s="728"/>
      <c r="AZ17" s="728"/>
      <c r="BA17" s="728"/>
      <c r="BB17" s="728"/>
      <c r="BC17" s="728"/>
      <c r="BD17" s="728"/>
      <c r="BE17" s="728"/>
      <c r="BF17" s="728"/>
      <c r="BG17" s="728"/>
      <c r="BH17" s="728"/>
      <c r="BI17" s="728"/>
      <c r="BJ17" s="728"/>
      <c r="BK17" s="728"/>
      <c r="BL17" s="728"/>
      <c r="BM17" s="728"/>
      <c r="BN17" s="728"/>
      <c r="BO17" s="728"/>
      <c r="BP17" s="728"/>
      <c r="BQ17" s="728"/>
      <c r="BR17" s="728"/>
      <c r="BS17" s="728"/>
      <c r="BT17" s="728"/>
      <c r="BU17" s="728"/>
      <c r="BV17" s="728"/>
      <c r="BW17" s="728"/>
      <c r="BX17" s="728"/>
      <c r="BY17" s="728"/>
      <c r="BZ17" s="728"/>
      <c r="CA17" s="728"/>
      <c r="CB17" s="728"/>
      <c r="CC17" s="728"/>
      <c r="CD17" s="728"/>
      <c r="CE17" s="728"/>
      <c r="CF17" s="728"/>
      <c r="CG17" s="728"/>
      <c r="CH17" s="728"/>
      <c r="CI17" s="728"/>
      <c r="CJ17" s="728"/>
      <c r="CK17" s="728"/>
      <c r="CL17" s="728"/>
      <c r="CM17" s="728"/>
      <c r="CN17" s="728"/>
      <c r="CO17" s="728"/>
      <c r="CP17" s="728"/>
      <c r="CQ17" s="728"/>
      <c r="CR17" s="728"/>
      <c r="CS17" s="728"/>
      <c r="CT17" s="728"/>
      <c r="CU17" s="728"/>
      <c r="CV17" s="728"/>
      <c r="CW17" s="728"/>
      <c r="CX17" s="728"/>
      <c r="CY17" s="728"/>
      <c r="CZ17" s="728"/>
      <c r="DA17" s="728"/>
      <c r="DB17" s="728"/>
      <c r="DC17" s="728"/>
      <c r="DD17" s="728"/>
      <c r="DE17" s="728"/>
      <c r="DF17" s="728"/>
      <c r="DG17" s="728"/>
      <c r="DH17" s="728"/>
      <c r="DI17" s="728"/>
      <c r="DJ17" s="728"/>
      <c r="DK17" s="728"/>
      <c r="DL17" s="728"/>
      <c r="DM17" s="728"/>
      <c r="DN17" s="728"/>
      <c r="DO17" s="728"/>
      <c r="DP17" s="728"/>
      <c r="DQ17" s="728"/>
      <c r="DR17" s="728"/>
      <c r="DS17" s="728"/>
      <c r="DT17" s="728"/>
      <c r="DU17" s="728"/>
      <c r="DV17" s="728"/>
      <c r="DW17" s="728"/>
      <c r="DX17" s="728"/>
      <c r="DY17" s="728"/>
      <c r="DZ17" s="728"/>
      <c r="EA17" s="728"/>
      <c r="EB17" s="728"/>
      <c r="EC17" s="728"/>
      <c r="ED17" s="728"/>
      <c r="EE17" s="728"/>
      <c r="EF17" s="728"/>
      <c r="EG17" s="728"/>
      <c r="EH17" s="728"/>
      <c r="EI17" s="728"/>
      <c r="EJ17" s="728"/>
      <c r="EK17" s="728"/>
      <c r="EL17" s="728"/>
      <c r="EM17" s="728"/>
      <c r="EN17" s="728"/>
      <c r="EO17" s="728"/>
      <c r="EP17" s="728"/>
      <c r="EQ17" s="728"/>
      <c r="ER17" s="728"/>
      <c r="ES17" s="728"/>
      <c r="ET17" s="728"/>
      <c r="EU17" s="728"/>
      <c r="EV17" s="728"/>
      <c r="EW17" s="728"/>
      <c r="EX17" s="728"/>
      <c r="EY17" s="728"/>
      <c r="EZ17" s="728"/>
      <c r="FA17" s="728"/>
      <c r="FB17" s="728"/>
      <c r="FC17" s="728"/>
      <c r="FD17" s="728"/>
      <c r="FE17" s="728"/>
      <c r="FF17" s="728"/>
      <c r="FG17" s="728"/>
      <c r="FH17" s="728"/>
      <c r="FI17" s="728"/>
      <c r="FJ17" s="728"/>
      <c r="FK17" s="728"/>
      <c r="FL17" s="728"/>
      <c r="FM17" s="728"/>
      <c r="FN17" s="728"/>
      <c r="FO17" s="728"/>
      <c r="FP17" s="728"/>
      <c r="FQ17" s="728"/>
      <c r="FR17" s="728"/>
      <c r="FS17" s="728"/>
      <c r="FT17" s="728"/>
      <c r="FU17" s="728"/>
      <c r="FV17" s="728"/>
      <c r="FW17" s="728"/>
      <c r="FX17" s="728"/>
      <c r="FY17" s="728"/>
      <c r="FZ17" s="728"/>
      <c r="GA17" s="728"/>
      <c r="GB17" s="728"/>
      <c r="GC17" s="728"/>
      <c r="GD17" s="728"/>
      <c r="GE17" s="728"/>
      <c r="GF17" s="728"/>
      <c r="GG17" s="728"/>
      <c r="GH17" s="728"/>
      <c r="GI17" s="728"/>
      <c r="GJ17" s="728"/>
      <c r="GK17" s="728"/>
      <c r="GL17" s="728"/>
      <c r="GM17" s="728"/>
      <c r="GN17" s="728"/>
      <c r="GO17" s="728"/>
      <c r="GP17" s="728"/>
      <c r="GQ17" s="728"/>
      <c r="GR17" s="728"/>
      <c r="GS17" s="728"/>
      <c r="GT17" s="728"/>
      <c r="GU17" s="728"/>
      <c r="GV17" s="728"/>
      <c r="GW17" s="728"/>
      <c r="GX17" s="728"/>
      <c r="GY17" s="728"/>
      <c r="GZ17" s="728"/>
      <c r="HA17" s="728"/>
      <c r="HB17" s="728"/>
      <c r="HC17" s="728"/>
      <c r="HD17" s="728"/>
      <c r="HE17" s="728"/>
      <c r="HF17" s="728"/>
      <c r="HG17" s="728"/>
      <c r="HH17" s="728"/>
      <c r="HI17" s="728"/>
      <c r="HJ17" s="728"/>
      <c r="HK17" s="728"/>
      <c r="HL17" s="728"/>
      <c r="HM17" s="728"/>
      <c r="HN17" s="728"/>
      <c r="HO17" s="728"/>
      <c r="HP17" s="728"/>
      <c r="HQ17" s="728"/>
      <c r="HR17" s="728"/>
      <c r="HS17" s="728"/>
      <c r="HT17" s="728"/>
      <c r="HU17" s="728"/>
      <c r="HV17" s="728"/>
      <c r="HW17" s="728"/>
      <c r="HX17" s="728"/>
      <c r="HY17" s="728"/>
      <c r="HZ17" s="728"/>
      <c r="IA17" s="728"/>
      <c r="IB17" s="728"/>
      <c r="IC17" s="728"/>
      <c r="ID17" s="728"/>
      <c r="IE17" s="728"/>
      <c r="IF17" s="728"/>
      <c r="IG17" s="728"/>
      <c r="IH17" s="728"/>
      <c r="II17" s="728"/>
      <c r="IJ17" s="728"/>
      <c r="IK17" s="728"/>
      <c r="IL17" s="728"/>
      <c r="IM17" s="728"/>
      <c r="IN17" s="728"/>
      <c r="IO17" s="728"/>
      <c r="IP17" s="728"/>
      <c r="IQ17" s="728"/>
      <c r="IR17" s="728"/>
      <c r="IS17" s="728"/>
      <c r="IT17" s="728"/>
      <c r="IU17" s="728"/>
      <c r="IV17" s="728"/>
      <c r="IW17" s="728"/>
    </row>
    <row r="18" customFormat="false" ht="21.75" hidden="false" customHeight="true" outlineLevel="0" collapsed="false">
      <c r="A18" s="729" t="inlineStr">
        <is>
          <t xml:space="preserve">4-E-009</t>
        </is>
      </c>
      <c r="B18" s="745" t="inlineStr">
        <is>
          <t xml:space="preserve">● 간이스프링클러설비 배관 및 밸브 등의 순서의 적정 시공 여부</t>
        </is>
      </c>
      <c r="C18" s="737"/>
      <c r="D18" s="728"/>
      <c r="E18" s="728"/>
      <c r="F18" s="728"/>
      <c r="G18" s="728"/>
      <c r="H18" s="728"/>
      <c r="I18" s="728"/>
      <c r="J18" s="728"/>
      <c r="K18" s="728"/>
      <c r="L18" s="728"/>
      <c r="M18" s="728"/>
      <c r="N18" s="728"/>
      <c r="O18" s="728"/>
      <c r="P18" s="728"/>
      <c r="Q18" s="728"/>
      <c r="R18" s="728"/>
      <c r="S18" s="728"/>
      <c r="T18" s="728"/>
      <c r="U18" s="728"/>
      <c r="V18" s="728"/>
      <c r="W18" s="728"/>
      <c r="X18" s="728"/>
      <c r="Y18" s="728"/>
      <c r="Z18" s="728"/>
      <c r="AA18" s="728"/>
      <c r="AB18" s="728"/>
      <c r="AC18" s="728"/>
      <c r="AD18" s="728"/>
      <c r="AE18" s="728"/>
      <c r="AF18" s="728"/>
      <c r="AG18" s="728"/>
      <c r="AH18" s="728"/>
      <c r="AI18" s="728"/>
      <c r="AJ18" s="728"/>
      <c r="AK18" s="728"/>
      <c r="AL18" s="728"/>
      <c r="AM18" s="728"/>
      <c r="AN18" s="728"/>
      <c r="AO18" s="728"/>
      <c r="AP18" s="728"/>
      <c r="AQ18" s="728"/>
      <c r="AR18" s="728"/>
      <c r="AS18" s="728"/>
      <c r="AT18" s="728"/>
      <c r="AU18" s="728"/>
      <c r="AV18" s="728"/>
      <c r="AW18" s="728"/>
      <c r="AX18" s="728"/>
      <c r="AY18" s="728"/>
      <c r="AZ18" s="728"/>
      <c r="BA18" s="728"/>
      <c r="BB18" s="728"/>
      <c r="BC18" s="728"/>
      <c r="BD18" s="728"/>
      <c r="BE18" s="728"/>
      <c r="BF18" s="728"/>
      <c r="BG18" s="728"/>
      <c r="BH18" s="728"/>
      <c r="BI18" s="728"/>
      <c r="BJ18" s="728"/>
      <c r="BK18" s="728"/>
      <c r="BL18" s="728"/>
      <c r="BM18" s="728"/>
      <c r="BN18" s="728"/>
      <c r="BO18" s="728"/>
      <c r="BP18" s="728"/>
      <c r="BQ18" s="728"/>
      <c r="BR18" s="728"/>
      <c r="BS18" s="728"/>
      <c r="BT18" s="728"/>
      <c r="BU18" s="728"/>
      <c r="BV18" s="728"/>
      <c r="BW18" s="728"/>
      <c r="BX18" s="728"/>
      <c r="BY18" s="728"/>
      <c r="BZ18" s="728"/>
      <c r="CA18" s="728"/>
      <c r="CB18" s="728"/>
      <c r="CC18" s="728"/>
      <c r="CD18" s="728"/>
      <c r="CE18" s="728"/>
      <c r="CF18" s="728"/>
      <c r="CG18" s="728"/>
      <c r="CH18" s="728"/>
      <c r="CI18" s="728"/>
      <c r="CJ18" s="728"/>
      <c r="CK18" s="728"/>
      <c r="CL18" s="728"/>
      <c r="CM18" s="728"/>
      <c r="CN18" s="728"/>
      <c r="CO18" s="728"/>
      <c r="CP18" s="728"/>
      <c r="CQ18" s="728"/>
      <c r="CR18" s="728"/>
      <c r="CS18" s="728"/>
      <c r="CT18" s="728"/>
      <c r="CU18" s="728"/>
      <c r="CV18" s="728"/>
      <c r="CW18" s="728"/>
      <c r="CX18" s="728"/>
      <c r="CY18" s="728"/>
      <c r="CZ18" s="728"/>
      <c r="DA18" s="728"/>
      <c r="DB18" s="728"/>
      <c r="DC18" s="728"/>
      <c r="DD18" s="728"/>
      <c r="DE18" s="728"/>
      <c r="DF18" s="728"/>
      <c r="DG18" s="728"/>
      <c r="DH18" s="728"/>
      <c r="DI18" s="728"/>
      <c r="DJ18" s="728"/>
      <c r="DK18" s="728"/>
      <c r="DL18" s="728"/>
      <c r="DM18" s="728"/>
      <c r="DN18" s="728"/>
      <c r="DO18" s="728"/>
      <c r="DP18" s="728"/>
      <c r="DQ18" s="728"/>
      <c r="DR18" s="728"/>
      <c r="DS18" s="728"/>
      <c r="DT18" s="728"/>
      <c r="DU18" s="728"/>
      <c r="DV18" s="728"/>
      <c r="DW18" s="728"/>
      <c r="DX18" s="728"/>
      <c r="DY18" s="728"/>
      <c r="DZ18" s="728"/>
      <c r="EA18" s="728"/>
      <c r="EB18" s="728"/>
      <c r="EC18" s="728"/>
      <c r="ED18" s="728"/>
      <c r="EE18" s="728"/>
      <c r="EF18" s="728"/>
      <c r="EG18" s="728"/>
      <c r="EH18" s="728"/>
      <c r="EI18" s="728"/>
      <c r="EJ18" s="728"/>
      <c r="EK18" s="728"/>
      <c r="EL18" s="728"/>
      <c r="EM18" s="728"/>
      <c r="EN18" s="728"/>
      <c r="EO18" s="728"/>
      <c r="EP18" s="728"/>
      <c r="EQ18" s="728"/>
      <c r="ER18" s="728"/>
      <c r="ES18" s="728"/>
      <c r="ET18" s="728"/>
      <c r="EU18" s="728"/>
      <c r="EV18" s="728"/>
      <c r="EW18" s="728"/>
      <c r="EX18" s="728"/>
      <c r="EY18" s="728"/>
      <c r="EZ18" s="728"/>
      <c r="FA18" s="728"/>
      <c r="FB18" s="728"/>
      <c r="FC18" s="728"/>
      <c r="FD18" s="728"/>
      <c r="FE18" s="728"/>
      <c r="FF18" s="728"/>
      <c r="FG18" s="728"/>
      <c r="FH18" s="728"/>
      <c r="FI18" s="728"/>
      <c r="FJ18" s="728"/>
      <c r="FK18" s="728"/>
      <c r="FL18" s="728"/>
      <c r="FM18" s="728"/>
      <c r="FN18" s="728"/>
      <c r="FO18" s="728"/>
      <c r="FP18" s="728"/>
      <c r="FQ18" s="728"/>
      <c r="FR18" s="728"/>
      <c r="FS18" s="728"/>
      <c r="FT18" s="728"/>
      <c r="FU18" s="728"/>
      <c r="FV18" s="728"/>
      <c r="FW18" s="728"/>
      <c r="FX18" s="728"/>
      <c r="FY18" s="728"/>
      <c r="FZ18" s="728"/>
      <c r="GA18" s="728"/>
      <c r="GB18" s="728"/>
      <c r="GC18" s="728"/>
      <c r="GD18" s="728"/>
      <c r="GE18" s="728"/>
      <c r="GF18" s="728"/>
      <c r="GG18" s="728"/>
      <c r="GH18" s="728"/>
      <c r="GI18" s="728"/>
      <c r="GJ18" s="728"/>
      <c r="GK18" s="728"/>
      <c r="GL18" s="728"/>
      <c r="GM18" s="728"/>
      <c r="GN18" s="728"/>
      <c r="GO18" s="728"/>
      <c r="GP18" s="728"/>
      <c r="GQ18" s="728"/>
      <c r="GR18" s="728"/>
      <c r="GS18" s="728"/>
      <c r="GT18" s="728"/>
      <c r="GU18" s="728"/>
      <c r="GV18" s="728"/>
      <c r="GW18" s="728"/>
      <c r="GX18" s="728"/>
      <c r="GY18" s="728"/>
      <c r="GZ18" s="728"/>
      <c r="HA18" s="728"/>
      <c r="HB18" s="728"/>
      <c r="HC18" s="728"/>
      <c r="HD18" s="728"/>
      <c r="HE18" s="728"/>
      <c r="HF18" s="728"/>
      <c r="HG18" s="728"/>
      <c r="HH18" s="728"/>
      <c r="HI18" s="728"/>
      <c r="HJ18" s="728"/>
      <c r="HK18" s="728"/>
      <c r="HL18" s="728"/>
      <c r="HM18" s="728"/>
      <c r="HN18" s="728"/>
      <c r="HO18" s="728"/>
      <c r="HP18" s="728"/>
      <c r="HQ18" s="728"/>
      <c r="HR18" s="728"/>
      <c r="HS18" s="728"/>
      <c r="HT18" s="728"/>
      <c r="HU18" s="728"/>
      <c r="HV18" s="728"/>
      <c r="HW18" s="728"/>
      <c r="HX18" s="728"/>
      <c r="HY18" s="728"/>
      <c r="HZ18" s="728"/>
      <c r="IA18" s="728"/>
      <c r="IB18" s="728"/>
      <c r="IC18" s="728"/>
      <c r="ID18" s="728"/>
      <c r="IE18" s="728"/>
      <c r="IF18" s="728"/>
      <c r="IG18" s="728"/>
      <c r="IH18" s="728"/>
      <c r="II18" s="728"/>
      <c r="IJ18" s="728"/>
      <c r="IK18" s="728"/>
      <c r="IL18" s="728"/>
      <c r="IM18" s="728"/>
      <c r="IN18" s="728"/>
      <c r="IO18" s="728"/>
      <c r="IP18" s="728"/>
      <c r="IQ18" s="728"/>
      <c r="IR18" s="728"/>
      <c r="IS18" s="728"/>
      <c r="IT18" s="728"/>
      <c r="IU18" s="728"/>
      <c r="IV18" s="728"/>
      <c r="IW18" s="728"/>
    </row>
    <row r="19" customFormat="false" ht="21.75" hidden="false" customHeight="true" outlineLevel="0" collapsed="false">
      <c r="A19" s="731" t="inlineStr">
        <is>
          <t xml:space="preserve">4-E-010</t>
        </is>
      </c>
      <c r="B19" s="757" t="inlineStr">
        <is>
          <t xml:space="preserve">● 다른 설비의 배관과의 구분 상태 적정 여부</t>
        </is>
      </c>
      <c r="C19" s="737"/>
      <c r="D19" s="728"/>
      <c r="E19" s="728"/>
      <c r="F19" s="728"/>
      <c r="G19" s="728"/>
      <c r="H19" s="728"/>
      <c r="I19" s="728"/>
      <c r="J19" s="728"/>
      <c r="K19" s="728"/>
      <c r="L19" s="728"/>
      <c r="M19" s="728"/>
      <c r="N19" s="728"/>
      <c r="O19" s="728"/>
      <c r="P19" s="728"/>
      <c r="Q19" s="728"/>
      <c r="R19" s="728"/>
      <c r="S19" s="728"/>
      <c r="T19" s="728"/>
      <c r="U19" s="728"/>
      <c r="V19" s="728"/>
      <c r="W19" s="728"/>
      <c r="X19" s="728"/>
      <c r="Y19" s="728"/>
      <c r="Z19" s="728"/>
      <c r="AA19" s="728"/>
      <c r="AB19" s="728"/>
      <c r="AC19" s="728"/>
      <c r="AD19" s="728"/>
      <c r="AE19" s="728"/>
      <c r="AF19" s="728"/>
      <c r="AG19" s="728"/>
      <c r="AH19" s="728"/>
      <c r="AI19" s="728"/>
      <c r="AJ19" s="728"/>
      <c r="AK19" s="728"/>
      <c r="AL19" s="728"/>
      <c r="AM19" s="728"/>
      <c r="AN19" s="728"/>
      <c r="AO19" s="728"/>
      <c r="AP19" s="728"/>
      <c r="AQ19" s="728"/>
      <c r="AR19" s="728"/>
      <c r="AS19" s="728"/>
      <c r="AT19" s="728"/>
      <c r="AU19" s="728"/>
      <c r="AV19" s="728"/>
      <c r="AW19" s="728"/>
      <c r="AX19" s="728"/>
      <c r="AY19" s="728"/>
      <c r="AZ19" s="728"/>
      <c r="BA19" s="728"/>
      <c r="BB19" s="728"/>
      <c r="BC19" s="728"/>
      <c r="BD19" s="728"/>
      <c r="BE19" s="728"/>
      <c r="BF19" s="728"/>
      <c r="BG19" s="728"/>
      <c r="BH19" s="728"/>
      <c r="BI19" s="728"/>
      <c r="BJ19" s="728"/>
      <c r="BK19" s="728"/>
      <c r="BL19" s="728"/>
      <c r="BM19" s="728"/>
      <c r="BN19" s="728"/>
      <c r="BO19" s="728"/>
      <c r="BP19" s="728"/>
      <c r="BQ19" s="728"/>
      <c r="BR19" s="728"/>
      <c r="BS19" s="728"/>
      <c r="BT19" s="728"/>
      <c r="BU19" s="728"/>
      <c r="BV19" s="728"/>
      <c r="BW19" s="728"/>
      <c r="BX19" s="728"/>
      <c r="BY19" s="728"/>
      <c r="BZ19" s="728"/>
      <c r="CA19" s="728"/>
      <c r="CB19" s="728"/>
      <c r="CC19" s="728"/>
      <c r="CD19" s="728"/>
      <c r="CE19" s="728"/>
      <c r="CF19" s="728"/>
      <c r="CG19" s="728"/>
      <c r="CH19" s="728"/>
      <c r="CI19" s="728"/>
      <c r="CJ19" s="728"/>
      <c r="CK19" s="728"/>
      <c r="CL19" s="728"/>
      <c r="CM19" s="728"/>
      <c r="CN19" s="728"/>
      <c r="CO19" s="728"/>
      <c r="CP19" s="728"/>
      <c r="CQ19" s="728"/>
      <c r="CR19" s="728"/>
      <c r="CS19" s="728"/>
      <c r="CT19" s="728"/>
      <c r="CU19" s="728"/>
      <c r="CV19" s="728"/>
      <c r="CW19" s="728"/>
      <c r="CX19" s="728"/>
      <c r="CY19" s="728"/>
      <c r="CZ19" s="728"/>
      <c r="DA19" s="728"/>
      <c r="DB19" s="728"/>
      <c r="DC19" s="728"/>
      <c r="DD19" s="728"/>
      <c r="DE19" s="728"/>
      <c r="DF19" s="728"/>
      <c r="DG19" s="728"/>
      <c r="DH19" s="728"/>
      <c r="DI19" s="728"/>
      <c r="DJ19" s="728"/>
      <c r="DK19" s="728"/>
      <c r="DL19" s="728"/>
      <c r="DM19" s="728"/>
      <c r="DN19" s="728"/>
      <c r="DO19" s="728"/>
      <c r="DP19" s="728"/>
      <c r="DQ19" s="728"/>
      <c r="DR19" s="728"/>
      <c r="DS19" s="728"/>
      <c r="DT19" s="728"/>
      <c r="DU19" s="728"/>
      <c r="DV19" s="728"/>
      <c r="DW19" s="728"/>
      <c r="DX19" s="728"/>
      <c r="DY19" s="728"/>
      <c r="DZ19" s="728"/>
      <c r="EA19" s="728"/>
      <c r="EB19" s="728"/>
      <c r="EC19" s="728"/>
      <c r="ED19" s="728"/>
      <c r="EE19" s="728"/>
      <c r="EF19" s="728"/>
      <c r="EG19" s="728"/>
      <c r="EH19" s="728"/>
      <c r="EI19" s="728"/>
      <c r="EJ19" s="728"/>
      <c r="EK19" s="728"/>
      <c r="EL19" s="728"/>
      <c r="EM19" s="728"/>
      <c r="EN19" s="728"/>
      <c r="EO19" s="728"/>
      <c r="EP19" s="728"/>
      <c r="EQ19" s="728"/>
      <c r="ER19" s="728"/>
      <c r="ES19" s="728"/>
      <c r="ET19" s="728"/>
      <c r="EU19" s="728"/>
      <c r="EV19" s="728"/>
      <c r="EW19" s="728"/>
      <c r="EX19" s="728"/>
      <c r="EY19" s="728"/>
      <c r="EZ19" s="728"/>
      <c r="FA19" s="728"/>
      <c r="FB19" s="728"/>
      <c r="FC19" s="728"/>
      <c r="FD19" s="728"/>
      <c r="FE19" s="728"/>
      <c r="FF19" s="728"/>
      <c r="FG19" s="728"/>
      <c r="FH19" s="728"/>
      <c r="FI19" s="728"/>
      <c r="FJ19" s="728"/>
      <c r="FK19" s="728"/>
      <c r="FL19" s="728"/>
      <c r="FM19" s="728"/>
      <c r="FN19" s="728"/>
      <c r="FO19" s="728"/>
      <c r="FP19" s="728"/>
      <c r="FQ19" s="728"/>
      <c r="FR19" s="728"/>
      <c r="FS19" s="728"/>
      <c r="FT19" s="728"/>
      <c r="FU19" s="728"/>
      <c r="FV19" s="728"/>
      <c r="FW19" s="728"/>
      <c r="FX19" s="728"/>
      <c r="FY19" s="728"/>
      <c r="FZ19" s="728"/>
      <c r="GA19" s="728"/>
      <c r="GB19" s="728"/>
      <c r="GC19" s="728"/>
      <c r="GD19" s="728"/>
      <c r="GE19" s="728"/>
      <c r="GF19" s="728"/>
      <c r="GG19" s="728"/>
      <c r="GH19" s="728"/>
      <c r="GI19" s="728"/>
      <c r="GJ19" s="728"/>
      <c r="GK19" s="728"/>
      <c r="GL19" s="728"/>
      <c r="GM19" s="728"/>
      <c r="GN19" s="728"/>
      <c r="GO19" s="728"/>
      <c r="GP19" s="728"/>
      <c r="GQ19" s="728"/>
      <c r="GR19" s="728"/>
      <c r="GS19" s="728"/>
      <c r="GT19" s="728"/>
      <c r="GU19" s="728"/>
      <c r="GV19" s="728"/>
      <c r="GW19" s="728"/>
      <c r="GX19" s="728"/>
      <c r="GY19" s="728"/>
      <c r="GZ19" s="728"/>
      <c r="HA19" s="728"/>
      <c r="HB19" s="728"/>
      <c r="HC19" s="728"/>
      <c r="HD19" s="728"/>
      <c r="HE19" s="728"/>
      <c r="HF19" s="728"/>
      <c r="HG19" s="728"/>
      <c r="HH19" s="728"/>
      <c r="HI19" s="728"/>
      <c r="HJ19" s="728"/>
      <c r="HK19" s="728"/>
      <c r="HL19" s="728"/>
      <c r="HM19" s="728"/>
      <c r="HN19" s="728"/>
      <c r="HO19" s="728"/>
      <c r="HP19" s="728"/>
      <c r="HQ19" s="728"/>
      <c r="HR19" s="728"/>
      <c r="HS19" s="728"/>
      <c r="HT19" s="728"/>
      <c r="HU19" s="728"/>
      <c r="HV19" s="728"/>
      <c r="HW19" s="728"/>
      <c r="HX19" s="728"/>
      <c r="HY19" s="728"/>
      <c r="HZ19" s="728"/>
      <c r="IA19" s="728"/>
      <c r="IB19" s="728"/>
      <c r="IC19" s="728"/>
      <c r="ID19" s="728"/>
      <c r="IE19" s="728"/>
      <c r="IF19" s="728"/>
      <c r="IG19" s="728"/>
      <c r="IH19" s="728"/>
      <c r="II19" s="728"/>
      <c r="IJ19" s="728"/>
      <c r="IK19" s="728"/>
      <c r="IL19" s="728"/>
      <c r="IM19" s="728"/>
      <c r="IN19" s="728"/>
      <c r="IO19" s="728"/>
      <c r="IP19" s="728"/>
      <c r="IQ19" s="728"/>
      <c r="IR19" s="728"/>
      <c r="IS19" s="728"/>
      <c r="IT19" s="728"/>
      <c r="IU19" s="728"/>
      <c r="IV19" s="728"/>
      <c r="IW19" s="728"/>
    </row>
    <row r="20" customFormat="false" ht="24" hidden="false" customHeight="true" outlineLevel="0" collapsed="false">
      <c r="A20" s="794" t="inlineStr">
        <is>
          <t xml:space="preserve"> 4-F. 음향장치 및 기동장치</t>
        </is>
      </c>
      <c r="B20" s="794"/>
      <c r="C20" s="794"/>
    </row>
    <row r="21" customFormat="false" ht="21.75" hidden="false" customHeight="true" outlineLevel="0" collapsed="false">
      <c r="A21" s="770" t="inlineStr">
        <is>
          <t xml:space="preserve">4-F-001</t>
        </is>
      </c>
      <c r="B21" s="756" t="inlineStr">
        <is>
          <t xml:space="preserve">○ 유수검지에 따른 음향장치 작동 가능 여부(습식의 경우)</t>
        </is>
      </c>
      <c r="C21" s="734"/>
    </row>
    <row r="22" customFormat="false" ht="21.75" hidden="false" customHeight="true" outlineLevel="0" collapsed="false">
      <c r="A22" s="763" t="inlineStr">
        <is>
          <t xml:space="preserve">4-F-002</t>
        </is>
      </c>
      <c r="B22" s="745" t="inlineStr">
        <is>
          <t xml:space="preserve">● 음향장치 설치 담당구역 및 수평거리 적정 여부</t>
        </is>
      </c>
      <c r="C22" s="737"/>
    </row>
    <row r="23" customFormat="false" ht="21.75" hidden="false" customHeight="true" outlineLevel="0" collapsed="false">
      <c r="A23" s="763" t="inlineStr">
        <is>
          <t xml:space="preserve">4-F-003</t>
        </is>
      </c>
      <c r="B23" s="745" t="inlineStr">
        <is>
          <t xml:space="preserve">● 주 음향장치 수신기 내부 또는 직근 설치 여부</t>
        </is>
      </c>
      <c r="C23" s="737"/>
    </row>
    <row r="24" customFormat="false" ht="21.75" hidden="false" customHeight="true" outlineLevel="0" collapsed="false">
      <c r="A24" s="763" t="inlineStr">
        <is>
          <t xml:space="preserve">4-F-004</t>
        </is>
      </c>
      <c r="B24" s="745" t="inlineStr">
        <is>
          <t xml:space="preserve">● 우선경보방식에 따른 경보 적정 여부</t>
        </is>
      </c>
      <c r="C24" s="737"/>
    </row>
    <row r="25" customFormat="false" ht="21.75" hidden="false" customHeight="true" outlineLevel="0" collapsed="false">
      <c r="A25" s="763" t="inlineStr">
        <is>
          <t xml:space="preserve">4-F-005</t>
        </is>
      </c>
      <c r="B25" s="745" t="inlineStr">
        <is>
          <t xml:space="preserve">○ 음향장치(경종 등) 변형·손상 확인 및 정상 작동(음량 포함) 여부</t>
        </is>
      </c>
      <c r="C25" s="734"/>
    </row>
    <row r="26" customFormat="false" ht="21.75" hidden="false" customHeight="true" outlineLevel="0" collapsed="false">
      <c r="A26" s="729"/>
      <c r="B26" s="762" t="inlineStr">
        <is>
          <t xml:space="preserve"> [펌프 작동]</t>
        </is>
      </c>
      <c r="C26" s="734"/>
    </row>
    <row r="27" customFormat="false" ht="33.75" hidden="false" customHeight="true" outlineLevel="0" collapsed="false">
      <c r="A27" s="809" t="inlineStr">
        <is>
          <t xml:space="preserve">4-F-011</t>
        </is>
      </c>
      <c r="B27" s="746" t="inlineStr">
        <is>
          <t xml:space="preserve">○ 유수검지장치의 발신이나 기동용 수압개폐장치의 작동에 따른 펌프 기동 확인
   (습식의 경우)</t>
        </is>
      </c>
      <c r="C27" s="734"/>
    </row>
    <row r="28" customFormat="false" ht="33.75" hidden="false" customHeight="true" outlineLevel="0" collapsed="false">
      <c r="A28" s="809" t="inlineStr">
        <is>
          <t xml:space="preserve">4-F-012</t>
        </is>
      </c>
      <c r="B28" s="746" t="inlineStr">
        <is>
          <t xml:space="preserve">○ 화재감지기의 감지나 기동용 수압개폐장치의 작동에 따른 펌프 기동 확인
   (준비작동식의 경우)</t>
        </is>
      </c>
      <c r="C28" s="734"/>
    </row>
    <row r="29" customFormat="false" ht="21.75" hidden="false" customHeight="true" outlineLevel="0" collapsed="false">
      <c r="A29" s="810"/>
      <c r="B29" s="811" t="inlineStr">
        <is>
          <t xml:space="preserve"> [준비작동식유수검지장치 작동]</t>
        </is>
      </c>
      <c r="C29" s="734"/>
    </row>
    <row r="30" customFormat="false" ht="21.75" hidden="false" customHeight="true" outlineLevel="0" collapsed="false">
      <c r="A30" s="763" t="inlineStr">
        <is>
          <t xml:space="preserve">4-F-021</t>
        </is>
      </c>
      <c r="B30" s="745" t="inlineStr">
        <is>
          <t xml:space="preserve">○ 담당구역내 화재감지기 동작(수동 기동 포함)에 따라 개방 및 작동 여부</t>
        </is>
      </c>
      <c r="C30" s="734"/>
    </row>
    <row r="31" customFormat="false" ht="21.75" hidden="false" customHeight="true" outlineLevel="0" collapsed="false">
      <c r="A31" s="775" t="inlineStr">
        <is>
          <t xml:space="preserve">4-F-022</t>
        </is>
      </c>
      <c r="B31" s="757" t="inlineStr">
        <is>
          <t xml:space="preserve">○ 수동조작함 (설치높이, 표시등) 설치 적정 여부</t>
        </is>
      </c>
      <c r="C31" s="734"/>
    </row>
    <row r="32" customFormat="false" ht="44.25" hidden="false" customHeight="true" outlineLevel="0" collapsed="false">
      <c r="A32" s="764" t="inlineStr">
        <is>
          <t xml:space="preserve">비고</t>
        </is>
      </c>
      <c r="B32" s="808"/>
      <c r="C32" s="808"/>
    </row>
  </sheetData>
  <mergeCells count="5">
    <mergeCell ref="A1:C1"/>
    <mergeCell ref="A3:C3"/>
    <mergeCell ref="A9:C9"/>
    <mergeCell ref="A20:C20"/>
    <mergeCell ref="B32:C32"/>
  </mergeCells>
  <dataValidations count="1">
    <dataValidation allowBlank="true" errorStyle="stop" operator="between" showDropDown="false" showErrorMessage="true" showInputMessage="false" sqref="C4:C8 C10:C19 C21:C31" type="list">
      <formula1>$F$7:$F$9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8"/>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G9" activeCellId="0" sqref="G9:G11"/>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(3면)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4-G. 간이헤드</t>
        </is>
      </c>
      <c r="B3" s="759"/>
      <c r="C3" s="759"/>
    </row>
    <row r="4" customFormat="false" ht="20.25" hidden="false" customHeight="true" outlineLevel="0" collapsed="false">
      <c r="A4" s="770" t="inlineStr">
        <is>
          <t xml:space="preserve">4-G-001</t>
        </is>
      </c>
      <c r="B4" s="756" t="inlineStr">
        <is>
          <t xml:space="preserve">○ 헤드의 변형·손상 유무</t>
        </is>
      </c>
      <c r="C4" s="744"/>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0.25" hidden="false" customHeight="true" outlineLevel="0" collapsed="false">
      <c r="A5" s="763" t="inlineStr">
        <is>
          <t xml:space="preserve">4-G-002</t>
        </is>
      </c>
      <c r="B5" s="745" t="inlineStr">
        <is>
          <t xml:space="preserve">○ 헤드 설치 위치·장소·상태(고정) 적정 여부</t>
        </is>
      </c>
      <c r="C5" s="812"/>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0.25" hidden="false" customHeight="true" outlineLevel="0" collapsed="false">
      <c r="A6" s="763" t="inlineStr">
        <is>
          <t xml:space="preserve">4-G-003</t>
        </is>
      </c>
      <c r="B6" s="745" t="inlineStr">
        <is>
          <t xml:space="preserve">○ 헤드 살수장애 여부</t>
        </is>
      </c>
      <c r="C6" s="812"/>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0.25" hidden="false" customHeight="true" outlineLevel="0" collapsed="false">
      <c r="A7" s="763" t="inlineStr">
        <is>
          <t xml:space="preserve">4-G-004</t>
        </is>
      </c>
      <c r="B7" s="745" t="inlineStr">
        <is>
          <t xml:space="preserve">● 감열부에 영향을 받을 우려가 있는 헤드의 차폐판 설치 여부</t>
        </is>
      </c>
      <c r="C7" s="812"/>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0.25" hidden="false" customHeight="true" outlineLevel="0" collapsed="false">
      <c r="A8" s="775" t="inlineStr">
        <is>
          <t xml:space="preserve">4-G-005</t>
        </is>
      </c>
      <c r="B8" s="757" t="inlineStr">
        <is>
          <t xml:space="preserve">● 헤드 설치 제외 적정 여부(설치 제외된 경우)</t>
        </is>
      </c>
      <c r="C8" s="793"/>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4" hidden="false" customHeight="true" outlineLevel="0" collapsed="false">
      <c r="A9" s="794" t="inlineStr">
        <is>
          <t xml:space="preserve"> 4-H. 송수구</t>
        </is>
      </c>
      <c r="B9" s="794"/>
      <c r="C9" s="794"/>
      <c r="G9" s="727" t="inlineStr">
        <is>
          <t xml:space="preserve">○</t>
        </is>
      </c>
    </row>
    <row r="10" customFormat="false" ht="20.25" hidden="false" customHeight="true" outlineLevel="0" collapsed="false">
      <c r="A10" s="770" t="inlineStr">
        <is>
          <t xml:space="preserve">4-H-001</t>
        </is>
      </c>
      <c r="B10" s="756" t="inlineStr">
        <is>
          <t xml:space="preserve">○ 설치장소 적정 여부</t>
        </is>
      </c>
      <c r="C10" s="737"/>
      <c r="D10" s="728"/>
      <c r="E10" s="728"/>
      <c r="F10" s="728"/>
      <c r="G10" s="727" t="inlineStr">
        <is>
          <t xml:space="preserve">/</t>
        </is>
      </c>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0.25" hidden="false" customHeight="true" outlineLevel="0" collapsed="false">
      <c r="A11" s="763" t="inlineStr">
        <is>
          <t xml:space="preserve">4-H-002</t>
        </is>
      </c>
      <c r="B11" s="745" t="inlineStr">
        <is>
          <t xml:space="preserve">● 연결배관에 개폐밸브를 설치한 경우 개폐상태 확인 및 조작가능 여부</t>
        </is>
      </c>
      <c r="C11" s="737"/>
      <c r="D11" s="728"/>
      <c r="E11" s="728"/>
      <c r="F11" s="728"/>
      <c r="G11" s="727" t="inlineStr">
        <is>
          <t xml:space="preserve">×</t>
        </is>
      </c>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0.25" hidden="false" customHeight="true" outlineLevel="0" collapsed="false">
      <c r="A12" s="763" t="inlineStr">
        <is>
          <t xml:space="preserve">4-H-003</t>
        </is>
      </c>
      <c r="B12" s="745" t="inlineStr">
        <is>
          <t xml:space="preserve">● 송수구 설치 높이 및 구경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0.25" hidden="false" customHeight="true" outlineLevel="0" collapsed="false">
      <c r="A13" s="763" t="inlineStr">
        <is>
          <t xml:space="preserve">4-H-004</t>
        </is>
      </c>
      <c r="B13" s="745" t="inlineStr">
        <is>
          <t xml:space="preserve">● 자동배수밸브(또는 배수공)·체크밸브 설치 여부 및 설치 상태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0.25" hidden="false" customHeight="true" outlineLevel="0" collapsed="false">
      <c r="A14" s="775" t="inlineStr">
        <is>
          <t xml:space="preserve">4-H-005</t>
        </is>
      </c>
      <c r="B14" s="757" t="inlineStr">
        <is>
          <t xml:space="preserve">○ 송수구 마개 설치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4" hidden="false" customHeight="true" outlineLevel="0" collapsed="false">
      <c r="A15" s="794" t="inlineStr">
        <is>
          <t xml:space="preserve"> 4-I. 제어반</t>
        </is>
      </c>
      <c r="B15" s="794"/>
      <c r="C15" s="794"/>
    </row>
    <row r="16" customFormat="false" ht="20.25" hidden="false" customHeight="true" outlineLevel="0" collapsed="false">
      <c r="A16" s="805" t="inlineStr">
        <is>
          <t xml:space="preserve">4-I-001</t>
        </is>
      </c>
      <c r="B16" s="813" t="inlineStr">
        <is>
          <t xml:space="preserve">● 겸용 감시·동력 제어반 성능 적정 여부(겸용으로 설치된 경우)</t>
        </is>
      </c>
      <c r="C16" s="737"/>
    </row>
    <row r="17" customFormat="false" ht="20.25" hidden="false" customHeight="true" outlineLevel="0" collapsed="false">
      <c r="A17" s="729"/>
      <c r="B17" s="762" t="inlineStr">
        <is>
          <t xml:space="preserve"> [감시제어반]</t>
        </is>
      </c>
      <c r="C17" s="734"/>
    </row>
    <row r="18" customFormat="false" ht="20.25" hidden="false" customHeight="true" outlineLevel="0" collapsed="false">
      <c r="A18" s="763" t="inlineStr">
        <is>
          <t xml:space="preserve">4-I-011</t>
        </is>
      </c>
      <c r="B18" s="745" t="inlineStr">
        <is>
          <t xml:space="preserve">○ 펌프 작동 여부 확인 표시등 및 음향경보장치 정상작동 여부</t>
        </is>
      </c>
      <c r="C18" s="737"/>
    </row>
    <row r="19" customFormat="false" ht="20.25" hidden="false" customHeight="true" outlineLevel="0" collapsed="false">
      <c r="A19" s="763" t="inlineStr">
        <is>
          <t xml:space="preserve">4-I-012</t>
        </is>
      </c>
      <c r="B19" s="745" t="inlineStr">
        <is>
          <t xml:space="preserve">○ 펌프 별 자동·수동 전환스위치 정상작동 여부</t>
        </is>
      </c>
      <c r="C19" s="737"/>
    </row>
    <row r="20" customFormat="false" ht="20.25" hidden="false" customHeight="true" outlineLevel="0" collapsed="false">
      <c r="A20" s="763" t="inlineStr">
        <is>
          <t xml:space="preserve">4-I-013</t>
        </is>
      </c>
      <c r="B20" s="745" t="inlineStr">
        <is>
          <t xml:space="preserve">● 펌프 별 수동기동 및 수동중단 기능 정상작동 여부</t>
        </is>
      </c>
      <c r="C20" s="737"/>
    </row>
    <row r="21" customFormat="false" ht="20.25" hidden="false" customHeight="true" outlineLevel="0" collapsed="false">
      <c r="A21" s="763" t="inlineStr">
        <is>
          <t xml:space="preserve">4-I-014</t>
        </is>
      </c>
      <c r="B21" s="745" t="inlineStr">
        <is>
          <t xml:space="preserve">● 상용전원 및 비상전원 공급 확인 가능 여부(비상전원 있는 경우) </t>
        </is>
      </c>
      <c r="C21" s="737"/>
    </row>
    <row r="22" customFormat="false" ht="20.25" hidden="false" customHeight="true" outlineLevel="0" collapsed="false">
      <c r="A22" s="763" t="inlineStr">
        <is>
          <t xml:space="preserve">4-I-015</t>
        </is>
      </c>
      <c r="B22" s="745" t="inlineStr">
        <is>
          <t xml:space="preserve">● 수조·물올림탱크 저수위 표시등 및 음향경보장치 정상작동 여부</t>
        </is>
      </c>
      <c r="C22" s="737"/>
    </row>
    <row r="23" customFormat="false" ht="20.25" hidden="false" customHeight="true" outlineLevel="0" collapsed="false">
      <c r="A23" s="763" t="inlineStr">
        <is>
          <t xml:space="preserve">4-I-016</t>
        </is>
      </c>
      <c r="B23" s="745" t="inlineStr">
        <is>
          <t xml:space="preserve">○ 각 확인회로 별 도통시험 및 작동시험 정상작동 여부</t>
        </is>
      </c>
      <c r="C23" s="737"/>
    </row>
    <row r="24" customFormat="false" ht="20.25" hidden="false" customHeight="true" outlineLevel="0" collapsed="false">
      <c r="A24" s="763" t="inlineStr">
        <is>
          <t xml:space="preserve">4-I-017</t>
        </is>
      </c>
      <c r="B24" s="745" t="inlineStr">
        <is>
          <t xml:space="preserve">○ 예비전원 확보 유무 및 시험 적합 여부</t>
        </is>
      </c>
      <c r="C24" s="737"/>
    </row>
    <row r="25" customFormat="false" ht="20.25" hidden="false" customHeight="true" outlineLevel="0" collapsed="false">
      <c r="A25" s="763" t="inlineStr">
        <is>
          <t xml:space="preserve">4-I-018</t>
        </is>
      </c>
      <c r="B25" s="745" t="inlineStr">
        <is>
          <t xml:space="preserve">● 감시제어반 전용실 적정 설치 및 관리 여부</t>
        </is>
      </c>
      <c r="C25" s="737"/>
    </row>
    <row r="26" customFormat="false" ht="20.25" hidden="false" customHeight="true" outlineLevel="0" collapsed="false">
      <c r="A26" s="763" t="inlineStr">
        <is>
          <t xml:space="preserve">4-I-019</t>
        </is>
      </c>
      <c r="B26" s="745" t="inlineStr">
        <is>
          <t xml:space="preserve">● 기계·기구 또는 시설 등 제어 및 감시설비 외 설치 여부</t>
        </is>
      </c>
      <c r="C26" s="737"/>
    </row>
    <row r="27" customFormat="false" ht="20.25" hidden="false" customHeight="true" outlineLevel="0" collapsed="false">
      <c r="A27" s="763" t="inlineStr">
        <is>
          <t xml:space="preserve">4-I-020</t>
        </is>
      </c>
      <c r="B27" s="745" t="inlineStr">
        <is>
          <t xml:space="preserve">○ 유수검지장치 작동 시 표시 및 경보 정상작동 여부</t>
        </is>
      </c>
      <c r="C27" s="737"/>
    </row>
    <row r="28" customFormat="false" ht="20.25" hidden="false" customHeight="true" outlineLevel="0" collapsed="false">
      <c r="A28" s="775" t="inlineStr">
        <is>
          <t xml:space="preserve">4-I-021</t>
        </is>
      </c>
      <c r="B28" s="757" t="inlineStr">
        <is>
          <t xml:space="preserve">● 감시제어반과 수신기 간 상호 연동 여부(별도로 설치된 경우)</t>
        </is>
      </c>
      <c r="C28" s="737"/>
    </row>
    <row r="29" customFormat="false" ht="20.25" hidden="false" customHeight="true" outlineLevel="0" collapsed="false">
      <c r="A29" s="725"/>
      <c r="B29" s="811" t="inlineStr">
        <is>
          <t xml:space="preserve"> [동력제어반]</t>
        </is>
      </c>
      <c r="C29" s="734"/>
    </row>
    <row r="30" customFormat="false" ht="20.25" hidden="false" customHeight="true" outlineLevel="0" collapsed="false">
      <c r="A30" s="775" t="inlineStr">
        <is>
          <t xml:space="preserve">4-I-031</t>
        </is>
      </c>
      <c r="B30" s="757" t="inlineStr">
        <is>
          <t xml:space="preserve">○ 앞면은 적색으로 하고,“간이스프링클러설비용 동력제어반”표지 설치 여부</t>
        </is>
      </c>
      <c r="C30" s="737"/>
    </row>
    <row r="31" customFormat="false" ht="20.25" hidden="false" customHeight="true" outlineLevel="0" collapsed="false">
      <c r="A31" s="725"/>
      <c r="B31" s="811" t="inlineStr">
        <is>
          <t xml:space="preserve"> [발전기제어반]</t>
        </is>
      </c>
      <c r="C31" s="734"/>
    </row>
    <row r="32" customFormat="false" ht="20.25" hidden="false" customHeight="true" outlineLevel="0" collapsed="false">
      <c r="A32" s="775" t="inlineStr">
        <is>
          <t xml:space="preserve">4-I-041</t>
        </is>
      </c>
      <c r="B32" s="757" t="inlineStr">
        <is>
          <t xml:space="preserve">● 소방전원보존형발전기는 이를 식별할 수 있는 표지 설치 여부</t>
        </is>
      </c>
      <c r="C32" s="737"/>
    </row>
    <row r="33" customFormat="false" ht="24" hidden="false" customHeight="true" outlineLevel="0" collapsed="false">
      <c r="A33" s="794" t="inlineStr">
        <is>
          <t xml:space="preserve"> 4-J. 전원</t>
        </is>
      </c>
      <c r="B33" s="794"/>
      <c r="C33" s="794"/>
    </row>
    <row r="34" customFormat="false" ht="20.25" hidden="false" customHeight="true" outlineLevel="0" collapsed="false">
      <c r="A34" s="770" t="inlineStr">
        <is>
          <t xml:space="preserve">4-J-001</t>
        </is>
      </c>
      <c r="B34" s="756" t="inlineStr">
        <is>
          <t xml:space="preserve">● 대상물 수전방식에 따른 상용전원 적정 여부</t>
        </is>
      </c>
      <c r="C34" s="737"/>
      <c r="D34" s="728"/>
      <c r="E34" s="728"/>
      <c r="F34" s="728"/>
      <c r="G34" s="728"/>
      <c r="H34" s="728"/>
      <c r="I34" s="728"/>
      <c r="J34" s="728"/>
      <c r="K34" s="728"/>
      <c r="L34" s="728"/>
      <c r="M34" s="728"/>
      <c r="N34" s="728"/>
      <c r="O34" s="728"/>
      <c r="P34" s="728"/>
      <c r="Q34" s="728"/>
      <c r="R34" s="728"/>
      <c r="S34" s="728"/>
      <c r="T34" s="728"/>
      <c r="U34" s="728"/>
      <c r="V34" s="728"/>
      <c r="W34" s="728"/>
      <c r="X34" s="728"/>
      <c r="Y34" s="728"/>
      <c r="Z34" s="728"/>
      <c r="AA34" s="728"/>
      <c r="AB34" s="728"/>
      <c r="AC34" s="728"/>
      <c r="AD34" s="728"/>
      <c r="AE34" s="728"/>
      <c r="AF34" s="728"/>
      <c r="AG34" s="728"/>
      <c r="AH34" s="728"/>
      <c r="AI34" s="728"/>
      <c r="AJ34" s="728"/>
      <c r="AK34" s="728"/>
      <c r="AL34" s="728"/>
      <c r="AM34" s="728"/>
      <c r="AN34" s="728"/>
      <c r="AO34" s="728"/>
      <c r="AP34" s="728"/>
      <c r="AQ34" s="728"/>
      <c r="AR34" s="728"/>
      <c r="AS34" s="728"/>
      <c r="AT34" s="728"/>
      <c r="AU34" s="728"/>
      <c r="AV34" s="728"/>
      <c r="AW34" s="728"/>
      <c r="AX34" s="728"/>
      <c r="AY34" s="728"/>
      <c r="AZ34" s="728"/>
      <c r="BA34" s="728"/>
      <c r="BB34" s="728"/>
      <c r="BC34" s="728"/>
      <c r="BD34" s="728"/>
      <c r="BE34" s="728"/>
      <c r="BF34" s="728"/>
      <c r="BG34" s="728"/>
      <c r="BH34" s="728"/>
      <c r="BI34" s="728"/>
      <c r="BJ34" s="728"/>
      <c r="BK34" s="728"/>
      <c r="BL34" s="728"/>
      <c r="BM34" s="728"/>
      <c r="BN34" s="728"/>
      <c r="BO34" s="728"/>
      <c r="BP34" s="728"/>
      <c r="BQ34" s="728"/>
      <c r="BR34" s="728"/>
      <c r="BS34" s="728"/>
      <c r="BT34" s="728"/>
      <c r="BU34" s="728"/>
      <c r="BV34" s="728"/>
      <c r="BW34" s="728"/>
      <c r="BX34" s="728"/>
      <c r="BY34" s="728"/>
      <c r="BZ34" s="728"/>
      <c r="CA34" s="728"/>
      <c r="CB34" s="728"/>
      <c r="CC34" s="728"/>
      <c r="CD34" s="728"/>
      <c r="CE34" s="728"/>
      <c r="CF34" s="728"/>
      <c r="CG34" s="728"/>
      <c r="CH34" s="728"/>
      <c r="CI34" s="728"/>
      <c r="CJ34" s="728"/>
      <c r="CK34" s="728"/>
      <c r="CL34" s="728"/>
      <c r="CM34" s="728"/>
      <c r="CN34" s="728"/>
      <c r="CO34" s="728"/>
      <c r="CP34" s="728"/>
      <c r="CQ34" s="728"/>
      <c r="CR34" s="728"/>
      <c r="CS34" s="728"/>
      <c r="CT34" s="728"/>
      <c r="CU34" s="728"/>
      <c r="CV34" s="728"/>
      <c r="CW34" s="728"/>
      <c r="CX34" s="728"/>
      <c r="CY34" s="728"/>
      <c r="CZ34" s="728"/>
      <c r="DA34" s="728"/>
      <c r="DB34" s="728"/>
      <c r="DC34" s="728"/>
      <c r="DD34" s="728"/>
      <c r="DE34" s="728"/>
      <c r="DF34" s="728"/>
      <c r="DG34" s="728"/>
      <c r="DH34" s="728"/>
      <c r="DI34" s="728"/>
      <c r="DJ34" s="728"/>
      <c r="DK34" s="728"/>
      <c r="DL34" s="728"/>
      <c r="DM34" s="728"/>
      <c r="DN34" s="728"/>
      <c r="DO34" s="728"/>
      <c r="DP34" s="728"/>
      <c r="DQ34" s="728"/>
      <c r="DR34" s="728"/>
      <c r="DS34" s="728"/>
      <c r="DT34" s="728"/>
      <c r="DU34" s="728"/>
      <c r="DV34" s="728"/>
      <c r="DW34" s="728"/>
      <c r="DX34" s="728"/>
      <c r="DY34" s="728"/>
      <c r="DZ34" s="728"/>
      <c r="EA34" s="728"/>
      <c r="EB34" s="728"/>
      <c r="EC34" s="728"/>
      <c r="ED34" s="728"/>
      <c r="EE34" s="728"/>
      <c r="EF34" s="728"/>
      <c r="EG34" s="728"/>
      <c r="EH34" s="728"/>
      <c r="EI34" s="728"/>
      <c r="EJ34" s="728"/>
      <c r="EK34" s="728"/>
      <c r="EL34" s="728"/>
      <c r="EM34" s="728"/>
      <c r="EN34" s="728"/>
      <c r="EO34" s="728"/>
      <c r="EP34" s="728"/>
      <c r="EQ34" s="728"/>
      <c r="ER34" s="728"/>
      <c r="ES34" s="728"/>
      <c r="ET34" s="728"/>
      <c r="EU34" s="728"/>
      <c r="EV34" s="728"/>
      <c r="EW34" s="728"/>
      <c r="EX34" s="728"/>
      <c r="EY34" s="728"/>
      <c r="EZ34" s="728"/>
      <c r="FA34" s="728"/>
      <c r="FB34" s="728"/>
      <c r="FC34" s="728"/>
      <c r="FD34" s="728"/>
      <c r="FE34" s="728"/>
      <c r="FF34" s="728"/>
      <c r="FG34" s="728"/>
      <c r="FH34" s="728"/>
      <c r="FI34" s="728"/>
      <c r="FJ34" s="728"/>
      <c r="FK34" s="728"/>
      <c r="FL34" s="728"/>
      <c r="FM34" s="728"/>
      <c r="FN34" s="728"/>
      <c r="FO34" s="728"/>
      <c r="FP34" s="728"/>
      <c r="FQ34" s="728"/>
      <c r="FR34" s="728"/>
      <c r="FS34" s="728"/>
      <c r="FT34" s="728"/>
      <c r="FU34" s="728"/>
      <c r="FV34" s="728"/>
      <c r="FW34" s="728"/>
      <c r="FX34" s="728"/>
      <c r="FY34" s="728"/>
      <c r="FZ34" s="728"/>
      <c r="GA34" s="728"/>
      <c r="GB34" s="728"/>
      <c r="GC34" s="728"/>
      <c r="GD34" s="728"/>
      <c r="GE34" s="728"/>
      <c r="GF34" s="728"/>
      <c r="GG34" s="728"/>
      <c r="GH34" s="728"/>
      <c r="GI34" s="728"/>
      <c r="GJ34" s="728"/>
      <c r="GK34" s="728"/>
      <c r="GL34" s="728"/>
      <c r="GM34" s="728"/>
      <c r="GN34" s="728"/>
      <c r="GO34" s="728"/>
      <c r="GP34" s="728"/>
      <c r="GQ34" s="728"/>
      <c r="GR34" s="728"/>
      <c r="GS34" s="728"/>
      <c r="GT34" s="728"/>
      <c r="GU34" s="728"/>
      <c r="GV34" s="728"/>
      <c r="GW34" s="728"/>
      <c r="GX34" s="728"/>
      <c r="GY34" s="728"/>
      <c r="GZ34" s="728"/>
      <c r="HA34" s="728"/>
      <c r="HB34" s="728"/>
      <c r="HC34" s="728"/>
      <c r="HD34" s="728"/>
      <c r="HE34" s="728"/>
      <c r="HF34" s="728"/>
      <c r="HG34" s="728"/>
      <c r="HH34" s="728"/>
      <c r="HI34" s="728"/>
      <c r="HJ34" s="728"/>
      <c r="HK34" s="728"/>
      <c r="HL34" s="728"/>
      <c r="HM34" s="728"/>
      <c r="HN34" s="728"/>
      <c r="HO34" s="728"/>
      <c r="HP34" s="728"/>
      <c r="HQ34" s="728"/>
      <c r="HR34" s="728"/>
      <c r="HS34" s="728"/>
      <c r="HT34" s="728"/>
      <c r="HU34" s="728"/>
      <c r="HV34" s="728"/>
      <c r="HW34" s="728"/>
      <c r="HX34" s="728"/>
      <c r="HY34" s="728"/>
      <c r="HZ34" s="728"/>
      <c r="IA34" s="728"/>
      <c r="IB34" s="728"/>
      <c r="IC34" s="728"/>
      <c r="ID34" s="728"/>
      <c r="IE34" s="728"/>
      <c r="IF34" s="728"/>
      <c r="IG34" s="728"/>
      <c r="IH34" s="728"/>
      <c r="II34" s="728"/>
      <c r="IJ34" s="728"/>
      <c r="IK34" s="728"/>
      <c r="IL34" s="728"/>
      <c r="IM34" s="728"/>
      <c r="IN34" s="728"/>
      <c r="IO34" s="728"/>
      <c r="IP34" s="728"/>
      <c r="IQ34" s="728"/>
      <c r="IR34" s="728"/>
      <c r="IS34" s="728"/>
      <c r="IT34" s="728"/>
      <c r="IU34" s="728"/>
      <c r="IV34" s="728"/>
      <c r="IW34" s="728"/>
    </row>
    <row r="35" customFormat="false" ht="20.25" hidden="false" customHeight="true" outlineLevel="0" collapsed="false">
      <c r="A35" s="763" t="inlineStr">
        <is>
          <t xml:space="preserve">4-J-002</t>
        </is>
      </c>
      <c r="B35" s="745" t="inlineStr">
        <is>
          <t xml:space="preserve">● 비상전원 설치장소 적정 및 관리 여부</t>
        </is>
      </c>
      <c r="C35" s="737"/>
      <c r="D35" s="728"/>
      <c r="E35" s="728"/>
      <c r="F35" s="728"/>
      <c r="G35" s="728"/>
      <c r="H35" s="728"/>
      <c r="I35" s="728"/>
      <c r="J35" s="728"/>
      <c r="K35" s="728"/>
      <c r="L35" s="728"/>
      <c r="M35" s="728"/>
      <c r="N35" s="728"/>
      <c r="O35" s="728"/>
      <c r="P35" s="728"/>
      <c r="Q35" s="728"/>
      <c r="R35" s="728"/>
      <c r="S35" s="728"/>
      <c r="T35" s="728"/>
      <c r="U35" s="728"/>
      <c r="V35" s="728"/>
      <c r="W35" s="728"/>
      <c r="X35" s="728"/>
      <c r="Y35" s="728"/>
      <c r="Z35" s="728"/>
      <c r="AA35" s="728"/>
      <c r="AB35" s="728"/>
      <c r="AC35" s="728"/>
      <c r="AD35" s="728"/>
      <c r="AE35" s="728"/>
      <c r="AF35" s="728"/>
      <c r="AG35" s="728"/>
      <c r="AH35" s="728"/>
      <c r="AI35" s="728"/>
      <c r="AJ35" s="728"/>
      <c r="AK35" s="728"/>
      <c r="AL35" s="728"/>
      <c r="AM35" s="728"/>
      <c r="AN35" s="728"/>
      <c r="AO35" s="728"/>
      <c r="AP35" s="728"/>
      <c r="AQ35" s="728"/>
      <c r="AR35" s="728"/>
      <c r="AS35" s="728"/>
      <c r="AT35" s="728"/>
      <c r="AU35" s="728"/>
      <c r="AV35" s="728"/>
      <c r="AW35" s="728"/>
      <c r="AX35" s="728"/>
      <c r="AY35" s="728"/>
      <c r="AZ35" s="728"/>
      <c r="BA35" s="728"/>
      <c r="BB35" s="728"/>
      <c r="BC35" s="728"/>
      <c r="BD35" s="728"/>
      <c r="BE35" s="728"/>
      <c r="BF35" s="728"/>
      <c r="BG35" s="728"/>
      <c r="BH35" s="728"/>
      <c r="BI35" s="728"/>
      <c r="BJ35" s="728"/>
      <c r="BK35" s="728"/>
      <c r="BL35" s="728"/>
      <c r="BM35" s="728"/>
      <c r="BN35" s="728"/>
      <c r="BO35" s="728"/>
      <c r="BP35" s="728"/>
      <c r="BQ35" s="728"/>
      <c r="BR35" s="728"/>
      <c r="BS35" s="728"/>
      <c r="BT35" s="728"/>
      <c r="BU35" s="728"/>
      <c r="BV35" s="728"/>
      <c r="BW35" s="728"/>
      <c r="BX35" s="728"/>
      <c r="BY35" s="728"/>
      <c r="BZ35" s="728"/>
      <c r="CA35" s="728"/>
      <c r="CB35" s="728"/>
      <c r="CC35" s="728"/>
      <c r="CD35" s="728"/>
      <c r="CE35" s="728"/>
      <c r="CF35" s="728"/>
      <c r="CG35" s="728"/>
      <c r="CH35" s="728"/>
      <c r="CI35" s="728"/>
      <c r="CJ35" s="728"/>
      <c r="CK35" s="728"/>
      <c r="CL35" s="728"/>
      <c r="CM35" s="728"/>
      <c r="CN35" s="728"/>
      <c r="CO35" s="728"/>
      <c r="CP35" s="728"/>
      <c r="CQ35" s="728"/>
      <c r="CR35" s="728"/>
      <c r="CS35" s="728"/>
      <c r="CT35" s="728"/>
      <c r="CU35" s="728"/>
      <c r="CV35" s="728"/>
      <c r="CW35" s="728"/>
      <c r="CX35" s="728"/>
      <c r="CY35" s="728"/>
      <c r="CZ35" s="728"/>
      <c r="DA35" s="728"/>
      <c r="DB35" s="728"/>
      <c r="DC35" s="728"/>
      <c r="DD35" s="728"/>
      <c r="DE35" s="728"/>
      <c r="DF35" s="728"/>
      <c r="DG35" s="728"/>
      <c r="DH35" s="728"/>
      <c r="DI35" s="728"/>
      <c r="DJ35" s="728"/>
      <c r="DK35" s="728"/>
      <c r="DL35" s="728"/>
      <c r="DM35" s="728"/>
      <c r="DN35" s="728"/>
      <c r="DO35" s="728"/>
      <c r="DP35" s="728"/>
      <c r="DQ35" s="728"/>
      <c r="DR35" s="728"/>
      <c r="DS35" s="728"/>
      <c r="DT35" s="728"/>
      <c r="DU35" s="728"/>
      <c r="DV35" s="728"/>
      <c r="DW35" s="728"/>
      <c r="DX35" s="728"/>
      <c r="DY35" s="728"/>
      <c r="DZ35" s="728"/>
      <c r="EA35" s="728"/>
      <c r="EB35" s="728"/>
      <c r="EC35" s="728"/>
      <c r="ED35" s="728"/>
      <c r="EE35" s="728"/>
      <c r="EF35" s="728"/>
      <c r="EG35" s="728"/>
      <c r="EH35" s="728"/>
      <c r="EI35" s="728"/>
      <c r="EJ35" s="728"/>
      <c r="EK35" s="728"/>
      <c r="EL35" s="728"/>
      <c r="EM35" s="728"/>
      <c r="EN35" s="728"/>
      <c r="EO35" s="728"/>
      <c r="EP35" s="728"/>
      <c r="EQ35" s="728"/>
      <c r="ER35" s="728"/>
      <c r="ES35" s="728"/>
      <c r="ET35" s="728"/>
      <c r="EU35" s="728"/>
      <c r="EV35" s="728"/>
      <c r="EW35" s="728"/>
      <c r="EX35" s="728"/>
      <c r="EY35" s="728"/>
      <c r="EZ35" s="728"/>
      <c r="FA35" s="728"/>
      <c r="FB35" s="728"/>
      <c r="FC35" s="728"/>
      <c r="FD35" s="728"/>
      <c r="FE35" s="728"/>
      <c r="FF35" s="728"/>
      <c r="FG35" s="728"/>
      <c r="FH35" s="728"/>
      <c r="FI35" s="728"/>
      <c r="FJ35" s="728"/>
      <c r="FK35" s="728"/>
      <c r="FL35" s="728"/>
      <c r="FM35" s="728"/>
      <c r="FN35" s="728"/>
      <c r="FO35" s="728"/>
      <c r="FP35" s="728"/>
      <c r="FQ35" s="728"/>
      <c r="FR35" s="728"/>
      <c r="FS35" s="728"/>
      <c r="FT35" s="728"/>
      <c r="FU35" s="728"/>
      <c r="FV35" s="728"/>
      <c r="FW35" s="728"/>
      <c r="FX35" s="728"/>
      <c r="FY35" s="728"/>
      <c r="FZ35" s="728"/>
      <c r="GA35" s="728"/>
      <c r="GB35" s="728"/>
      <c r="GC35" s="728"/>
      <c r="GD35" s="728"/>
      <c r="GE35" s="728"/>
      <c r="GF35" s="728"/>
      <c r="GG35" s="728"/>
      <c r="GH35" s="728"/>
      <c r="GI35" s="728"/>
      <c r="GJ35" s="728"/>
      <c r="GK35" s="728"/>
      <c r="GL35" s="728"/>
      <c r="GM35" s="728"/>
      <c r="GN35" s="728"/>
      <c r="GO35" s="728"/>
      <c r="GP35" s="728"/>
      <c r="GQ35" s="728"/>
      <c r="GR35" s="728"/>
      <c r="GS35" s="728"/>
      <c r="GT35" s="728"/>
      <c r="GU35" s="728"/>
      <c r="GV35" s="728"/>
      <c r="GW35" s="728"/>
      <c r="GX35" s="728"/>
      <c r="GY35" s="728"/>
      <c r="GZ35" s="728"/>
      <c r="HA35" s="728"/>
      <c r="HB35" s="728"/>
      <c r="HC35" s="728"/>
      <c r="HD35" s="728"/>
      <c r="HE35" s="728"/>
      <c r="HF35" s="728"/>
      <c r="HG35" s="728"/>
      <c r="HH35" s="728"/>
      <c r="HI35" s="728"/>
      <c r="HJ35" s="728"/>
      <c r="HK35" s="728"/>
      <c r="HL35" s="728"/>
      <c r="HM35" s="728"/>
      <c r="HN35" s="728"/>
      <c r="HO35" s="728"/>
      <c r="HP35" s="728"/>
      <c r="HQ35" s="728"/>
      <c r="HR35" s="728"/>
      <c r="HS35" s="728"/>
      <c r="HT35" s="728"/>
      <c r="HU35" s="728"/>
      <c r="HV35" s="728"/>
      <c r="HW35" s="728"/>
      <c r="HX35" s="728"/>
      <c r="HY35" s="728"/>
      <c r="HZ35" s="728"/>
      <c r="IA35" s="728"/>
      <c r="IB35" s="728"/>
      <c r="IC35" s="728"/>
      <c r="ID35" s="728"/>
      <c r="IE35" s="728"/>
      <c r="IF35" s="728"/>
      <c r="IG35" s="728"/>
      <c r="IH35" s="728"/>
      <c r="II35" s="728"/>
      <c r="IJ35" s="728"/>
      <c r="IK35" s="728"/>
      <c r="IL35" s="728"/>
      <c r="IM35" s="728"/>
      <c r="IN35" s="728"/>
      <c r="IO35" s="728"/>
      <c r="IP35" s="728"/>
      <c r="IQ35" s="728"/>
      <c r="IR35" s="728"/>
      <c r="IS35" s="728"/>
      <c r="IT35" s="728"/>
      <c r="IU35" s="728"/>
      <c r="IV35" s="728"/>
      <c r="IW35" s="728"/>
    </row>
    <row r="36" customFormat="false" ht="20.25" hidden="false" customHeight="true" outlineLevel="0" collapsed="false">
      <c r="A36" s="763" t="inlineStr">
        <is>
          <t xml:space="preserve">4-J-003</t>
        </is>
      </c>
      <c r="B36" s="745" t="inlineStr">
        <is>
          <t xml:space="preserve">○ 자가발전설비인 경우 연료 적정량 보유 여부</t>
        </is>
      </c>
      <c r="C36" s="737"/>
      <c r="D36" s="728"/>
      <c r="E36" s="728"/>
      <c r="F36" s="728"/>
      <c r="G36" s="728"/>
      <c r="H36" s="728"/>
      <c r="I36" s="728"/>
      <c r="J36" s="728"/>
      <c r="K36" s="728"/>
      <c r="L36" s="728"/>
      <c r="M36" s="728"/>
      <c r="N36" s="728"/>
      <c r="O36" s="728"/>
      <c r="P36" s="728"/>
      <c r="Q36" s="728"/>
      <c r="R36" s="728"/>
      <c r="S36" s="728"/>
      <c r="T36" s="728"/>
      <c r="U36" s="728"/>
      <c r="V36" s="728"/>
      <c r="W36" s="728"/>
      <c r="X36" s="728"/>
      <c r="Y36" s="728"/>
      <c r="Z36" s="728"/>
      <c r="AA36" s="728"/>
      <c r="AB36" s="728"/>
      <c r="AC36" s="728"/>
      <c r="AD36" s="728"/>
      <c r="AE36" s="728"/>
      <c r="AF36" s="728"/>
      <c r="AG36" s="728"/>
      <c r="AH36" s="728"/>
      <c r="AI36" s="728"/>
      <c r="AJ36" s="728"/>
      <c r="AK36" s="728"/>
      <c r="AL36" s="728"/>
      <c r="AM36" s="728"/>
      <c r="AN36" s="728"/>
      <c r="AO36" s="728"/>
      <c r="AP36" s="728"/>
      <c r="AQ36" s="728"/>
      <c r="AR36" s="728"/>
      <c r="AS36" s="728"/>
      <c r="AT36" s="728"/>
      <c r="AU36" s="728"/>
      <c r="AV36" s="728"/>
      <c r="AW36" s="728"/>
      <c r="AX36" s="728"/>
      <c r="AY36" s="728"/>
      <c r="AZ36" s="728"/>
      <c r="BA36" s="728"/>
      <c r="BB36" s="728"/>
      <c r="BC36" s="728"/>
      <c r="BD36" s="728"/>
      <c r="BE36" s="728"/>
      <c r="BF36" s="728"/>
      <c r="BG36" s="728"/>
      <c r="BH36" s="728"/>
      <c r="BI36" s="728"/>
      <c r="BJ36" s="728"/>
      <c r="BK36" s="728"/>
      <c r="BL36" s="728"/>
      <c r="BM36" s="728"/>
      <c r="BN36" s="728"/>
      <c r="BO36" s="728"/>
      <c r="BP36" s="728"/>
      <c r="BQ36" s="728"/>
      <c r="BR36" s="728"/>
      <c r="BS36" s="728"/>
      <c r="BT36" s="728"/>
      <c r="BU36" s="728"/>
      <c r="BV36" s="728"/>
      <c r="BW36" s="728"/>
      <c r="BX36" s="728"/>
      <c r="BY36" s="728"/>
      <c r="BZ36" s="728"/>
      <c r="CA36" s="728"/>
      <c r="CB36" s="728"/>
      <c r="CC36" s="728"/>
      <c r="CD36" s="728"/>
      <c r="CE36" s="728"/>
      <c r="CF36" s="728"/>
      <c r="CG36" s="728"/>
      <c r="CH36" s="728"/>
      <c r="CI36" s="728"/>
      <c r="CJ36" s="728"/>
      <c r="CK36" s="728"/>
      <c r="CL36" s="728"/>
      <c r="CM36" s="728"/>
      <c r="CN36" s="728"/>
      <c r="CO36" s="728"/>
      <c r="CP36" s="728"/>
      <c r="CQ36" s="728"/>
      <c r="CR36" s="728"/>
      <c r="CS36" s="728"/>
      <c r="CT36" s="728"/>
      <c r="CU36" s="728"/>
      <c r="CV36" s="728"/>
      <c r="CW36" s="728"/>
      <c r="CX36" s="728"/>
      <c r="CY36" s="728"/>
      <c r="CZ36" s="728"/>
      <c r="DA36" s="728"/>
      <c r="DB36" s="728"/>
      <c r="DC36" s="728"/>
      <c r="DD36" s="728"/>
      <c r="DE36" s="728"/>
      <c r="DF36" s="728"/>
      <c r="DG36" s="728"/>
      <c r="DH36" s="728"/>
      <c r="DI36" s="728"/>
      <c r="DJ36" s="728"/>
      <c r="DK36" s="728"/>
      <c r="DL36" s="728"/>
      <c r="DM36" s="728"/>
      <c r="DN36" s="728"/>
      <c r="DO36" s="728"/>
      <c r="DP36" s="728"/>
      <c r="DQ36" s="728"/>
      <c r="DR36" s="728"/>
      <c r="DS36" s="728"/>
      <c r="DT36" s="728"/>
      <c r="DU36" s="728"/>
      <c r="DV36" s="728"/>
      <c r="DW36" s="728"/>
      <c r="DX36" s="728"/>
      <c r="DY36" s="728"/>
      <c r="DZ36" s="728"/>
      <c r="EA36" s="728"/>
      <c r="EB36" s="728"/>
      <c r="EC36" s="728"/>
      <c r="ED36" s="728"/>
      <c r="EE36" s="728"/>
      <c r="EF36" s="728"/>
      <c r="EG36" s="728"/>
      <c r="EH36" s="728"/>
      <c r="EI36" s="728"/>
      <c r="EJ36" s="728"/>
      <c r="EK36" s="728"/>
      <c r="EL36" s="728"/>
      <c r="EM36" s="728"/>
      <c r="EN36" s="728"/>
      <c r="EO36" s="728"/>
      <c r="EP36" s="728"/>
      <c r="EQ36" s="728"/>
      <c r="ER36" s="728"/>
      <c r="ES36" s="728"/>
      <c r="ET36" s="728"/>
      <c r="EU36" s="728"/>
      <c r="EV36" s="728"/>
      <c r="EW36" s="728"/>
      <c r="EX36" s="728"/>
      <c r="EY36" s="728"/>
      <c r="EZ36" s="728"/>
      <c r="FA36" s="728"/>
      <c r="FB36" s="728"/>
      <c r="FC36" s="728"/>
      <c r="FD36" s="728"/>
      <c r="FE36" s="728"/>
      <c r="FF36" s="728"/>
      <c r="FG36" s="728"/>
      <c r="FH36" s="728"/>
      <c r="FI36" s="728"/>
      <c r="FJ36" s="728"/>
      <c r="FK36" s="728"/>
      <c r="FL36" s="728"/>
      <c r="FM36" s="728"/>
      <c r="FN36" s="728"/>
      <c r="FO36" s="728"/>
      <c r="FP36" s="728"/>
      <c r="FQ36" s="728"/>
      <c r="FR36" s="728"/>
      <c r="FS36" s="728"/>
      <c r="FT36" s="728"/>
      <c r="FU36" s="728"/>
      <c r="FV36" s="728"/>
      <c r="FW36" s="728"/>
      <c r="FX36" s="728"/>
      <c r="FY36" s="728"/>
      <c r="FZ36" s="728"/>
      <c r="GA36" s="728"/>
      <c r="GB36" s="728"/>
      <c r="GC36" s="728"/>
      <c r="GD36" s="728"/>
      <c r="GE36" s="728"/>
      <c r="GF36" s="728"/>
      <c r="GG36" s="728"/>
      <c r="GH36" s="728"/>
      <c r="GI36" s="728"/>
      <c r="GJ36" s="728"/>
      <c r="GK36" s="728"/>
      <c r="GL36" s="728"/>
      <c r="GM36" s="728"/>
      <c r="GN36" s="728"/>
      <c r="GO36" s="728"/>
      <c r="GP36" s="728"/>
      <c r="GQ36" s="728"/>
      <c r="GR36" s="728"/>
      <c r="GS36" s="728"/>
      <c r="GT36" s="728"/>
      <c r="GU36" s="728"/>
      <c r="GV36" s="728"/>
      <c r="GW36" s="728"/>
      <c r="GX36" s="728"/>
      <c r="GY36" s="728"/>
      <c r="GZ36" s="728"/>
      <c r="HA36" s="728"/>
      <c r="HB36" s="728"/>
      <c r="HC36" s="728"/>
      <c r="HD36" s="728"/>
      <c r="HE36" s="728"/>
      <c r="HF36" s="728"/>
      <c r="HG36" s="728"/>
      <c r="HH36" s="728"/>
      <c r="HI36" s="728"/>
      <c r="HJ36" s="728"/>
      <c r="HK36" s="728"/>
      <c r="HL36" s="728"/>
      <c r="HM36" s="728"/>
      <c r="HN36" s="728"/>
      <c r="HO36" s="728"/>
      <c r="HP36" s="728"/>
      <c r="HQ36" s="728"/>
      <c r="HR36" s="728"/>
      <c r="HS36" s="728"/>
      <c r="HT36" s="728"/>
      <c r="HU36" s="728"/>
      <c r="HV36" s="728"/>
      <c r="HW36" s="728"/>
      <c r="HX36" s="728"/>
      <c r="HY36" s="728"/>
      <c r="HZ36" s="728"/>
      <c r="IA36" s="728"/>
      <c r="IB36" s="728"/>
      <c r="IC36" s="728"/>
      <c r="ID36" s="728"/>
      <c r="IE36" s="728"/>
      <c r="IF36" s="728"/>
      <c r="IG36" s="728"/>
      <c r="IH36" s="728"/>
      <c r="II36" s="728"/>
      <c r="IJ36" s="728"/>
      <c r="IK36" s="728"/>
      <c r="IL36" s="728"/>
      <c r="IM36" s="728"/>
      <c r="IN36" s="728"/>
      <c r="IO36" s="728"/>
      <c r="IP36" s="728"/>
      <c r="IQ36" s="728"/>
      <c r="IR36" s="728"/>
      <c r="IS36" s="728"/>
      <c r="IT36" s="728"/>
      <c r="IU36" s="728"/>
      <c r="IV36" s="728"/>
      <c r="IW36" s="728"/>
    </row>
    <row r="37" customFormat="false" ht="20.25" hidden="false" customHeight="true" outlineLevel="0" collapsed="false">
      <c r="A37" s="763" t="inlineStr">
        <is>
          <t xml:space="preserve">4-J-004</t>
        </is>
      </c>
      <c r="B37" s="745" t="inlineStr">
        <is>
          <t xml:space="preserve">○ 자가발전설비인 경우「전기사업법」에 따른 정기점검 결과 확인</t>
        </is>
      </c>
      <c r="C37" s="737"/>
      <c r="D37" s="728"/>
      <c r="E37" s="728"/>
      <c r="F37" s="728"/>
      <c r="G37" s="728"/>
      <c r="H37" s="728"/>
      <c r="I37" s="728"/>
      <c r="J37" s="728"/>
      <c r="K37" s="728"/>
      <c r="L37" s="728"/>
      <c r="M37" s="728"/>
      <c r="N37" s="728"/>
      <c r="O37" s="728"/>
      <c r="P37" s="728"/>
      <c r="Q37" s="728"/>
      <c r="R37" s="728"/>
      <c r="S37" s="728"/>
      <c r="T37" s="728"/>
      <c r="U37" s="728"/>
      <c r="V37" s="728"/>
      <c r="W37" s="728"/>
      <c r="X37" s="728"/>
      <c r="Y37" s="728"/>
      <c r="Z37" s="728"/>
      <c r="AA37" s="728"/>
      <c r="AB37" s="728"/>
      <c r="AC37" s="728"/>
      <c r="AD37" s="728"/>
      <c r="AE37" s="728"/>
      <c r="AF37" s="728"/>
      <c r="AG37" s="728"/>
      <c r="AH37" s="728"/>
      <c r="AI37" s="728"/>
      <c r="AJ37" s="728"/>
      <c r="AK37" s="728"/>
      <c r="AL37" s="728"/>
      <c r="AM37" s="728"/>
      <c r="AN37" s="728"/>
      <c r="AO37" s="728"/>
      <c r="AP37" s="728"/>
      <c r="AQ37" s="728"/>
      <c r="AR37" s="728"/>
      <c r="AS37" s="728"/>
      <c r="AT37" s="728"/>
      <c r="AU37" s="728"/>
      <c r="AV37" s="728"/>
      <c r="AW37" s="728"/>
      <c r="AX37" s="728"/>
      <c r="AY37" s="728"/>
      <c r="AZ37" s="728"/>
      <c r="BA37" s="728"/>
      <c r="BB37" s="728"/>
      <c r="BC37" s="728"/>
      <c r="BD37" s="728"/>
      <c r="BE37" s="728"/>
      <c r="BF37" s="728"/>
      <c r="BG37" s="728"/>
      <c r="BH37" s="728"/>
      <c r="BI37" s="728"/>
      <c r="BJ37" s="728"/>
      <c r="BK37" s="728"/>
      <c r="BL37" s="728"/>
      <c r="BM37" s="728"/>
      <c r="BN37" s="728"/>
      <c r="BO37" s="728"/>
      <c r="BP37" s="728"/>
      <c r="BQ37" s="728"/>
      <c r="BR37" s="728"/>
      <c r="BS37" s="728"/>
      <c r="BT37" s="728"/>
      <c r="BU37" s="728"/>
      <c r="BV37" s="728"/>
      <c r="BW37" s="728"/>
      <c r="BX37" s="728"/>
      <c r="BY37" s="728"/>
      <c r="BZ37" s="728"/>
      <c r="CA37" s="728"/>
      <c r="CB37" s="728"/>
      <c r="CC37" s="728"/>
      <c r="CD37" s="728"/>
      <c r="CE37" s="728"/>
      <c r="CF37" s="728"/>
      <c r="CG37" s="728"/>
      <c r="CH37" s="728"/>
      <c r="CI37" s="728"/>
      <c r="CJ37" s="728"/>
      <c r="CK37" s="728"/>
      <c r="CL37" s="728"/>
      <c r="CM37" s="728"/>
      <c r="CN37" s="728"/>
      <c r="CO37" s="728"/>
      <c r="CP37" s="728"/>
      <c r="CQ37" s="728"/>
      <c r="CR37" s="728"/>
      <c r="CS37" s="728"/>
      <c r="CT37" s="728"/>
      <c r="CU37" s="728"/>
      <c r="CV37" s="728"/>
      <c r="CW37" s="728"/>
      <c r="CX37" s="728"/>
      <c r="CY37" s="728"/>
      <c r="CZ37" s="728"/>
      <c r="DA37" s="728"/>
      <c r="DB37" s="728"/>
      <c r="DC37" s="728"/>
      <c r="DD37" s="728"/>
      <c r="DE37" s="728"/>
      <c r="DF37" s="728"/>
      <c r="DG37" s="728"/>
      <c r="DH37" s="728"/>
      <c r="DI37" s="728"/>
      <c r="DJ37" s="728"/>
      <c r="DK37" s="728"/>
      <c r="DL37" s="728"/>
      <c r="DM37" s="728"/>
      <c r="DN37" s="728"/>
      <c r="DO37" s="728"/>
      <c r="DP37" s="728"/>
      <c r="DQ37" s="728"/>
      <c r="DR37" s="728"/>
      <c r="DS37" s="728"/>
      <c r="DT37" s="728"/>
      <c r="DU37" s="728"/>
      <c r="DV37" s="728"/>
      <c r="DW37" s="728"/>
      <c r="DX37" s="728"/>
      <c r="DY37" s="728"/>
      <c r="DZ37" s="728"/>
      <c r="EA37" s="728"/>
      <c r="EB37" s="728"/>
      <c r="EC37" s="728"/>
      <c r="ED37" s="728"/>
      <c r="EE37" s="728"/>
      <c r="EF37" s="728"/>
      <c r="EG37" s="728"/>
      <c r="EH37" s="728"/>
      <c r="EI37" s="728"/>
      <c r="EJ37" s="728"/>
      <c r="EK37" s="728"/>
      <c r="EL37" s="728"/>
      <c r="EM37" s="728"/>
      <c r="EN37" s="728"/>
      <c r="EO37" s="728"/>
      <c r="EP37" s="728"/>
      <c r="EQ37" s="728"/>
      <c r="ER37" s="728"/>
      <c r="ES37" s="728"/>
      <c r="ET37" s="728"/>
      <c r="EU37" s="728"/>
      <c r="EV37" s="728"/>
      <c r="EW37" s="728"/>
      <c r="EX37" s="728"/>
      <c r="EY37" s="728"/>
      <c r="EZ37" s="728"/>
      <c r="FA37" s="728"/>
      <c r="FB37" s="728"/>
      <c r="FC37" s="728"/>
      <c r="FD37" s="728"/>
      <c r="FE37" s="728"/>
      <c r="FF37" s="728"/>
      <c r="FG37" s="728"/>
      <c r="FH37" s="728"/>
      <c r="FI37" s="728"/>
      <c r="FJ37" s="728"/>
      <c r="FK37" s="728"/>
      <c r="FL37" s="728"/>
      <c r="FM37" s="728"/>
      <c r="FN37" s="728"/>
      <c r="FO37" s="728"/>
      <c r="FP37" s="728"/>
      <c r="FQ37" s="728"/>
      <c r="FR37" s="728"/>
      <c r="FS37" s="728"/>
      <c r="FT37" s="728"/>
      <c r="FU37" s="728"/>
      <c r="FV37" s="728"/>
      <c r="FW37" s="728"/>
      <c r="FX37" s="728"/>
      <c r="FY37" s="728"/>
      <c r="FZ37" s="728"/>
      <c r="GA37" s="728"/>
      <c r="GB37" s="728"/>
      <c r="GC37" s="728"/>
      <c r="GD37" s="728"/>
      <c r="GE37" s="728"/>
      <c r="GF37" s="728"/>
      <c r="GG37" s="728"/>
      <c r="GH37" s="728"/>
      <c r="GI37" s="728"/>
      <c r="GJ37" s="728"/>
      <c r="GK37" s="728"/>
      <c r="GL37" s="728"/>
      <c r="GM37" s="728"/>
      <c r="GN37" s="728"/>
      <c r="GO37" s="728"/>
      <c r="GP37" s="728"/>
      <c r="GQ37" s="728"/>
      <c r="GR37" s="728"/>
      <c r="GS37" s="728"/>
      <c r="GT37" s="728"/>
      <c r="GU37" s="728"/>
      <c r="GV37" s="728"/>
      <c r="GW37" s="728"/>
      <c r="GX37" s="728"/>
      <c r="GY37" s="728"/>
      <c r="GZ37" s="728"/>
      <c r="HA37" s="728"/>
      <c r="HB37" s="728"/>
      <c r="HC37" s="728"/>
      <c r="HD37" s="728"/>
      <c r="HE37" s="728"/>
      <c r="HF37" s="728"/>
      <c r="HG37" s="728"/>
      <c r="HH37" s="728"/>
      <c r="HI37" s="728"/>
      <c r="HJ37" s="728"/>
      <c r="HK37" s="728"/>
      <c r="HL37" s="728"/>
      <c r="HM37" s="728"/>
      <c r="HN37" s="728"/>
      <c r="HO37" s="728"/>
      <c r="HP37" s="728"/>
      <c r="HQ37" s="728"/>
      <c r="HR37" s="728"/>
      <c r="HS37" s="728"/>
      <c r="HT37" s="728"/>
      <c r="HU37" s="728"/>
      <c r="HV37" s="728"/>
      <c r="HW37" s="728"/>
      <c r="HX37" s="728"/>
      <c r="HY37" s="728"/>
      <c r="HZ37" s="728"/>
      <c r="IA37" s="728"/>
      <c r="IB37" s="728"/>
      <c r="IC37" s="728"/>
      <c r="ID37" s="728"/>
      <c r="IE37" s="728"/>
      <c r="IF37" s="728"/>
      <c r="IG37" s="728"/>
      <c r="IH37" s="728"/>
      <c r="II37" s="728"/>
      <c r="IJ37" s="728"/>
      <c r="IK37" s="728"/>
      <c r="IL37" s="728"/>
      <c r="IM37" s="728"/>
      <c r="IN37" s="728"/>
      <c r="IO37" s="728"/>
      <c r="IP37" s="728"/>
      <c r="IQ37" s="728"/>
      <c r="IR37" s="728"/>
      <c r="IS37" s="728"/>
      <c r="IT37" s="728"/>
      <c r="IU37" s="728"/>
      <c r="IV37" s="728"/>
      <c r="IW37" s="728"/>
    </row>
    <row r="38" customFormat="false" ht="20.25" hidden="false" customHeight="true" outlineLevel="0" collapsed="false">
      <c r="A38" s="814" t="inlineStr">
        <is>
          <t xml:space="preserve">비고</t>
        </is>
      </c>
      <c r="B38" s="808"/>
      <c r="C38" s="808"/>
      <c r="D38" s="728"/>
      <c r="E38" s="728"/>
      <c r="F38" s="728"/>
      <c r="G38" s="728"/>
      <c r="H38" s="728"/>
      <c r="I38" s="728"/>
      <c r="J38" s="728"/>
      <c r="K38" s="728"/>
      <c r="L38" s="728"/>
      <c r="M38" s="728"/>
      <c r="N38" s="728"/>
      <c r="O38" s="728"/>
      <c r="P38" s="728"/>
      <c r="Q38" s="728"/>
      <c r="R38" s="728"/>
      <c r="S38" s="728"/>
      <c r="T38" s="728"/>
      <c r="U38" s="728"/>
      <c r="V38" s="728"/>
      <c r="W38" s="728"/>
      <c r="X38" s="728"/>
      <c r="Y38" s="728"/>
      <c r="Z38" s="728"/>
      <c r="AA38" s="728"/>
      <c r="AB38" s="728"/>
      <c r="AC38" s="728"/>
      <c r="AD38" s="728"/>
      <c r="AE38" s="728"/>
      <c r="AF38" s="728"/>
      <c r="AG38" s="728"/>
      <c r="AH38" s="728"/>
      <c r="AI38" s="728"/>
      <c r="AJ38" s="728"/>
      <c r="AK38" s="728"/>
      <c r="AL38" s="728"/>
      <c r="AM38" s="728"/>
      <c r="AN38" s="728"/>
      <c r="AO38" s="728"/>
      <c r="AP38" s="728"/>
      <c r="AQ38" s="728"/>
      <c r="AR38" s="728"/>
      <c r="AS38" s="728"/>
      <c r="AT38" s="728"/>
      <c r="AU38" s="728"/>
      <c r="AV38" s="728"/>
      <c r="AW38" s="728"/>
      <c r="AX38" s="728"/>
      <c r="AY38" s="728"/>
      <c r="AZ38" s="728"/>
      <c r="BA38" s="728"/>
      <c r="BB38" s="728"/>
      <c r="BC38" s="728"/>
      <c r="BD38" s="728"/>
      <c r="BE38" s="728"/>
      <c r="BF38" s="728"/>
      <c r="BG38" s="728"/>
      <c r="BH38" s="728"/>
      <c r="BI38" s="728"/>
      <c r="BJ38" s="728"/>
      <c r="BK38" s="728"/>
      <c r="BL38" s="728"/>
      <c r="BM38" s="728"/>
      <c r="BN38" s="728"/>
      <c r="BO38" s="728"/>
      <c r="BP38" s="728"/>
      <c r="BQ38" s="728"/>
      <c r="BR38" s="728"/>
      <c r="BS38" s="728"/>
      <c r="BT38" s="728"/>
      <c r="BU38" s="728"/>
      <c r="BV38" s="728"/>
      <c r="BW38" s="728"/>
      <c r="BX38" s="728"/>
      <c r="BY38" s="728"/>
      <c r="BZ38" s="728"/>
      <c r="CA38" s="728"/>
      <c r="CB38" s="728"/>
      <c r="CC38" s="728"/>
      <c r="CD38" s="728"/>
      <c r="CE38" s="728"/>
      <c r="CF38" s="728"/>
      <c r="CG38" s="728"/>
      <c r="CH38" s="728"/>
      <c r="CI38" s="728"/>
      <c r="CJ38" s="728"/>
      <c r="CK38" s="728"/>
      <c r="CL38" s="728"/>
      <c r="CM38" s="728"/>
      <c r="CN38" s="728"/>
      <c r="CO38" s="728"/>
      <c r="CP38" s="728"/>
      <c r="CQ38" s="728"/>
      <c r="CR38" s="728"/>
      <c r="CS38" s="728"/>
      <c r="CT38" s="728"/>
      <c r="CU38" s="728"/>
      <c r="CV38" s="728"/>
      <c r="CW38" s="728"/>
      <c r="CX38" s="728"/>
      <c r="CY38" s="728"/>
      <c r="CZ38" s="728"/>
      <c r="DA38" s="728"/>
      <c r="DB38" s="728"/>
      <c r="DC38" s="728"/>
      <c r="DD38" s="728"/>
      <c r="DE38" s="728"/>
      <c r="DF38" s="728"/>
      <c r="DG38" s="728"/>
      <c r="DH38" s="728"/>
      <c r="DI38" s="728"/>
      <c r="DJ38" s="728"/>
      <c r="DK38" s="728"/>
      <c r="DL38" s="728"/>
      <c r="DM38" s="728"/>
      <c r="DN38" s="728"/>
      <c r="DO38" s="728"/>
      <c r="DP38" s="728"/>
      <c r="DQ38" s="728"/>
      <c r="DR38" s="728"/>
      <c r="DS38" s="728"/>
      <c r="DT38" s="728"/>
      <c r="DU38" s="728"/>
      <c r="DV38" s="728"/>
      <c r="DW38" s="728"/>
      <c r="DX38" s="728"/>
      <c r="DY38" s="728"/>
      <c r="DZ38" s="728"/>
      <c r="EA38" s="728"/>
      <c r="EB38" s="728"/>
      <c r="EC38" s="728"/>
      <c r="ED38" s="728"/>
      <c r="EE38" s="728"/>
      <c r="EF38" s="728"/>
      <c r="EG38" s="728"/>
      <c r="EH38" s="728"/>
      <c r="EI38" s="728"/>
      <c r="EJ38" s="728"/>
      <c r="EK38" s="728"/>
      <c r="EL38" s="728"/>
      <c r="EM38" s="728"/>
      <c r="EN38" s="728"/>
      <c r="EO38" s="728"/>
      <c r="EP38" s="728"/>
      <c r="EQ38" s="728"/>
      <c r="ER38" s="728"/>
      <c r="ES38" s="728"/>
      <c r="ET38" s="728"/>
      <c r="EU38" s="728"/>
      <c r="EV38" s="728"/>
      <c r="EW38" s="728"/>
      <c r="EX38" s="728"/>
      <c r="EY38" s="728"/>
      <c r="EZ38" s="728"/>
      <c r="FA38" s="728"/>
      <c r="FB38" s="728"/>
      <c r="FC38" s="728"/>
      <c r="FD38" s="728"/>
      <c r="FE38" s="728"/>
      <c r="FF38" s="728"/>
      <c r="FG38" s="728"/>
      <c r="FH38" s="728"/>
      <c r="FI38" s="728"/>
      <c r="FJ38" s="728"/>
      <c r="FK38" s="728"/>
      <c r="FL38" s="728"/>
      <c r="FM38" s="728"/>
      <c r="FN38" s="728"/>
      <c r="FO38" s="728"/>
      <c r="FP38" s="728"/>
      <c r="FQ38" s="728"/>
      <c r="FR38" s="728"/>
      <c r="FS38" s="728"/>
      <c r="FT38" s="728"/>
      <c r="FU38" s="728"/>
      <c r="FV38" s="728"/>
      <c r="FW38" s="728"/>
      <c r="FX38" s="728"/>
      <c r="FY38" s="728"/>
      <c r="FZ38" s="728"/>
      <c r="GA38" s="728"/>
      <c r="GB38" s="728"/>
      <c r="GC38" s="728"/>
      <c r="GD38" s="728"/>
      <c r="GE38" s="728"/>
      <c r="GF38" s="728"/>
      <c r="GG38" s="728"/>
      <c r="GH38" s="728"/>
      <c r="GI38" s="728"/>
      <c r="GJ38" s="728"/>
      <c r="GK38" s="728"/>
      <c r="GL38" s="728"/>
      <c r="GM38" s="728"/>
      <c r="GN38" s="728"/>
      <c r="GO38" s="728"/>
      <c r="GP38" s="728"/>
      <c r="GQ38" s="728"/>
      <c r="GR38" s="728"/>
      <c r="GS38" s="728"/>
      <c r="GT38" s="728"/>
      <c r="GU38" s="728"/>
      <c r="GV38" s="728"/>
      <c r="GW38" s="728"/>
      <c r="GX38" s="728"/>
      <c r="GY38" s="728"/>
      <c r="GZ38" s="728"/>
      <c r="HA38" s="728"/>
      <c r="HB38" s="728"/>
      <c r="HC38" s="728"/>
      <c r="HD38" s="728"/>
      <c r="HE38" s="728"/>
      <c r="HF38" s="728"/>
      <c r="HG38" s="728"/>
      <c r="HH38" s="728"/>
      <c r="HI38" s="728"/>
      <c r="HJ38" s="728"/>
      <c r="HK38" s="728"/>
      <c r="HL38" s="728"/>
      <c r="HM38" s="728"/>
      <c r="HN38" s="728"/>
      <c r="HO38" s="728"/>
      <c r="HP38" s="728"/>
      <c r="HQ38" s="728"/>
      <c r="HR38" s="728"/>
      <c r="HS38" s="728"/>
      <c r="HT38" s="728"/>
      <c r="HU38" s="728"/>
      <c r="HV38" s="728"/>
      <c r="HW38" s="728"/>
      <c r="HX38" s="728"/>
      <c r="HY38" s="728"/>
      <c r="HZ38" s="728"/>
      <c r="IA38" s="728"/>
      <c r="IB38" s="728"/>
      <c r="IC38" s="728"/>
      <c r="ID38" s="728"/>
      <c r="IE38" s="728"/>
      <c r="IF38" s="728"/>
      <c r="IG38" s="728"/>
      <c r="IH38" s="728"/>
      <c r="II38" s="728"/>
      <c r="IJ38" s="728"/>
      <c r="IK38" s="728"/>
      <c r="IL38" s="728"/>
      <c r="IM38" s="728"/>
      <c r="IN38" s="728"/>
      <c r="IO38" s="728"/>
      <c r="IP38" s="728"/>
      <c r="IQ38" s="728"/>
      <c r="IR38" s="728"/>
      <c r="IS38" s="728"/>
      <c r="IT38" s="728"/>
      <c r="IU38" s="728"/>
      <c r="IV38" s="728"/>
      <c r="IW38" s="728"/>
    </row>
  </sheetData>
  <mergeCells count="6">
    <mergeCell ref="A1:C1"/>
    <mergeCell ref="A3:C3"/>
    <mergeCell ref="A9:C9"/>
    <mergeCell ref="A15:C15"/>
    <mergeCell ref="A33:C33"/>
    <mergeCell ref="B38:C38"/>
  </mergeCells>
  <dataValidations count="1">
    <dataValidation allowBlank="true" errorStyle="stop" operator="between" showDropDown="false" showErrorMessage="true" showInputMessage="false" sqref="C4:C8 C10:C14 C16:C32 C34:C37" type="list">
      <formula1>$G$9:$G$11</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8" activeCellId="0" sqref="O8"/>
    </sheetView>
  </sheetViews>
  <sheetFormatPr defaultColWidth="8.88671875" defaultRowHeight="13.5" customHeight="false" zeroHeight="false" outlineLevelRow="0" outlineLevelCol="0"/>
  <cols>
    <col collapsed="false" customWidth="true" hidden="false" outlineLevel="0" max="1" min="1" style="766" width="3.33"/>
    <col collapsed="false" customWidth="true" hidden="false" outlineLevel="0" max="2" min="2" style="766" width="6.55"/>
    <col collapsed="false" customWidth="true" hidden="false" outlineLevel="0" max="3" min="3" style="766" width="5.66"/>
    <col collapsed="false" customWidth="true" hidden="false" outlineLevel="0" max="5" min="4" style="766" width="9.66"/>
    <col collapsed="false" customWidth="true" hidden="false" outlineLevel="0" max="7" min="6" style="766" width="5.44"/>
    <col collapsed="false" customWidth="true" hidden="false" outlineLevel="0" max="8" min="8" style="766" width="10.88"/>
    <col collapsed="false" customWidth="true" hidden="false" outlineLevel="0" max="9" min="9" style="766" width="12.33"/>
    <col collapsed="false" customWidth="true" hidden="false" outlineLevel="0" max="11" min="10" style="766" width="7.44"/>
    <col collapsed="false" customWidth="false" hidden="false" outlineLevel="0" max="257" min="12" style="766" width="8.88"/>
  </cols>
  <sheetData>
    <row r="1" customFormat="false" ht="6" hidden="false" customHeight="true" outlineLevel="0" collapsed="false">
      <c r="A1" s="767"/>
      <c r="B1" s="767"/>
      <c r="C1" s="767"/>
      <c r="D1" s="767"/>
      <c r="E1" s="767"/>
      <c r="F1" s="767"/>
      <c r="G1" s="767"/>
      <c r="H1" s="767"/>
      <c r="I1" s="767"/>
      <c r="J1" s="767"/>
      <c r="K1" s="767"/>
    </row>
    <row r="2" customFormat="false" ht="13.5" hidden="false" customHeight="false" outlineLevel="0" collapsed="false">
      <c r="A2" s="768" t="inlineStr">
        <is>
          <t xml:space="preserve">(4면)</t>
        </is>
      </c>
      <c r="B2" s="768"/>
      <c r="C2" s="768"/>
      <c r="D2" s="768"/>
      <c r="E2" s="768"/>
      <c r="F2" s="768"/>
      <c r="G2" s="768"/>
      <c r="H2" s="768"/>
      <c r="I2" s="768"/>
      <c r="J2" s="768"/>
      <c r="K2" s="768"/>
    </row>
    <row r="3" customFormat="false" ht="26.25" hidden="false" customHeight="true" outlineLevel="0" collapsed="false">
      <c r="A3" s="721" t="inlineStr">
        <is>
          <t xml:space="preserve">번호</t>
        </is>
      </c>
      <c r="B3" s="721"/>
      <c r="C3" s="722" t="inlineStr">
        <is>
          <t xml:space="preserve">점검항목</t>
        </is>
      </c>
      <c r="D3" s="722"/>
      <c r="E3" s="722"/>
      <c r="F3" s="722"/>
      <c r="G3" s="722"/>
      <c r="H3" s="722"/>
      <c r="I3" s="722"/>
      <c r="J3" s="769" t="inlineStr">
        <is>
          <t xml:space="preserve">점검결과</t>
        </is>
      </c>
      <c r="K3" s="769"/>
    </row>
    <row r="4" customFormat="false" ht="31.5" hidden="false" customHeight="true" outlineLevel="0" collapsed="false">
      <c r="A4" s="778" t="inlineStr">
        <is>
          <t xml:space="preserve">* 펌프성능시험(펌프 명판 및 설계치 참조)</t>
        </is>
      </c>
      <c r="B4" s="778"/>
      <c r="C4" s="778"/>
      <c r="D4" s="778"/>
      <c r="E4" s="778"/>
      <c r="F4" s="778"/>
      <c r="G4" s="778"/>
      <c r="H4" s="778"/>
      <c r="I4" s="778"/>
      <c r="J4" s="778"/>
      <c r="K4" s="778"/>
    </row>
    <row r="5" customFormat="false" ht="31.5" hidden="false" customHeight="true" outlineLevel="0" collapsed="false">
      <c r="A5" s="779" t="inlineStr">
        <is>
          <t xml:space="preserve">구분</t>
        </is>
      </c>
      <c r="B5" s="779"/>
      <c r="C5" s="779"/>
      <c r="D5" s="780" t="inlineStr">
        <is>
          <t xml:space="preserve">체절운전</t>
        </is>
      </c>
      <c r="E5" s="781" t="inlineStr">
        <is>
          <t xml:space="preserve">정격운전
(100%)</t>
        </is>
      </c>
      <c r="F5" s="781" t="inlineStr">
        <is>
          <t xml:space="preserve">정격유량의
150%운전</t>
        </is>
      </c>
      <c r="G5" s="781"/>
      <c r="H5" s="782" t="inlineStr">
        <is>
          <t xml:space="preserve">적   정   여   부</t>
        </is>
      </c>
      <c r="I5" s="782"/>
      <c r="J5" s="783" t="inlineStr">
        <is>
          <t xml:space="preserve">o 설정압력:
o 주펌프
기동:        MPa
정지:        MPa
o 예비펌프
기동:        MPa
정지:        MPa 
o 충압펌프
기동:        MPa
정지:        MPa</t>
        </is>
      </c>
      <c r="K5" s="783"/>
    </row>
    <row r="6" customFormat="false" ht="31.5" hidden="false" customHeight="true" outlineLevel="0" collapsed="false">
      <c r="A6" s="784" t="inlineStr">
        <is>
          <t xml:space="preserve">토출량
(ℓ/min)</t>
        </is>
      </c>
      <c r="B6" s="784"/>
      <c r="C6" s="781" t="inlineStr">
        <is>
          <t xml:space="preserve">주</t>
        </is>
      </c>
      <c r="D6" s="785"/>
      <c r="E6" s="786"/>
      <c r="F6" s="787"/>
      <c r="G6" s="787"/>
      <c r="H6" s="788" t="inlineStr">
        <is>
          <t xml:space="preserve">1. 체절운전시 토출압은 
  정격토출압의 140% 이하 (   )
2. 정격운전시 토출량과 
  토출압이 규정치 이상(   )
3. 정격토출량 150%에서 토출압이 
  정격토출압의 65%이상 (   )</t>
        </is>
      </c>
      <c r="I6" s="788"/>
      <c r="J6" s="783"/>
      <c r="K6" s="783"/>
    </row>
    <row r="7" customFormat="false" ht="31.5" hidden="false" customHeight="true" outlineLevel="0" collapsed="false">
      <c r="A7" s="784"/>
      <c r="B7" s="784"/>
      <c r="C7" s="781" t="inlineStr">
        <is>
          <t xml:space="preserve">예비</t>
        </is>
      </c>
      <c r="D7" s="785"/>
      <c r="E7" s="789"/>
      <c r="F7" s="789"/>
      <c r="G7" s="789"/>
      <c r="H7" s="788"/>
      <c r="I7" s="788"/>
      <c r="J7" s="783"/>
      <c r="K7" s="783"/>
    </row>
    <row r="8" customFormat="false" ht="31.5" hidden="false" customHeight="true" outlineLevel="0" collapsed="false">
      <c r="A8" s="784" t="inlineStr">
        <is>
          <t xml:space="preserve">토출압
(MPa)</t>
        </is>
      </c>
      <c r="B8" s="784"/>
      <c r="C8" s="781" t="inlineStr">
        <is>
          <t xml:space="preserve">주</t>
        </is>
      </c>
      <c r="D8" s="785"/>
      <c r="E8" s="786"/>
      <c r="F8" s="787"/>
      <c r="G8" s="787"/>
      <c r="H8" s="788"/>
      <c r="I8" s="788"/>
      <c r="J8" s="783"/>
      <c r="K8" s="783"/>
    </row>
    <row r="9" customFormat="false" ht="31.5" hidden="false" customHeight="true" outlineLevel="0" collapsed="false">
      <c r="A9" s="784"/>
      <c r="B9" s="784"/>
      <c r="C9" s="781" t="inlineStr">
        <is>
          <t xml:space="preserve">예비</t>
        </is>
      </c>
      <c r="D9" s="785"/>
      <c r="E9" s="789"/>
      <c r="F9" s="789"/>
      <c r="G9" s="789"/>
      <c r="H9" s="788"/>
      <c r="I9" s="788"/>
      <c r="J9" s="783"/>
      <c r="K9" s="783"/>
    </row>
    <row r="10" customFormat="false" ht="31.5" hidden="false" customHeight="true" outlineLevel="0" collapsed="false">
      <c r="A10" s="790" t="inlineStr">
        <is>
          <t xml:space="preserve">* 릴리프밸브 작동 압력 :  1.60/1.70  MPa</t>
        </is>
      </c>
      <c r="B10" s="790"/>
      <c r="C10" s="790"/>
      <c r="D10" s="790"/>
      <c r="E10" s="790"/>
      <c r="F10" s="790"/>
      <c r="G10" s="790"/>
      <c r="H10" s="790"/>
      <c r="I10" s="790"/>
      <c r="J10" s="790"/>
      <c r="K10" s="790"/>
    </row>
    <row r="11" customFormat="false" ht="48" hidden="false" customHeight="true" outlineLevel="0" collapsed="false">
      <c r="A11" s="791" t="inlineStr">
        <is>
          <t xml:space="preserve">비고</t>
        </is>
      </c>
      <c r="B11" s="791"/>
      <c r="C11" s="792"/>
      <c r="D11" s="792"/>
      <c r="E11" s="792"/>
      <c r="F11" s="792"/>
      <c r="G11" s="792"/>
      <c r="H11" s="792"/>
      <c r="I11" s="792"/>
      <c r="J11" s="792"/>
      <c r="K11" s="792"/>
    </row>
    <row r="12" customFormat="false" ht="30" hidden="false" customHeight="true" outlineLevel="0" collapsed="false"/>
  </sheetData>
  <mergeCells count="20">
    <mergeCell ref="A1:K1"/>
    <mergeCell ref="A2:K2"/>
    <mergeCell ref="A3:B3"/>
    <mergeCell ref="C3:I3"/>
    <mergeCell ref="J3:K3"/>
    <mergeCell ref="A4:K4"/>
    <mergeCell ref="A5:C5"/>
    <mergeCell ref="F5:G5"/>
    <mergeCell ref="H5:I5"/>
    <mergeCell ref="J5:K9"/>
    <mergeCell ref="A6:B7"/>
    <mergeCell ref="F6:G6"/>
    <mergeCell ref="H6:I9"/>
    <mergeCell ref="F7:G7"/>
    <mergeCell ref="A8:B9"/>
    <mergeCell ref="F8:G8"/>
    <mergeCell ref="F9:G9"/>
    <mergeCell ref="A10:K10"/>
    <mergeCell ref="A11:B11"/>
    <mergeCell ref="C11:K11"/>
  </mergeCells>
  <printOptions headings="false" gridLines="false" gridLinesSet="true" horizontalCentered="false" verticalCentered="false"/>
  <pageMargins left="0.32" right="0.15748031496062992" top="0.29" bottom="0.39" header="0.27" footer="0.3937007874015748"/>
  <pageSetup paperSize="9" scale="10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7"/>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6" activeCellId="0" sqref="B6"/>
    </sheetView>
  </sheetViews>
  <sheetFormatPr defaultColWidth="8.88671875" defaultRowHeight="13.5" customHeight="false" zeroHeight="false" outlineLevelRow="0" outlineLevelCol="0"/>
  <cols>
    <col collapsed="false" customWidth="true" hidden="false" outlineLevel="0" max="1" min="1" style="766" width="10.99"/>
    <col collapsed="false" customWidth="true" hidden="false" outlineLevel="0" max="2" min="2" style="766" width="64.33"/>
    <col collapsed="false" customWidth="true" hidden="false" outlineLevel="0" max="3" min="3" style="766" width="10.88"/>
    <col collapsed="false" customWidth="false" hidden="false" outlineLevel="0" max="257" min="4" style="766" width="8.88"/>
  </cols>
  <sheetData>
    <row r="1" customFormat="false" ht="24.95" hidden="false" customHeight="true" outlineLevel="0" collapsed="false">
      <c r="A1" s="815" t="inlineStr">
        <is>
          <t xml:space="preserve">9. 이산화탄소소화설비 점검표</t>
        </is>
      </c>
      <c r="B1" s="815"/>
      <c r="C1" s="81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78" t="inlineStr">
        <is>
          <t xml:space="preserve"> 9-A. 저장용기</t>
        </is>
      </c>
      <c r="B3" s="778"/>
      <c r="C3" s="778"/>
    </row>
    <row r="4" customFormat="false" ht="21.75" hidden="false" customHeight="true" outlineLevel="0" collapsed="false">
      <c r="A4" s="795" t="inlineStr">
        <is>
          <t xml:space="preserve">9-A-001</t>
        </is>
      </c>
      <c r="B4" s="796" t="inlineStr">
        <is>
          <t xml:space="preserve">● 설치장소 적정 및 관리 여부</t>
        </is>
      </c>
      <c r="C4" s="816"/>
      <c r="D4" s="715"/>
      <c r="E4" s="715"/>
      <c r="F4" s="715"/>
      <c r="G4" s="715"/>
      <c r="H4" s="715"/>
      <c r="I4" s="715"/>
      <c r="J4" s="715"/>
      <c r="K4" s="715"/>
      <c r="L4" s="715"/>
      <c r="M4" s="715"/>
      <c r="N4" s="715"/>
      <c r="O4" s="715"/>
      <c r="P4" s="715"/>
      <c r="Q4" s="715"/>
      <c r="R4" s="715"/>
      <c r="S4" s="715"/>
      <c r="T4" s="715"/>
      <c r="U4" s="715"/>
      <c r="V4" s="715"/>
      <c r="W4" s="715"/>
      <c r="X4" s="715"/>
      <c r="Y4" s="715"/>
      <c r="Z4" s="715"/>
      <c r="AA4" s="715"/>
      <c r="AB4" s="715"/>
      <c r="AC4" s="715"/>
      <c r="AD4" s="715"/>
      <c r="AE4" s="715"/>
      <c r="AF4" s="715"/>
      <c r="AG4" s="715"/>
      <c r="AH4" s="715"/>
      <c r="AI4" s="715"/>
      <c r="AJ4" s="715"/>
      <c r="AK4" s="715"/>
      <c r="AL4" s="715"/>
      <c r="AM4" s="715"/>
      <c r="AN4" s="715"/>
      <c r="AO4" s="715"/>
      <c r="AP4" s="715"/>
      <c r="AQ4" s="715"/>
      <c r="AR4" s="715"/>
      <c r="AS4" s="715"/>
      <c r="AT4" s="715"/>
      <c r="AU4" s="715"/>
      <c r="AV4" s="715"/>
      <c r="AW4" s="715"/>
      <c r="AX4" s="715"/>
      <c r="AY4" s="715"/>
      <c r="AZ4" s="715"/>
      <c r="BA4" s="715"/>
      <c r="BB4" s="715"/>
      <c r="BC4" s="715"/>
      <c r="BD4" s="715"/>
      <c r="BE4" s="715"/>
      <c r="BF4" s="715"/>
      <c r="BG4" s="715"/>
      <c r="BH4" s="715"/>
      <c r="BI4" s="715"/>
      <c r="BJ4" s="715"/>
      <c r="BK4" s="715"/>
      <c r="BL4" s="715"/>
      <c r="BM4" s="715"/>
      <c r="BN4" s="715"/>
      <c r="BO4" s="715"/>
      <c r="BP4" s="715"/>
      <c r="BQ4" s="715"/>
      <c r="BR4" s="715"/>
      <c r="BS4" s="715"/>
      <c r="BT4" s="715"/>
      <c r="BU4" s="715"/>
      <c r="BV4" s="715"/>
      <c r="BW4" s="715"/>
      <c r="BX4" s="715"/>
      <c r="BY4" s="715"/>
      <c r="BZ4" s="715"/>
      <c r="CA4" s="715"/>
      <c r="CB4" s="715"/>
      <c r="CC4" s="715"/>
      <c r="CD4" s="715"/>
      <c r="CE4" s="715"/>
      <c r="CF4" s="715"/>
      <c r="CG4" s="715"/>
      <c r="CH4" s="715"/>
      <c r="CI4" s="715"/>
      <c r="CJ4" s="715"/>
      <c r="CK4" s="715"/>
      <c r="CL4" s="715"/>
      <c r="CM4" s="715"/>
      <c r="CN4" s="715"/>
      <c r="CO4" s="715"/>
      <c r="CP4" s="715"/>
      <c r="CQ4" s="715"/>
      <c r="CR4" s="715"/>
      <c r="CS4" s="715"/>
      <c r="CT4" s="715"/>
      <c r="CU4" s="715"/>
      <c r="CV4" s="715"/>
      <c r="CW4" s="715"/>
      <c r="CX4" s="715"/>
      <c r="CY4" s="715"/>
      <c r="CZ4" s="715"/>
      <c r="DA4" s="715"/>
      <c r="DB4" s="715"/>
      <c r="DC4" s="715"/>
      <c r="DD4" s="715"/>
      <c r="DE4" s="715"/>
      <c r="DF4" s="715"/>
      <c r="DG4" s="715"/>
      <c r="DH4" s="715"/>
      <c r="DI4" s="715"/>
      <c r="DJ4" s="715"/>
      <c r="DK4" s="715"/>
      <c r="DL4" s="715"/>
      <c r="DM4" s="715"/>
      <c r="DN4" s="715"/>
      <c r="DO4" s="715"/>
      <c r="DP4" s="715"/>
      <c r="DQ4" s="715"/>
      <c r="DR4" s="715"/>
      <c r="DS4" s="715"/>
      <c r="DT4" s="715"/>
      <c r="DU4" s="715"/>
      <c r="DV4" s="715"/>
      <c r="DW4" s="715"/>
      <c r="DX4" s="715"/>
      <c r="DY4" s="715"/>
      <c r="DZ4" s="715"/>
      <c r="EA4" s="715"/>
      <c r="EB4" s="715"/>
      <c r="EC4" s="715"/>
      <c r="ED4" s="715"/>
      <c r="EE4" s="715"/>
      <c r="EF4" s="715"/>
      <c r="EG4" s="715"/>
      <c r="EH4" s="715"/>
      <c r="EI4" s="715"/>
      <c r="EJ4" s="715"/>
      <c r="EK4" s="715"/>
      <c r="EL4" s="715"/>
      <c r="EM4" s="715"/>
      <c r="EN4" s="715"/>
      <c r="EO4" s="715"/>
      <c r="EP4" s="715"/>
      <c r="EQ4" s="715"/>
      <c r="ER4" s="715"/>
      <c r="ES4" s="715"/>
      <c r="ET4" s="715"/>
      <c r="EU4" s="715"/>
      <c r="EV4" s="715"/>
      <c r="EW4" s="715"/>
      <c r="EX4" s="715"/>
      <c r="EY4" s="715"/>
      <c r="EZ4" s="715"/>
      <c r="FA4" s="715"/>
      <c r="FB4" s="715"/>
      <c r="FC4" s="715"/>
      <c r="FD4" s="715"/>
      <c r="FE4" s="715"/>
      <c r="FF4" s="715"/>
      <c r="FG4" s="715"/>
      <c r="FH4" s="715"/>
      <c r="FI4" s="715"/>
      <c r="FJ4" s="715"/>
      <c r="FK4" s="715"/>
      <c r="FL4" s="715"/>
      <c r="FM4" s="715"/>
      <c r="FN4" s="715"/>
      <c r="FO4" s="715"/>
      <c r="FP4" s="715"/>
      <c r="FQ4" s="715"/>
      <c r="FR4" s="715"/>
      <c r="FS4" s="715"/>
      <c r="FT4" s="715"/>
      <c r="FU4" s="715"/>
      <c r="FV4" s="715"/>
      <c r="FW4" s="715"/>
      <c r="FX4" s="715"/>
      <c r="FY4" s="715"/>
      <c r="FZ4" s="715"/>
      <c r="GA4" s="715"/>
      <c r="GB4" s="715"/>
      <c r="GC4" s="715"/>
      <c r="GD4" s="715"/>
      <c r="GE4" s="715"/>
      <c r="GF4" s="715"/>
      <c r="GG4" s="715"/>
      <c r="GH4" s="715"/>
      <c r="GI4" s="715"/>
      <c r="GJ4" s="715"/>
      <c r="GK4" s="715"/>
      <c r="GL4" s="715"/>
      <c r="GM4" s="715"/>
      <c r="GN4" s="715"/>
      <c r="GO4" s="715"/>
      <c r="GP4" s="715"/>
      <c r="GQ4" s="715"/>
      <c r="GR4" s="715"/>
      <c r="GS4" s="715"/>
      <c r="GT4" s="715"/>
      <c r="GU4" s="715"/>
      <c r="GV4" s="715"/>
      <c r="GW4" s="715"/>
      <c r="GX4" s="715"/>
      <c r="GY4" s="715"/>
      <c r="GZ4" s="715"/>
      <c r="HA4" s="715"/>
      <c r="HB4" s="715"/>
      <c r="HC4" s="715"/>
      <c r="HD4" s="715"/>
      <c r="HE4" s="715"/>
      <c r="HF4" s="715"/>
      <c r="HG4" s="715"/>
      <c r="HH4" s="715"/>
      <c r="HI4" s="715"/>
      <c r="HJ4" s="715"/>
      <c r="HK4" s="715"/>
      <c r="HL4" s="715"/>
      <c r="HM4" s="715"/>
      <c r="HN4" s="715"/>
      <c r="HO4" s="715"/>
      <c r="HP4" s="715"/>
      <c r="HQ4" s="715"/>
      <c r="HR4" s="715"/>
      <c r="HS4" s="715"/>
      <c r="HT4" s="715"/>
      <c r="HU4" s="715"/>
      <c r="HV4" s="715"/>
      <c r="HW4" s="715"/>
      <c r="HX4" s="715"/>
      <c r="HY4" s="715"/>
      <c r="HZ4" s="715"/>
      <c r="IA4" s="715"/>
      <c r="IB4" s="715"/>
      <c r="IC4" s="715"/>
      <c r="ID4" s="715"/>
      <c r="IE4" s="715"/>
      <c r="IF4" s="715"/>
      <c r="IG4" s="715"/>
      <c r="IH4" s="715"/>
      <c r="II4" s="715"/>
      <c r="IJ4" s="715"/>
      <c r="IK4" s="715"/>
      <c r="IL4" s="715"/>
      <c r="IM4" s="715"/>
      <c r="IN4" s="715"/>
      <c r="IO4" s="715"/>
      <c r="IP4" s="715"/>
      <c r="IQ4" s="715"/>
      <c r="IR4" s="715"/>
      <c r="IS4" s="715"/>
      <c r="IT4" s="715"/>
      <c r="IU4" s="715"/>
      <c r="IV4" s="715"/>
      <c r="IW4" s="715"/>
    </row>
    <row r="5" customFormat="false" ht="21.75" hidden="false" customHeight="true" outlineLevel="0" collapsed="false">
      <c r="A5" s="798" t="inlineStr">
        <is>
          <t xml:space="preserve">9-A-002</t>
        </is>
      </c>
      <c r="B5" s="746" t="inlineStr">
        <is>
          <t xml:space="preserve">○ 저장용기 설치장소 표지 설치 여부</t>
        </is>
      </c>
      <c r="C5" s="816"/>
    </row>
    <row r="6" customFormat="false" ht="21.75" hidden="false" customHeight="true" outlineLevel="0" collapsed="false">
      <c r="A6" s="798" t="inlineStr">
        <is>
          <t xml:space="preserve">9-A-003</t>
        </is>
      </c>
      <c r="B6" s="746" t="inlineStr">
        <is>
          <t xml:space="preserve">● 저장용기 설치 간격 적정 여부</t>
        </is>
      </c>
      <c r="C6" s="816"/>
      <c r="D6" s="715"/>
      <c r="E6" s="715"/>
      <c r="F6" s="715"/>
      <c r="G6" s="727" t="inlineStr">
        <is>
          <t xml:space="preserve">○</t>
        </is>
      </c>
      <c r="H6" s="715"/>
      <c r="I6" s="715"/>
      <c r="J6" s="715"/>
      <c r="K6" s="715"/>
      <c r="L6" s="715"/>
      <c r="M6" s="715"/>
      <c r="N6" s="715"/>
      <c r="O6" s="715"/>
      <c r="P6" s="715"/>
      <c r="Q6" s="715"/>
      <c r="R6" s="715"/>
      <c r="S6" s="715"/>
      <c r="T6" s="715"/>
      <c r="U6" s="715"/>
      <c r="V6" s="715"/>
      <c r="W6" s="715"/>
      <c r="X6" s="715"/>
      <c r="Y6" s="715"/>
      <c r="Z6" s="715"/>
      <c r="AA6" s="715"/>
      <c r="AB6" s="715"/>
      <c r="AC6" s="715"/>
      <c r="AD6" s="715"/>
      <c r="AE6" s="715"/>
      <c r="AF6" s="715"/>
      <c r="AG6" s="715"/>
      <c r="AH6" s="715"/>
      <c r="AI6" s="715"/>
      <c r="AJ6" s="715"/>
      <c r="AK6" s="715"/>
      <c r="AL6" s="715"/>
      <c r="AM6" s="715"/>
      <c r="AN6" s="715"/>
      <c r="AO6" s="715"/>
      <c r="AP6" s="715"/>
      <c r="AQ6" s="715"/>
      <c r="AR6" s="715"/>
      <c r="AS6" s="715"/>
      <c r="AT6" s="715"/>
      <c r="AU6" s="715"/>
      <c r="AV6" s="715"/>
      <c r="AW6" s="715"/>
      <c r="AX6" s="715"/>
      <c r="AY6" s="715"/>
      <c r="AZ6" s="715"/>
      <c r="BA6" s="715"/>
      <c r="BB6" s="715"/>
      <c r="BC6" s="715"/>
      <c r="BD6" s="715"/>
      <c r="BE6" s="715"/>
      <c r="BF6" s="715"/>
      <c r="BG6" s="715"/>
      <c r="BH6" s="715"/>
      <c r="BI6" s="715"/>
      <c r="BJ6" s="715"/>
      <c r="BK6" s="715"/>
      <c r="BL6" s="715"/>
      <c r="BM6" s="715"/>
      <c r="BN6" s="715"/>
      <c r="BO6" s="715"/>
      <c r="BP6" s="715"/>
      <c r="BQ6" s="715"/>
      <c r="BR6" s="715"/>
      <c r="BS6" s="715"/>
      <c r="BT6" s="715"/>
      <c r="BU6" s="715"/>
      <c r="BV6" s="715"/>
      <c r="BW6" s="715"/>
      <c r="BX6" s="715"/>
      <c r="BY6" s="715"/>
      <c r="BZ6" s="715"/>
      <c r="CA6" s="715"/>
      <c r="CB6" s="715"/>
      <c r="CC6" s="715"/>
      <c r="CD6" s="715"/>
      <c r="CE6" s="715"/>
      <c r="CF6" s="715"/>
      <c r="CG6" s="715"/>
      <c r="CH6" s="715"/>
      <c r="CI6" s="715"/>
      <c r="CJ6" s="715"/>
      <c r="CK6" s="715"/>
      <c r="CL6" s="715"/>
      <c r="CM6" s="715"/>
      <c r="CN6" s="715"/>
      <c r="CO6" s="715"/>
      <c r="CP6" s="715"/>
      <c r="CQ6" s="715"/>
      <c r="CR6" s="715"/>
      <c r="CS6" s="715"/>
      <c r="CT6" s="715"/>
      <c r="CU6" s="715"/>
      <c r="CV6" s="715"/>
      <c r="CW6" s="715"/>
      <c r="CX6" s="715"/>
      <c r="CY6" s="715"/>
      <c r="CZ6" s="715"/>
      <c r="DA6" s="715"/>
      <c r="DB6" s="715"/>
      <c r="DC6" s="715"/>
      <c r="DD6" s="715"/>
      <c r="DE6" s="715"/>
      <c r="DF6" s="715"/>
      <c r="DG6" s="715"/>
      <c r="DH6" s="715"/>
      <c r="DI6" s="715"/>
      <c r="DJ6" s="715"/>
      <c r="DK6" s="715"/>
      <c r="DL6" s="715"/>
      <c r="DM6" s="715"/>
      <c r="DN6" s="715"/>
      <c r="DO6" s="715"/>
      <c r="DP6" s="715"/>
      <c r="DQ6" s="715"/>
      <c r="DR6" s="715"/>
      <c r="DS6" s="715"/>
      <c r="DT6" s="715"/>
      <c r="DU6" s="715"/>
      <c r="DV6" s="715"/>
      <c r="DW6" s="715"/>
      <c r="DX6" s="715"/>
      <c r="DY6" s="715"/>
      <c r="DZ6" s="715"/>
      <c r="EA6" s="715"/>
      <c r="EB6" s="715"/>
      <c r="EC6" s="715"/>
      <c r="ED6" s="715"/>
      <c r="EE6" s="715"/>
      <c r="EF6" s="715"/>
      <c r="EG6" s="715"/>
      <c r="EH6" s="715"/>
      <c r="EI6" s="715"/>
      <c r="EJ6" s="715"/>
      <c r="EK6" s="715"/>
      <c r="EL6" s="715"/>
      <c r="EM6" s="715"/>
      <c r="EN6" s="715"/>
      <c r="EO6" s="715"/>
      <c r="EP6" s="715"/>
      <c r="EQ6" s="715"/>
      <c r="ER6" s="715"/>
      <c r="ES6" s="715"/>
      <c r="ET6" s="715"/>
      <c r="EU6" s="715"/>
      <c r="EV6" s="715"/>
      <c r="EW6" s="715"/>
      <c r="EX6" s="715"/>
      <c r="EY6" s="715"/>
      <c r="EZ6" s="715"/>
      <c r="FA6" s="715"/>
      <c r="FB6" s="715"/>
      <c r="FC6" s="715"/>
      <c r="FD6" s="715"/>
      <c r="FE6" s="715"/>
      <c r="FF6" s="715"/>
      <c r="FG6" s="715"/>
      <c r="FH6" s="715"/>
      <c r="FI6" s="715"/>
      <c r="FJ6" s="715"/>
      <c r="FK6" s="715"/>
      <c r="FL6" s="715"/>
      <c r="FM6" s="715"/>
      <c r="FN6" s="715"/>
      <c r="FO6" s="715"/>
      <c r="FP6" s="715"/>
      <c r="FQ6" s="715"/>
      <c r="FR6" s="715"/>
      <c r="FS6" s="715"/>
      <c r="FT6" s="715"/>
      <c r="FU6" s="715"/>
      <c r="FV6" s="715"/>
      <c r="FW6" s="715"/>
      <c r="FX6" s="715"/>
      <c r="FY6" s="715"/>
      <c r="FZ6" s="715"/>
      <c r="GA6" s="715"/>
      <c r="GB6" s="715"/>
      <c r="GC6" s="715"/>
      <c r="GD6" s="715"/>
      <c r="GE6" s="715"/>
      <c r="GF6" s="715"/>
      <c r="GG6" s="715"/>
      <c r="GH6" s="715"/>
      <c r="GI6" s="715"/>
      <c r="GJ6" s="715"/>
      <c r="GK6" s="715"/>
      <c r="GL6" s="715"/>
      <c r="GM6" s="715"/>
      <c r="GN6" s="715"/>
      <c r="GO6" s="715"/>
      <c r="GP6" s="715"/>
      <c r="GQ6" s="715"/>
      <c r="GR6" s="715"/>
      <c r="GS6" s="715"/>
      <c r="GT6" s="715"/>
      <c r="GU6" s="715"/>
      <c r="GV6" s="715"/>
      <c r="GW6" s="715"/>
      <c r="GX6" s="715"/>
      <c r="GY6" s="715"/>
      <c r="GZ6" s="715"/>
      <c r="HA6" s="715"/>
      <c r="HB6" s="715"/>
      <c r="HC6" s="715"/>
      <c r="HD6" s="715"/>
      <c r="HE6" s="715"/>
      <c r="HF6" s="715"/>
      <c r="HG6" s="715"/>
      <c r="HH6" s="715"/>
      <c r="HI6" s="715"/>
      <c r="HJ6" s="715"/>
      <c r="HK6" s="715"/>
      <c r="HL6" s="715"/>
      <c r="HM6" s="715"/>
      <c r="HN6" s="715"/>
      <c r="HO6" s="715"/>
      <c r="HP6" s="715"/>
      <c r="HQ6" s="715"/>
      <c r="HR6" s="715"/>
      <c r="HS6" s="715"/>
      <c r="HT6" s="715"/>
      <c r="HU6" s="715"/>
      <c r="HV6" s="715"/>
      <c r="HW6" s="715"/>
      <c r="HX6" s="715"/>
      <c r="HY6" s="715"/>
      <c r="HZ6" s="715"/>
      <c r="IA6" s="715"/>
      <c r="IB6" s="715"/>
      <c r="IC6" s="715"/>
      <c r="ID6" s="715"/>
      <c r="IE6" s="715"/>
      <c r="IF6" s="715"/>
      <c r="IG6" s="715"/>
      <c r="IH6" s="715"/>
      <c r="II6" s="715"/>
      <c r="IJ6" s="715"/>
      <c r="IK6" s="715"/>
      <c r="IL6" s="715"/>
      <c r="IM6" s="715"/>
      <c r="IN6" s="715"/>
      <c r="IO6" s="715"/>
      <c r="IP6" s="715"/>
      <c r="IQ6" s="715"/>
      <c r="IR6" s="715"/>
      <c r="IS6" s="715"/>
      <c r="IT6" s="715"/>
      <c r="IU6" s="715"/>
      <c r="IV6" s="715"/>
      <c r="IW6" s="715"/>
    </row>
    <row r="7" customFormat="false" ht="21.75" hidden="false" customHeight="true" outlineLevel="0" collapsed="false">
      <c r="A7" s="798" t="inlineStr">
        <is>
          <t xml:space="preserve">9-A-004</t>
        </is>
      </c>
      <c r="B7" s="746" t="inlineStr">
        <is>
          <t xml:space="preserve">○ 저장용기 개방밸브 자동·수동 개방 및 안전장치 부착 여부</t>
        </is>
      </c>
      <c r="C7" s="816"/>
      <c r="G7" s="727" t="inlineStr">
        <is>
          <t xml:space="preserve">/</t>
        </is>
      </c>
    </row>
    <row r="8" customFormat="false" ht="21.75" hidden="false" customHeight="true" outlineLevel="0" collapsed="false">
      <c r="A8" s="798" t="inlineStr">
        <is>
          <t xml:space="preserve">9-A-005</t>
        </is>
      </c>
      <c r="B8" s="746" t="inlineStr">
        <is>
          <t xml:space="preserve">● 저장용기와 집합관 연결배관 상 체크밸브 설치 여부</t>
        </is>
      </c>
      <c r="C8" s="816"/>
      <c r="D8" s="715"/>
      <c r="E8" s="715"/>
      <c r="F8" s="715"/>
      <c r="G8" s="727" t="inlineStr">
        <is>
          <t xml:space="preserve">×</t>
        </is>
      </c>
      <c r="H8" s="715"/>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c r="AH8" s="715"/>
      <c r="AI8" s="715"/>
      <c r="AJ8" s="715"/>
      <c r="AK8" s="715"/>
      <c r="AL8" s="715"/>
      <c r="AM8" s="715"/>
      <c r="AN8" s="715"/>
      <c r="AO8" s="715"/>
      <c r="AP8" s="715"/>
      <c r="AQ8" s="715"/>
      <c r="AR8" s="715"/>
      <c r="AS8" s="715"/>
      <c r="AT8" s="715"/>
      <c r="AU8" s="715"/>
      <c r="AV8" s="715"/>
      <c r="AW8" s="715"/>
      <c r="AX8" s="715"/>
      <c r="AY8" s="715"/>
      <c r="AZ8" s="715"/>
      <c r="BA8" s="715"/>
      <c r="BB8" s="715"/>
      <c r="BC8" s="715"/>
      <c r="BD8" s="715"/>
      <c r="BE8" s="715"/>
      <c r="BF8" s="715"/>
      <c r="BG8" s="715"/>
      <c r="BH8" s="715"/>
      <c r="BI8" s="715"/>
      <c r="BJ8" s="715"/>
      <c r="BK8" s="715"/>
      <c r="BL8" s="715"/>
      <c r="BM8" s="715"/>
      <c r="BN8" s="715"/>
      <c r="BO8" s="715"/>
      <c r="BP8" s="715"/>
      <c r="BQ8" s="715"/>
      <c r="BR8" s="715"/>
      <c r="BS8" s="715"/>
      <c r="BT8" s="715"/>
      <c r="BU8" s="715"/>
      <c r="BV8" s="715"/>
      <c r="BW8" s="715"/>
      <c r="BX8" s="715"/>
      <c r="BY8" s="715"/>
      <c r="BZ8" s="715"/>
      <c r="CA8" s="715"/>
      <c r="CB8" s="715"/>
      <c r="CC8" s="715"/>
      <c r="CD8" s="715"/>
      <c r="CE8" s="715"/>
      <c r="CF8" s="715"/>
      <c r="CG8" s="715"/>
      <c r="CH8" s="715"/>
      <c r="CI8" s="715"/>
      <c r="CJ8" s="715"/>
      <c r="CK8" s="715"/>
      <c r="CL8" s="715"/>
      <c r="CM8" s="715"/>
      <c r="CN8" s="715"/>
      <c r="CO8" s="715"/>
      <c r="CP8" s="715"/>
      <c r="CQ8" s="715"/>
      <c r="CR8" s="715"/>
      <c r="CS8" s="715"/>
      <c r="CT8" s="715"/>
      <c r="CU8" s="715"/>
      <c r="CV8" s="715"/>
      <c r="CW8" s="715"/>
      <c r="CX8" s="715"/>
      <c r="CY8" s="715"/>
      <c r="CZ8" s="715"/>
      <c r="DA8" s="715"/>
      <c r="DB8" s="715"/>
      <c r="DC8" s="715"/>
      <c r="DD8" s="715"/>
      <c r="DE8" s="715"/>
      <c r="DF8" s="715"/>
      <c r="DG8" s="715"/>
      <c r="DH8" s="715"/>
      <c r="DI8" s="715"/>
      <c r="DJ8" s="715"/>
      <c r="DK8" s="715"/>
      <c r="DL8" s="715"/>
      <c r="DM8" s="715"/>
      <c r="DN8" s="715"/>
      <c r="DO8" s="715"/>
      <c r="DP8" s="715"/>
      <c r="DQ8" s="715"/>
      <c r="DR8" s="715"/>
      <c r="DS8" s="715"/>
      <c r="DT8" s="715"/>
      <c r="DU8" s="715"/>
      <c r="DV8" s="715"/>
      <c r="DW8" s="715"/>
      <c r="DX8" s="715"/>
      <c r="DY8" s="715"/>
      <c r="DZ8" s="715"/>
      <c r="EA8" s="715"/>
      <c r="EB8" s="715"/>
      <c r="EC8" s="715"/>
      <c r="ED8" s="715"/>
      <c r="EE8" s="715"/>
      <c r="EF8" s="715"/>
      <c r="EG8" s="715"/>
      <c r="EH8" s="715"/>
      <c r="EI8" s="715"/>
      <c r="EJ8" s="715"/>
      <c r="EK8" s="715"/>
      <c r="EL8" s="715"/>
      <c r="EM8" s="715"/>
      <c r="EN8" s="715"/>
      <c r="EO8" s="715"/>
      <c r="EP8" s="715"/>
      <c r="EQ8" s="715"/>
      <c r="ER8" s="715"/>
      <c r="ES8" s="715"/>
      <c r="ET8" s="715"/>
      <c r="EU8" s="715"/>
      <c r="EV8" s="715"/>
      <c r="EW8" s="715"/>
      <c r="EX8" s="715"/>
      <c r="EY8" s="715"/>
      <c r="EZ8" s="715"/>
      <c r="FA8" s="715"/>
      <c r="FB8" s="715"/>
      <c r="FC8" s="715"/>
      <c r="FD8" s="715"/>
      <c r="FE8" s="715"/>
      <c r="FF8" s="715"/>
      <c r="FG8" s="715"/>
      <c r="FH8" s="715"/>
      <c r="FI8" s="715"/>
      <c r="FJ8" s="715"/>
      <c r="FK8" s="715"/>
      <c r="FL8" s="715"/>
      <c r="FM8" s="715"/>
      <c r="FN8" s="715"/>
      <c r="FO8" s="715"/>
      <c r="FP8" s="715"/>
      <c r="FQ8" s="715"/>
      <c r="FR8" s="715"/>
      <c r="FS8" s="715"/>
      <c r="FT8" s="715"/>
      <c r="FU8" s="715"/>
      <c r="FV8" s="715"/>
      <c r="FW8" s="715"/>
      <c r="FX8" s="715"/>
      <c r="FY8" s="715"/>
      <c r="FZ8" s="715"/>
      <c r="GA8" s="715"/>
      <c r="GB8" s="715"/>
      <c r="GC8" s="715"/>
      <c r="GD8" s="715"/>
      <c r="GE8" s="715"/>
      <c r="GF8" s="715"/>
      <c r="GG8" s="715"/>
      <c r="GH8" s="715"/>
      <c r="GI8" s="715"/>
      <c r="GJ8" s="715"/>
      <c r="GK8" s="715"/>
      <c r="GL8" s="715"/>
      <c r="GM8" s="715"/>
      <c r="GN8" s="715"/>
      <c r="GO8" s="715"/>
      <c r="GP8" s="715"/>
      <c r="GQ8" s="715"/>
      <c r="GR8" s="715"/>
      <c r="GS8" s="715"/>
      <c r="GT8" s="715"/>
      <c r="GU8" s="715"/>
      <c r="GV8" s="715"/>
      <c r="GW8" s="715"/>
      <c r="GX8" s="715"/>
      <c r="GY8" s="715"/>
      <c r="GZ8" s="715"/>
      <c r="HA8" s="715"/>
      <c r="HB8" s="715"/>
      <c r="HC8" s="715"/>
      <c r="HD8" s="715"/>
      <c r="HE8" s="715"/>
      <c r="HF8" s="715"/>
      <c r="HG8" s="715"/>
      <c r="HH8" s="715"/>
      <c r="HI8" s="715"/>
      <c r="HJ8" s="715"/>
      <c r="HK8" s="715"/>
      <c r="HL8" s="715"/>
      <c r="HM8" s="715"/>
      <c r="HN8" s="715"/>
      <c r="HO8" s="715"/>
      <c r="HP8" s="715"/>
      <c r="HQ8" s="715"/>
      <c r="HR8" s="715"/>
      <c r="HS8" s="715"/>
      <c r="HT8" s="715"/>
      <c r="HU8" s="715"/>
      <c r="HV8" s="715"/>
      <c r="HW8" s="715"/>
      <c r="HX8" s="715"/>
      <c r="HY8" s="715"/>
      <c r="HZ8" s="715"/>
      <c r="IA8" s="715"/>
      <c r="IB8" s="715"/>
      <c r="IC8" s="715"/>
      <c r="ID8" s="715"/>
      <c r="IE8" s="715"/>
      <c r="IF8" s="715"/>
      <c r="IG8" s="715"/>
      <c r="IH8" s="715"/>
      <c r="II8" s="715"/>
      <c r="IJ8" s="715"/>
      <c r="IK8" s="715"/>
      <c r="IL8" s="715"/>
      <c r="IM8" s="715"/>
      <c r="IN8" s="715"/>
      <c r="IO8" s="715"/>
      <c r="IP8" s="715"/>
      <c r="IQ8" s="715"/>
      <c r="IR8" s="715"/>
      <c r="IS8" s="715"/>
      <c r="IT8" s="715"/>
      <c r="IU8" s="715"/>
      <c r="IV8" s="715"/>
      <c r="IW8" s="715"/>
    </row>
    <row r="9" customFormat="false" ht="21.75" hidden="false" customHeight="true" outlineLevel="0" collapsed="false">
      <c r="A9" s="799" t="inlineStr">
        <is>
          <t xml:space="preserve">9-A-006</t>
        </is>
      </c>
      <c r="B9" s="800" t="inlineStr">
        <is>
          <t xml:space="preserve">● 저장용기와 선택밸브(또는 개폐밸브) 사이 안전장치 설치 여부</t>
        </is>
      </c>
      <c r="C9" s="816"/>
      <c r="D9" s="715"/>
      <c r="E9" s="715"/>
      <c r="F9" s="715"/>
      <c r="G9" s="715"/>
      <c r="H9" s="715"/>
      <c r="I9" s="715"/>
      <c r="J9" s="715"/>
      <c r="K9" s="715"/>
      <c r="L9" s="715"/>
      <c r="M9" s="715"/>
      <c r="N9" s="715"/>
      <c r="O9" s="715"/>
      <c r="P9" s="715"/>
      <c r="Q9" s="715"/>
      <c r="R9" s="715"/>
      <c r="S9" s="715"/>
      <c r="T9" s="715"/>
      <c r="U9" s="715"/>
      <c r="V9" s="715"/>
      <c r="W9" s="715"/>
      <c r="X9" s="715"/>
      <c r="Y9" s="715"/>
      <c r="Z9" s="715"/>
      <c r="AA9" s="715"/>
      <c r="AB9" s="715"/>
      <c r="AC9" s="715"/>
      <c r="AD9" s="715"/>
      <c r="AE9" s="715"/>
      <c r="AF9" s="715"/>
      <c r="AG9" s="715"/>
      <c r="AH9" s="715"/>
      <c r="AI9" s="715"/>
      <c r="AJ9" s="715"/>
      <c r="AK9" s="715"/>
      <c r="AL9" s="715"/>
      <c r="AM9" s="715"/>
      <c r="AN9" s="715"/>
      <c r="AO9" s="715"/>
      <c r="AP9" s="715"/>
      <c r="AQ9" s="715"/>
      <c r="AR9" s="715"/>
      <c r="AS9" s="715"/>
      <c r="AT9" s="715"/>
      <c r="AU9" s="715"/>
      <c r="AV9" s="715"/>
      <c r="AW9" s="715"/>
      <c r="AX9" s="715"/>
      <c r="AY9" s="715"/>
      <c r="AZ9" s="715"/>
      <c r="BA9" s="715"/>
      <c r="BB9" s="715"/>
      <c r="BC9" s="715"/>
      <c r="BD9" s="715"/>
      <c r="BE9" s="715"/>
      <c r="BF9" s="715"/>
      <c r="BG9" s="715"/>
      <c r="BH9" s="715"/>
      <c r="BI9" s="715"/>
      <c r="BJ9" s="715"/>
      <c r="BK9" s="715"/>
      <c r="BL9" s="715"/>
      <c r="BM9" s="715"/>
      <c r="BN9" s="715"/>
      <c r="BO9" s="715"/>
      <c r="BP9" s="715"/>
      <c r="BQ9" s="715"/>
      <c r="BR9" s="715"/>
      <c r="BS9" s="715"/>
      <c r="BT9" s="715"/>
      <c r="BU9" s="715"/>
      <c r="BV9" s="715"/>
      <c r="BW9" s="715"/>
      <c r="BX9" s="715"/>
      <c r="BY9" s="715"/>
      <c r="BZ9" s="715"/>
      <c r="CA9" s="715"/>
      <c r="CB9" s="715"/>
      <c r="CC9" s="715"/>
      <c r="CD9" s="715"/>
      <c r="CE9" s="715"/>
      <c r="CF9" s="715"/>
      <c r="CG9" s="715"/>
      <c r="CH9" s="715"/>
      <c r="CI9" s="715"/>
      <c r="CJ9" s="715"/>
      <c r="CK9" s="715"/>
      <c r="CL9" s="715"/>
      <c r="CM9" s="715"/>
      <c r="CN9" s="715"/>
      <c r="CO9" s="715"/>
      <c r="CP9" s="715"/>
      <c r="CQ9" s="715"/>
      <c r="CR9" s="715"/>
      <c r="CS9" s="715"/>
      <c r="CT9" s="715"/>
      <c r="CU9" s="715"/>
      <c r="CV9" s="715"/>
      <c r="CW9" s="715"/>
      <c r="CX9" s="715"/>
      <c r="CY9" s="715"/>
      <c r="CZ9" s="715"/>
      <c r="DA9" s="715"/>
      <c r="DB9" s="715"/>
      <c r="DC9" s="715"/>
      <c r="DD9" s="715"/>
      <c r="DE9" s="715"/>
      <c r="DF9" s="715"/>
      <c r="DG9" s="715"/>
      <c r="DH9" s="715"/>
      <c r="DI9" s="715"/>
      <c r="DJ9" s="715"/>
      <c r="DK9" s="715"/>
      <c r="DL9" s="715"/>
      <c r="DM9" s="715"/>
      <c r="DN9" s="715"/>
      <c r="DO9" s="715"/>
      <c r="DP9" s="715"/>
      <c r="DQ9" s="715"/>
      <c r="DR9" s="715"/>
      <c r="DS9" s="715"/>
      <c r="DT9" s="715"/>
      <c r="DU9" s="715"/>
      <c r="DV9" s="715"/>
      <c r="DW9" s="715"/>
      <c r="DX9" s="715"/>
      <c r="DY9" s="715"/>
      <c r="DZ9" s="715"/>
      <c r="EA9" s="715"/>
      <c r="EB9" s="715"/>
      <c r="EC9" s="715"/>
      <c r="ED9" s="715"/>
      <c r="EE9" s="715"/>
      <c r="EF9" s="715"/>
      <c r="EG9" s="715"/>
      <c r="EH9" s="715"/>
      <c r="EI9" s="715"/>
      <c r="EJ9" s="715"/>
      <c r="EK9" s="715"/>
      <c r="EL9" s="715"/>
      <c r="EM9" s="715"/>
      <c r="EN9" s="715"/>
      <c r="EO9" s="715"/>
      <c r="EP9" s="715"/>
      <c r="EQ9" s="715"/>
      <c r="ER9" s="715"/>
      <c r="ES9" s="715"/>
      <c r="ET9" s="715"/>
      <c r="EU9" s="715"/>
      <c r="EV9" s="715"/>
      <c r="EW9" s="715"/>
      <c r="EX9" s="715"/>
      <c r="EY9" s="715"/>
      <c r="EZ9" s="715"/>
      <c r="FA9" s="715"/>
      <c r="FB9" s="715"/>
      <c r="FC9" s="715"/>
      <c r="FD9" s="715"/>
      <c r="FE9" s="715"/>
      <c r="FF9" s="715"/>
      <c r="FG9" s="715"/>
      <c r="FH9" s="715"/>
      <c r="FI9" s="715"/>
      <c r="FJ9" s="715"/>
      <c r="FK9" s="715"/>
      <c r="FL9" s="715"/>
      <c r="FM9" s="715"/>
      <c r="FN9" s="715"/>
      <c r="FO9" s="715"/>
      <c r="FP9" s="715"/>
      <c r="FQ9" s="715"/>
      <c r="FR9" s="715"/>
      <c r="FS9" s="715"/>
      <c r="FT9" s="715"/>
      <c r="FU9" s="715"/>
      <c r="FV9" s="715"/>
      <c r="FW9" s="715"/>
      <c r="FX9" s="715"/>
      <c r="FY9" s="715"/>
      <c r="FZ9" s="715"/>
      <c r="GA9" s="715"/>
      <c r="GB9" s="715"/>
      <c r="GC9" s="715"/>
      <c r="GD9" s="715"/>
      <c r="GE9" s="715"/>
      <c r="GF9" s="715"/>
      <c r="GG9" s="715"/>
      <c r="GH9" s="715"/>
      <c r="GI9" s="715"/>
      <c r="GJ9" s="715"/>
      <c r="GK9" s="715"/>
      <c r="GL9" s="715"/>
      <c r="GM9" s="715"/>
      <c r="GN9" s="715"/>
      <c r="GO9" s="715"/>
      <c r="GP9" s="715"/>
      <c r="GQ9" s="715"/>
      <c r="GR9" s="715"/>
      <c r="GS9" s="715"/>
      <c r="GT9" s="715"/>
      <c r="GU9" s="715"/>
      <c r="GV9" s="715"/>
      <c r="GW9" s="715"/>
      <c r="GX9" s="715"/>
      <c r="GY9" s="715"/>
      <c r="GZ9" s="715"/>
      <c r="HA9" s="715"/>
      <c r="HB9" s="715"/>
      <c r="HC9" s="715"/>
      <c r="HD9" s="715"/>
      <c r="HE9" s="715"/>
      <c r="HF9" s="715"/>
      <c r="HG9" s="715"/>
      <c r="HH9" s="715"/>
      <c r="HI9" s="715"/>
      <c r="HJ9" s="715"/>
      <c r="HK9" s="715"/>
      <c r="HL9" s="715"/>
      <c r="HM9" s="715"/>
      <c r="HN9" s="715"/>
      <c r="HO9" s="715"/>
      <c r="HP9" s="715"/>
      <c r="HQ9" s="715"/>
      <c r="HR9" s="715"/>
      <c r="HS9" s="715"/>
      <c r="HT9" s="715"/>
      <c r="HU9" s="715"/>
      <c r="HV9" s="715"/>
      <c r="HW9" s="715"/>
      <c r="HX9" s="715"/>
      <c r="HY9" s="715"/>
      <c r="HZ9" s="715"/>
      <c r="IA9" s="715"/>
      <c r="IB9" s="715"/>
      <c r="IC9" s="715"/>
      <c r="ID9" s="715"/>
      <c r="IE9" s="715"/>
      <c r="IF9" s="715"/>
      <c r="IG9" s="715"/>
      <c r="IH9" s="715"/>
      <c r="II9" s="715"/>
      <c r="IJ9" s="715"/>
      <c r="IK9" s="715"/>
      <c r="IL9" s="715"/>
      <c r="IM9" s="715"/>
      <c r="IN9" s="715"/>
      <c r="IO9" s="715"/>
      <c r="IP9" s="715"/>
      <c r="IQ9" s="715"/>
      <c r="IR9" s="715"/>
      <c r="IS9" s="715"/>
      <c r="IT9" s="715"/>
      <c r="IU9" s="715"/>
      <c r="IV9" s="715"/>
      <c r="IW9" s="715"/>
    </row>
    <row r="10" customFormat="false" ht="21.75" hidden="false" customHeight="true" outlineLevel="0" collapsed="false">
      <c r="A10" s="795" t="inlineStr">
        <is>
          <t xml:space="preserve">  </t>
        </is>
      </c>
      <c r="B10" s="817" t="inlineStr">
        <is>
          <t xml:space="preserve"> [저압식]</t>
        </is>
      </c>
      <c r="C10" s="816"/>
      <c r="D10" s="715"/>
      <c r="E10" s="715"/>
      <c r="F10" s="715"/>
      <c r="G10" s="715"/>
      <c r="H10" s="715"/>
      <c r="I10" s="715"/>
      <c r="J10" s="715"/>
      <c r="K10" s="715"/>
      <c r="L10" s="715"/>
      <c r="M10" s="715"/>
      <c r="N10" s="715"/>
      <c r="O10" s="715"/>
      <c r="P10" s="715"/>
      <c r="Q10" s="715"/>
      <c r="R10" s="715"/>
      <c r="S10" s="715"/>
      <c r="T10" s="715"/>
      <c r="U10" s="715"/>
      <c r="V10" s="715"/>
      <c r="W10" s="715"/>
      <c r="X10" s="715"/>
      <c r="Y10" s="715"/>
      <c r="Z10" s="715"/>
      <c r="AA10" s="715"/>
      <c r="AB10" s="715"/>
      <c r="AC10" s="715"/>
      <c r="AD10" s="715"/>
      <c r="AE10" s="715"/>
      <c r="AF10" s="715"/>
      <c r="AG10" s="715"/>
      <c r="AH10" s="715"/>
      <c r="AI10" s="715"/>
      <c r="AJ10" s="715"/>
      <c r="AK10" s="715"/>
      <c r="AL10" s="715"/>
      <c r="AM10" s="715"/>
      <c r="AN10" s="715"/>
      <c r="AO10" s="715"/>
      <c r="AP10" s="715"/>
      <c r="AQ10" s="715"/>
      <c r="AR10" s="715"/>
      <c r="AS10" s="715"/>
      <c r="AT10" s="715"/>
      <c r="AU10" s="715"/>
      <c r="AV10" s="715"/>
      <c r="AW10" s="715"/>
      <c r="AX10" s="715"/>
      <c r="AY10" s="715"/>
      <c r="AZ10" s="715"/>
      <c r="BA10" s="715"/>
      <c r="BB10" s="715"/>
      <c r="BC10" s="715"/>
      <c r="BD10" s="715"/>
      <c r="BE10" s="715"/>
      <c r="BF10" s="715"/>
      <c r="BG10" s="715"/>
      <c r="BH10" s="715"/>
      <c r="BI10" s="715"/>
      <c r="BJ10" s="715"/>
      <c r="BK10" s="715"/>
      <c r="BL10" s="715"/>
      <c r="BM10" s="715"/>
      <c r="BN10" s="715"/>
      <c r="BO10" s="715"/>
      <c r="BP10" s="715"/>
      <c r="BQ10" s="715"/>
      <c r="BR10" s="715"/>
      <c r="BS10" s="715"/>
      <c r="BT10" s="715"/>
      <c r="BU10" s="715"/>
      <c r="BV10" s="715"/>
      <c r="BW10" s="715"/>
      <c r="BX10" s="715"/>
      <c r="BY10" s="715"/>
      <c r="BZ10" s="715"/>
      <c r="CA10" s="715"/>
      <c r="CB10" s="715"/>
      <c r="CC10" s="715"/>
      <c r="CD10" s="715"/>
      <c r="CE10" s="715"/>
      <c r="CF10" s="715"/>
      <c r="CG10" s="715"/>
      <c r="CH10" s="715"/>
      <c r="CI10" s="715"/>
      <c r="CJ10" s="715"/>
      <c r="CK10" s="715"/>
      <c r="CL10" s="715"/>
      <c r="CM10" s="715"/>
      <c r="CN10" s="715"/>
      <c r="CO10" s="715"/>
      <c r="CP10" s="715"/>
      <c r="CQ10" s="715"/>
      <c r="CR10" s="715"/>
      <c r="CS10" s="715"/>
      <c r="CT10" s="715"/>
      <c r="CU10" s="715"/>
      <c r="CV10" s="715"/>
      <c r="CW10" s="715"/>
      <c r="CX10" s="715"/>
      <c r="CY10" s="715"/>
      <c r="CZ10" s="715"/>
      <c r="DA10" s="715"/>
      <c r="DB10" s="715"/>
      <c r="DC10" s="715"/>
      <c r="DD10" s="715"/>
      <c r="DE10" s="715"/>
      <c r="DF10" s="715"/>
      <c r="DG10" s="715"/>
      <c r="DH10" s="715"/>
      <c r="DI10" s="715"/>
      <c r="DJ10" s="715"/>
      <c r="DK10" s="715"/>
      <c r="DL10" s="715"/>
      <c r="DM10" s="715"/>
      <c r="DN10" s="715"/>
      <c r="DO10" s="715"/>
      <c r="DP10" s="715"/>
      <c r="DQ10" s="715"/>
      <c r="DR10" s="715"/>
      <c r="DS10" s="715"/>
      <c r="DT10" s="715"/>
      <c r="DU10" s="715"/>
      <c r="DV10" s="715"/>
      <c r="DW10" s="715"/>
      <c r="DX10" s="715"/>
      <c r="DY10" s="715"/>
      <c r="DZ10" s="715"/>
      <c r="EA10" s="715"/>
      <c r="EB10" s="715"/>
      <c r="EC10" s="715"/>
      <c r="ED10" s="715"/>
      <c r="EE10" s="715"/>
      <c r="EF10" s="715"/>
      <c r="EG10" s="715"/>
      <c r="EH10" s="715"/>
      <c r="EI10" s="715"/>
      <c r="EJ10" s="715"/>
      <c r="EK10" s="715"/>
      <c r="EL10" s="715"/>
      <c r="EM10" s="715"/>
      <c r="EN10" s="715"/>
      <c r="EO10" s="715"/>
      <c r="EP10" s="715"/>
      <c r="EQ10" s="715"/>
      <c r="ER10" s="715"/>
      <c r="ES10" s="715"/>
      <c r="ET10" s="715"/>
      <c r="EU10" s="715"/>
      <c r="EV10" s="715"/>
      <c r="EW10" s="715"/>
      <c r="EX10" s="715"/>
      <c r="EY10" s="715"/>
      <c r="EZ10" s="715"/>
      <c r="FA10" s="715"/>
      <c r="FB10" s="715"/>
      <c r="FC10" s="715"/>
      <c r="FD10" s="715"/>
      <c r="FE10" s="715"/>
      <c r="FF10" s="715"/>
      <c r="FG10" s="715"/>
      <c r="FH10" s="715"/>
      <c r="FI10" s="715"/>
      <c r="FJ10" s="715"/>
      <c r="FK10" s="715"/>
      <c r="FL10" s="715"/>
      <c r="FM10" s="715"/>
      <c r="FN10" s="715"/>
      <c r="FO10" s="715"/>
      <c r="FP10" s="715"/>
      <c r="FQ10" s="715"/>
      <c r="FR10" s="715"/>
      <c r="FS10" s="715"/>
      <c r="FT10" s="715"/>
      <c r="FU10" s="715"/>
      <c r="FV10" s="715"/>
      <c r="FW10" s="715"/>
      <c r="FX10" s="715"/>
      <c r="FY10" s="715"/>
      <c r="FZ10" s="715"/>
      <c r="GA10" s="715"/>
      <c r="GB10" s="715"/>
      <c r="GC10" s="715"/>
      <c r="GD10" s="715"/>
      <c r="GE10" s="715"/>
      <c r="GF10" s="715"/>
      <c r="GG10" s="715"/>
      <c r="GH10" s="715"/>
      <c r="GI10" s="715"/>
      <c r="GJ10" s="715"/>
      <c r="GK10" s="715"/>
      <c r="GL10" s="715"/>
      <c r="GM10" s="715"/>
      <c r="GN10" s="715"/>
      <c r="GO10" s="715"/>
      <c r="GP10" s="715"/>
      <c r="GQ10" s="715"/>
      <c r="GR10" s="715"/>
      <c r="GS10" s="715"/>
      <c r="GT10" s="715"/>
      <c r="GU10" s="715"/>
      <c r="GV10" s="715"/>
      <c r="GW10" s="715"/>
      <c r="GX10" s="715"/>
      <c r="GY10" s="715"/>
      <c r="GZ10" s="715"/>
      <c r="HA10" s="715"/>
      <c r="HB10" s="715"/>
      <c r="HC10" s="715"/>
      <c r="HD10" s="715"/>
      <c r="HE10" s="715"/>
      <c r="HF10" s="715"/>
      <c r="HG10" s="715"/>
      <c r="HH10" s="715"/>
      <c r="HI10" s="715"/>
      <c r="HJ10" s="715"/>
      <c r="HK10" s="715"/>
      <c r="HL10" s="715"/>
      <c r="HM10" s="715"/>
      <c r="HN10" s="715"/>
      <c r="HO10" s="715"/>
      <c r="HP10" s="715"/>
      <c r="HQ10" s="715"/>
      <c r="HR10" s="715"/>
      <c r="HS10" s="715"/>
      <c r="HT10" s="715"/>
      <c r="HU10" s="715"/>
      <c r="HV10" s="715"/>
      <c r="HW10" s="715"/>
      <c r="HX10" s="715"/>
      <c r="HY10" s="715"/>
      <c r="HZ10" s="715"/>
      <c r="IA10" s="715"/>
      <c r="IB10" s="715"/>
      <c r="IC10" s="715"/>
      <c r="ID10" s="715"/>
      <c r="IE10" s="715"/>
      <c r="IF10" s="715"/>
      <c r="IG10" s="715"/>
      <c r="IH10" s="715"/>
      <c r="II10" s="715"/>
      <c r="IJ10" s="715"/>
      <c r="IK10" s="715"/>
      <c r="IL10" s="715"/>
      <c r="IM10" s="715"/>
      <c r="IN10" s="715"/>
      <c r="IO10" s="715"/>
      <c r="IP10" s="715"/>
      <c r="IQ10" s="715"/>
      <c r="IR10" s="715"/>
      <c r="IS10" s="715"/>
      <c r="IT10" s="715"/>
      <c r="IU10" s="715"/>
      <c r="IV10" s="715"/>
      <c r="IW10" s="715"/>
    </row>
    <row r="11" customFormat="false" ht="21.75" hidden="false" customHeight="true" outlineLevel="0" collapsed="false">
      <c r="A11" s="798" t="inlineStr">
        <is>
          <t xml:space="preserve">9-A-011</t>
        </is>
      </c>
      <c r="B11" s="746" t="inlineStr">
        <is>
          <t xml:space="preserve">● 안전밸브 및 봉판 설치 적정(작동 압력) 여부</t>
        </is>
      </c>
      <c r="C11" s="816"/>
      <c r="D11" s="715"/>
      <c r="E11" s="715"/>
      <c r="F11" s="715"/>
      <c r="G11" s="715"/>
      <c r="H11" s="715"/>
      <c r="I11" s="715"/>
      <c r="J11" s="715"/>
      <c r="K11" s="715"/>
      <c r="L11" s="715"/>
      <c r="M11" s="715"/>
      <c r="N11" s="715"/>
      <c r="O11" s="715"/>
      <c r="P11" s="715"/>
      <c r="Q11" s="715"/>
      <c r="R11" s="715"/>
      <c r="S11" s="715"/>
      <c r="T11" s="715"/>
      <c r="U11" s="715"/>
      <c r="V11" s="715"/>
      <c r="W11" s="715"/>
      <c r="X11" s="715"/>
      <c r="Y11" s="715"/>
      <c r="Z11" s="715"/>
      <c r="AA11" s="715"/>
      <c r="AB11" s="715"/>
      <c r="AC11" s="715"/>
      <c r="AD11" s="715"/>
      <c r="AE11" s="715"/>
      <c r="AF11" s="715"/>
      <c r="AG11" s="715"/>
      <c r="AH11" s="715"/>
      <c r="AI11" s="715"/>
      <c r="AJ11" s="715"/>
      <c r="AK11" s="715"/>
      <c r="AL11" s="715"/>
      <c r="AM11" s="715"/>
      <c r="AN11" s="715"/>
      <c r="AO11" s="715"/>
      <c r="AP11" s="715"/>
      <c r="AQ11" s="715"/>
      <c r="AR11" s="715"/>
      <c r="AS11" s="715"/>
      <c r="AT11" s="715"/>
      <c r="AU11" s="715"/>
      <c r="AV11" s="715"/>
      <c r="AW11" s="715"/>
      <c r="AX11" s="715"/>
      <c r="AY11" s="715"/>
      <c r="AZ11" s="715"/>
      <c r="BA11" s="715"/>
      <c r="BB11" s="715"/>
      <c r="BC11" s="715"/>
      <c r="BD11" s="715"/>
      <c r="BE11" s="715"/>
      <c r="BF11" s="715"/>
      <c r="BG11" s="715"/>
      <c r="BH11" s="715"/>
      <c r="BI11" s="715"/>
      <c r="BJ11" s="715"/>
      <c r="BK11" s="715"/>
      <c r="BL11" s="715"/>
      <c r="BM11" s="715"/>
      <c r="BN11" s="715"/>
      <c r="BO11" s="715"/>
      <c r="BP11" s="715"/>
      <c r="BQ11" s="715"/>
      <c r="BR11" s="715"/>
      <c r="BS11" s="715"/>
      <c r="BT11" s="715"/>
      <c r="BU11" s="715"/>
      <c r="BV11" s="715"/>
      <c r="BW11" s="715"/>
      <c r="BX11" s="715"/>
      <c r="BY11" s="715"/>
      <c r="BZ11" s="715"/>
      <c r="CA11" s="715"/>
      <c r="CB11" s="715"/>
      <c r="CC11" s="715"/>
      <c r="CD11" s="715"/>
      <c r="CE11" s="715"/>
      <c r="CF11" s="715"/>
      <c r="CG11" s="715"/>
      <c r="CH11" s="715"/>
      <c r="CI11" s="715"/>
      <c r="CJ11" s="715"/>
      <c r="CK11" s="715"/>
      <c r="CL11" s="715"/>
      <c r="CM11" s="715"/>
      <c r="CN11" s="715"/>
      <c r="CO11" s="715"/>
      <c r="CP11" s="715"/>
      <c r="CQ11" s="715"/>
      <c r="CR11" s="715"/>
      <c r="CS11" s="715"/>
      <c r="CT11" s="715"/>
      <c r="CU11" s="715"/>
      <c r="CV11" s="715"/>
      <c r="CW11" s="715"/>
      <c r="CX11" s="715"/>
      <c r="CY11" s="715"/>
      <c r="CZ11" s="715"/>
      <c r="DA11" s="715"/>
      <c r="DB11" s="715"/>
      <c r="DC11" s="715"/>
      <c r="DD11" s="715"/>
      <c r="DE11" s="715"/>
      <c r="DF11" s="715"/>
      <c r="DG11" s="715"/>
      <c r="DH11" s="715"/>
      <c r="DI11" s="715"/>
      <c r="DJ11" s="715"/>
      <c r="DK11" s="715"/>
      <c r="DL11" s="715"/>
      <c r="DM11" s="715"/>
      <c r="DN11" s="715"/>
      <c r="DO11" s="715"/>
      <c r="DP11" s="715"/>
      <c r="DQ11" s="715"/>
      <c r="DR11" s="715"/>
      <c r="DS11" s="715"/>
      <c r="DT11" s="715"/>
      <c r="DU11" s="715"/>
      <c r="DV11" s="715"/>
      <c r="DW11" s="715"/>
      <c r="DX11" s="715"/>
      <c r="DY11" s="715"/>
      <c r="DZ11" s="715"/>
      <c r="EA11" s="715"/>
      <c r="EB11" s="715"/>
      <c r="EC11" s="715"/>
      <c r="ED11" s="715"/>
      <c r="EE11" s="715"/>
      <c r="EF11" s="715"/>
      <c r="EG11" s="715"/>
      <c r="EH11" s="715"/>
      <c r="EI11" s="715"/>
      <c r="EJ11" s="715"/>
      <c r="EK11" s="715"/>
      <c r="EL11" s="715"/>
      <c r="EM11" s="715"/>
      <c r="EN11" s="715"/>
      <c r="EO11" s="715"/>
      <c r="EP11" s="715"/>
      <c r="EQ11" s="715"/>
      <c r="ER11" s="715"/>
      <c r="ES11" s="715"/>
      <c r="ET11" s="715"/>
      <c r="EU11" s="715"/>
      <c r="EV11" s="715"/>
      <c r="EW11" s="715"/>
      <c r="EX11" s="715"/>
      <c r="EY11" s="715"/>
      <c r="EZ11" s="715"/>
      <c r="FA11" s="715"/>
      <c r="FB11" s="715"/>
      <c r="FC11" s="715"/>
      <c r="FD11" s="715"/>
      <c r="FE11" s="715"/>
      <c r="FF11" s="715"/>
      <c r="FG11" s="715"/>
      <c r="FH11" s="715"/>
      <c r="FI11" s="715"/>
      <c r="FJ11" s="715"/>
      <c r="FK11" s="715"/>
      <c r="FL11" s="715"/>
      <c r="FM11" s="715"/>
      <c r="FN11" s="715"/>
      <c r="FO11" s="715"/>
      <c r="FP11" s="715"/>
      <c r="FQ11" s="715"/>
      <c r="FR11" s="715"/>
      <c r="FS11" s="715"/>
      <c r="FT11" s="715"/>
      <c r="FU11" s="715"/>
      <c r="FV11" s="715"/>
      <c r="FW11" s="715"/>
      <c r="FX11" s="715"/>
      <c r="FY11" s="715"/>
      <c r="FZ11" s="715"/>
      <c r="GA11" s="715"/>
      <c r="GB11" s="715"/>
      <c r="GC11" s="715"/>
      <c r="GD11" s="715"/>
      <c r="GE11" s="715"/>
      <c r="GF11" s="715"/>
      <c r="GG11" s="715"/>
      <c r="GH11" s="715"/>
      <c r="GI11" s="715"/>
      <c r="GJ11" s="715"/>
      <c r="GK11" s="715"/>
      <c r="GL11" s="715"/>
      <c r="GM11" s="715"/>
      <c r="GN11" s="715"/>
      <c r="GO11" s="715"/>
      <c r="GP11" s="715"/>
      <c r="GQ11" s="715"/>
      <c r="GR11" s="715"/>
      <c r="GS11" s="715"/>
      <c r="GT11" s="715"/>
      <c r="GU11" s="715"/>
      <c r="GV11" s="715"/>
      <c r="GW11" s="715"/>
      <c r="GX11" s="715"/>
      <c r="GY11" s="715"/>
      <c r="GZ11" s="715"/>
      <c r="HA11" s="715"/>
      <c r="HB11" s="715"/>
      <c r="HC11" s="715"/>
      <c r="HD11" s="715"/>
      <c r="HE11" s="715"/>
      <c r="HF11" s="715"/>
      <c r="HG11" s="715"/>
      <c r="HH11" s="715"/>
      <c r="HI11" s="715"/>
      <c r="HJ11" s="715"/>
      <c r="HK11" s="715"/>
      <c r="HL11" s="715"/>
      <c r="HM11" s="715"/>
      <c r="HN11" s="715"/>
      <c r="HO11" s="715"/>
      <c r="HP11" s="715"/>
      <c r="HQ11" s="715"/>
      <c r="HR11" s="715"/>
      <c r="HS11" s="715"/>
      <c r="HT11" s="715"/>
      <c r="HU11" s="715"/>
      <c r="HV11" s="715"/>
      <c r="HW11" s="715"/>
      <c r="HX11" s="715"/>
      <c r="HY11" s="715"/>
      <c r="HZ11" s="715"/>
      <c r="IA11" s="715"/>
      <c r="IB11" s="715"/>
      <c r="IC11" s="715"/>
      <c r="ID11" s="715"/>
      <c r="IE11" s="715"/>
      <c r="IF11" s="715"/>
      <c r="IG11" s="715"/>
      <c r="IH11" s="715"/>
      <c r="II11" s="715"/>
      <c r="IJ11" s="715"/>
      <c r="IK11" s="715"/>
      <c r="IL11" s="715"/>
      <c r="IM11" s="715"/>
      <c r="IN11" s="715"/>
      <c r="IO11" s="715"/>
      <c r="IP11" s="715"/>
      <c r="IQ11" s="715"/>
      <c r="IR11" s="715"/>
      <c r="IS11" s="715"/>
      <c r="IT11" s="715"/>
      <c r="IU11" s="715"/>
      <c r="IV11" s="715"/>
      <c r="IW11" s="715"/>
    </row>
    <row r="12" customFormat="false" ht="21.75" hidden="false" customHeight="true" outlineLevel="0" collapsed="false">
      <c r="A12" s="798" t="inlineStr">
        <is>
          <t xml:space="preserve">9-A-012</t>
        </is>
      </c>
      <c r="B12" s="746" t="inlineStr">
        <is>
          <t xml:space="preserve">● 액면계․압력계 설치 여부 및 압력강하경보장치 작동 압력 적정 여부</t>
        </is>
      </c>
      <c r="C12" s="816"/>
      <c r="D12" s="715"/>
      <c r="E12" s="715"/>
      <c r="F12" s="715"/>
      <c r="G12" s="715"/>
      <c r="H12" s="715"/>
      <c r="I12" s="715"/>
      <c r="J12" s="715"/>
      <c r="K12" s="715"/>
      <c r="L12" s="715"/>
      <c r="M12" s="715"/>
      <c r="N12" s="715"/>
      <c r="O12" s="715"/>
      <c r="P12" s="715"/>
      <c r="Q12" s="715"/>
      <c r="R12" s="715"/>
      <c r="S12" s="715"/>
      <c r="T12" s="715"/>
      <c r="U12" s="715"/>
      <c r="V12" s="715"/>
      <c r="W12" s="715"/>
      <c r="X12" s="715"/>
      <c r="Y12" s="715"/>
      <c r="Z12" s="715"/>
      <c r="AA12" s="715"/>
      <c r="AB12" s="715"/>
      <c r="AC12" s="715"/>
      <c r="AD12" s="715"/>
      <c r="AE12" s="715"/>
      <c r="AF12" s="715"/>
      <c r="AG12" s="715"/>
      <c r="AH12" s="715"/>
      <c r="AI12" s="715"/>
      <c r="AJ12" s="715"/>
      <c r="AK12" s="715"/>
      <c r="AL12" s="715"/>
      <c r="AM12" s="715"/>
      <c r="AN12" s="715"/>
      <c r="AO12" s="715"/>
      <c r="AP12" s="715"/>
      <c r="AQ12" s="715"/>
      <c r="AR12" s="715"/>
      <c r="AS12" s="715"/>
      <c r="AT12" s="715"/>
      <c r="AU12" s="715"/>
      <c r="AV12" s="715"/>
      <c r="AW12" s="715"/>
      <c r="AX12" s="715"/>
      <c r="AY12" s="715"/>
      <c r="AZ12" s="715"/>
      <c r="BA12" s="715"/>
      <c r="BB12" s="715"/>
      <c r="BC12" s="715"/>
      <c r="BD12" s="715"/>
      <c r="BE12" s="715"/>
      <c r="BF12" s="715"/>
      <c r="BG12" s="715"/>
      <c r="BH12" s="715"/>
      <c r="BI12" s="715"/>
      <c r="BJ12" s="715"/>
      <c r="BK12" s="715"/>
      <c r="BL12" s="715"/>
      <c r="BM12" s="715"/>
      <c r="BN12" s="715"/>
      <c r="BO12" s="715"/>
      <c r="BP12" s="715"/>
      <c r="BQ12" s="715"/>
      <c r="BR12" s="715"/>
      <c r="BS12" s="715"/>
      <c r="BT12" s="715"/>
      <c r="BU12" s="715"/>
      <c r="BV12" s="715"/>
      <c r="BW12" s="715"/>
      <c r="BX12" s="715"/>
      <c r="BY12" s="715"/>
      <c r="BZ12" s="715"/>
      <c r="CA12" s="715"/>
      <c r="CB12" s="715"/>
      <c r="CC12" s="715"/>
      <c r="CD12" s="715"/>
      <c r="CE12" s="715"/>
      <c r="CF12" s="715"/>
      <c r="CG12" s="715"/>
      <c r="CH12" s="715"/>
      <c r="CI12" s="715"/>
      <c r="CJ12" s="715"/>
      <c r="CK12" s="715"/>
      <c r="CL12" s="715"/>
      <c r="CM12" s="715"/>
      <c r="CN12" s="715"/>
      <c r="CO12" s="715"/>
      <c r="CP12" s="715"/>
      <c r="CQ12" s="715"/>
      <c r="CR12" s="715"/>
      <c r="CS12" s="715"/>
      <c r="CT12" s="715"/>
      <c r="CU12" s="715"/>
      <c r="CV12" s="715"/>
      <c r="CW12" s="715"/>
      <c r="CX12" s="715"/>
      <c r="CY12" s="715"/>
      <c r="CZ12" s="715"/>
      <c r="DA12" s="715"/>
      <c r="DB12" s="715"/>
      <c r="DC12" s="715"/>
      <c r="DD12" s="715"/>
      <c r="DE12" s="715"/>
      <c r="DF12" s="715"/>
      <c r="DG12" s="715"/>
      <c r="DH12" s="715"/>
      <c r="DI12" s="715"/>
      <c r="DJ12" s="715"/>
      <c r="DK12" s="715"/>
      <c r="DL12" s="715"/>
      <c r="DM12" s="715"/>
      <c r="DN12" s="715"/>
      <c r="DO12" s="715"/>
      <c r="DP12" s="715"/>
      <c r="DQ12" s="715"/>
      <c r="DR12" s="715"/>
      <c r="DS12" s="715"/>
      <c r="DT12" s="715"/>
      <c r="DU12" s="715"/>
      <c r="DV12" s="715"/>
      <c r="DW12" s="715"/>
      <c r="DX12" s="715"/>
      <c r="DY12" s="715"/>
      <c r="DZ12" s="715"/>
      <c r="EA12" s="715"/>
      <c r="EB12" s="715"/>
      <c r="EC12" s="715"/>
      <c r="ED12" s="715"/>
      <c r="EE12" s="715"/>
      <c r="EF12" s="715"/>
      <c r="EG12" s="715"/>
      <c r="EH12" s="715"/>
      <c r="EI12" s="715"/>
      <c r="EJ12" s="715"/>
      <c r="EK12" s="715"/>
      <c r="EL12" s="715"/>
      <c r="EM12" s="715"/>
      <c r="EN12" s="715"/>
      <c r="EO12" s="715"/>
      <c r="EP12" s="715"/>
      <c r="EQ12" s="715"/>
      <c r="ER12" s="715"/>
      <c r="ES12" s="715"/>
      <c r="ET12" s="715"/>
      <c r="EU12" s="715"/>
      <c r="EV12" s="715"/>
      <c r="EW12" s="715"/>
      <c r="EX12" s="715"/>
      <c r="EY12" s="715"/>
      <c r="EZ12" s="715"/>
      <c r="FA12" s="715"/>
      <c r="FB12" s="715"/>
      <c r="FC12" s="715"/>
      <c r="FD12" s="715"/>
      <c r="FE12" s="715"/>
      <c r="FF12" s="715"/>
      <c r="FG12" s="715"/>
      <c r="FH12" s="715"/>
      <c r="FI12" s="715"/>
      <c r="FJ12" s="715"/>
      <c r="FK12" s="715"/>
      <c r="FL12" s="715"/>
      <c r="FM12" s="715"/>
      <c r="FN12" s="715"/>
      <c r="FO12" s="715"/>
      <c r="FP12" s="715"/>
      <c r="FQ12" s="715"/>
      <c r="FR12" s="715"/>
      <c r="FS12" s="715"/>
      <c r="FT12" s="715"/>
      <c r="FU12" s="715"/>
      <c r="FV12" s="715"/>
      <c r="FW12" s="715"/>
      <c r="FX12" s="715"/>
      <c r="FY12" s="715"/>
      <c r="FZ12" s="715"/>
      <c r="GA12" s="715"/>
      <c r="GB12" s="715"/>
      <c r="GC12" s="715"/>
      <c r="GD12" s="715"/>
      <c r="GE12" s="715"/>
      <c r="GF12" s="715"/>
      <c r="GG12" s="715"/>
      <c r="GH12" s="715"/>
      <c r="GI12" s="715"/>
      <c r="GJ12" s="715"/>
      <c r="GK12" s="715"/>
      <c r="GL12" s="715"/>
      <c r="GM12" s="715"/>
      <c r="GN12" s="715"/>
      <c r="GO12" s="715"/>
      <c r="GP12" s="715"/>
      <c r="GQ12" s="715"/>
      <c r="GR12" s="715"/>
      <c r="GS12" s="715"/>
      <c r="GT12" s="715"/>
      <c r="GU12" s="715"/>
      <c r="GV12" s="715"/>
      <c r="GW12" s="715"/>
      <c r="GX12" s="715"/>
      <c r="GY12" s="715"/>
      <c r="GZ12" s="715"/>
      <c r="HA12" s="715"/>
      <c r="HB12" s="715"/>
      <c r="HC12" s="715"/>
      <c r="HD12" s="715"/>
      <c r="HE12" s="715"/>
      <c r="HF12" s="715"/>
      <c r="HG12" s="715"/>
      <c r="HH12" s="715"/>
      <c r="HI12" s="715"/>
      <c r="HJ12" s="715"/>
      <c r="HK12" s="715"/>
      <c r="HL12" s="715"/>
      <c r="HM12" s="715"/>
      <c r="HN12" s="715"/>
      <c r="HO12" s="715"/>
      <c r="HP12" s="715"/>
      <c r="HQ12" s="715"/>
      <c r="HR12" s="715"/>
      <c r="HS12" s="715"/>
      <c r="HT12" s="715"/>
      <c r="HU12" s="715"/>
      <c r="HV12" s="715"/>
      <c r="HW12" s="715"/>
      <c r="HX12" s="715"/>
      <c r="HY12" s="715"/>
      <c r="HZ12" s="715"/>
      <c r="IA12" s="715"/>
      <c r="IB12" s="715"/>
      <c r="IC12" s="715"/>
      <c r="ID12" s="715"/>
      <c r="IE12" s="715"/>
      <c r="IF12" s="715"/>
      <c r="IG12" s="715"/>
      <c r="IH12" s="715"/>
      <c r="II12" s="715"/>
      <c r="IJ12" s="715"/>
      <c r="IK12" s="715"/>
      <c r="IL12" s="715"/>
      <c r="IM12" s="715"/>
      <c r="IN12" s="715"/>
      <c r="IO12" s="715"/>
      <c r="IP12" s="715"/>
      <c r="IQ12" s="715"/>
      <c r="IR12" s="715"/>
      <c r="IS12" s="715"/>
      <c r="IT12" s="715"/>
      <c r="IU12" s="715"/>
      <c r="IV12" s="715"/>
      <c r="IW12" s="715"/>
    </row>
    <row r="13" customFormat="false" ht="21.75" hidden="false" customHeight="true" outlineLevel="0" collapsed="false">
      <c r="A13" s="799" t="inlineStr">
        <is>
          <t xml:space="preserve">9-A-013</t>
        </is>
      </c>
      <c r="B13" s="800" t="inlineStr">
        <is>
          <t xml:space="preserve">○ 자동냉동장치의 기능</t>
        </is>
      </c>
      <c r="C13" s="816"/>
      <c r="D13" s="715"/>
      <c r="E13" s="715"/>
      <c r="F13" s="715"/>
      <c r="G13" s="715"/>
      <c r="H13" s="715"/>
      <c r="I13" s="715"/>
      <c r="J13" s="715"/>
      <c r="K13" s="715"/>
      <c r="L13" s="715"/>
      <c r="M13" s="715"/>
      <c r="N13" s="715"/>
      <c r="O13" s="715"/>
      <c r="P13" s="715"/>
      <c r="Q13" s="715"/>
      <c r="R13" s="715"/>
      <c r="S13" s="715"/>
      <c r="T13" s="715"/>
      <c r="U13" s="715"/>
      <c r="V13" s="715"/>
      <c r="W13" s="715"/>
      <c r="X13" s="715"/>
      <c r="Y13" s="715"/>
      <c r="Z13" s="715"/>
      <c r="AA13" s="715"/>
      <c r="AB13" s="715"/>
      <c r="AC13" s="715"/>
      <c r="AD13" s="715"/>
      <c r="AE13" s="715"/>
      <c r="AF13" s="715"/>
      <c r="AG13" s="715"/>
      <c r="AH13" s="715"/>
      <c r="AI13" s="715"/>
      <c r="AJ13" s="715"/>
      <c r="AK13" s="715"/>
      <c r="AL13" s="715"/>
      <c r="AM13" s="715"/>
      <c r="AN13" s="715"/>
      <c r="AO13" s="715"/>
      <c r="AP13" s="715"/>
      <c r="AQ13" s="715"/>
      <c r="AR13" s="715"/>
      <c r="AS13" s="715"/>
      <c r="AT13" s="715"/>
      <c r="AU13" s="715"/>
      <c r="AV13" s="715"/>
      <c r="AW13" s="715"/>
      <c r="AX13" s="715"/>
      <c r="AY13" s="715"/>
      <c r="AZ13" s="715"/>
      <c r="BA13" s="715"/>
      <c r="BB13" s="715"/>
      <c r="BC13" s="715"/>
      <c r="BD13" s="715"/>
      <c r="BE13" s="715"/>
      <c r="BF13" s="715"/>
      <c r="BG13" s="715"/>
      <c r="BH13" s="715"/>
      <c r="BI13" s="715"/>
      <c r="BJ13" s="715"/>
      <c r="BK13" s="715"/>
      <c r="BL13" s="715"/>
      <c r="BM13" s="715"/>
      <c r="BN13" s="715"/>
      <c r="BO13" s="715"/>
      <c r="BP13" s="715"/>
      <c r="BQ13" s="715"/>
      <c r="BR13" s="715"/>
      <c r="BS13" s="715"/>
      <c r="BT13" s="715"/>
      <c r="BU13" s="715"/>
      <c r="BV13" s="715"/>
      <c r="BW13" s="715"/>
      <c r="BX13" s="715"/>
      <c r="BY13" s="715"/>
      <c r="BZ13" s="715"/>
      <c r="CA13" s="715"/>
      <c r="CB13" s="715"/>
      <c r="CC13" s="715"/>
      <c r="CD13" s="715"/>
      <c r="CE13" s="715"/>
      <c r="CF13" s="715"/>
      <c r="CG13" s="715"/>
      <c r="CH13" s="715"/>
      <c r="CI13" s="715"/>
      <c r="CJ13" s="715"/>
      <c r="CK13" s="715"/>
      <c r="CL13" s="715"/>
      <c r="CM13" s="715"/>
      <c r="CN13" s="715"/>
      <c r="CO13" s="715"/>
      <c r="CP13" s="715"/>
      <c r="CQ13" s="715"/>
      <c r="CR13" s="715"/>
      <c r="CS13" s="715"/>
      <c r="CT13" s="715"/>
      <c r="CU13" s="715"/>
      <c r="CV13" s="715"/>
      <c r="CW13" s="715"/>
      <c r="CX13" s="715"/>
      <c r="CY13" s="715"/>
      <c r="CZ13" s="715"/>
      <c r="DA13" s="715"/>
      <c r="DB13" s="715"/>
      <c r="DC13" s="715"/>
      <c r="DD13" s="715"/>
      <c r="DE13" s="715"/>
      <c r="DF13" s="715"/>
      <c r="DG13" s="715"/>
      <c r="DH13" s="715"/>
      <c r="DI13" s="715"/>
      <c r="DJ13" s="715"/>
      <c r="DK13" s="715"/>
      <c r="DL13" s="715"/>
      <c r="DM13" s="715"/>
      <c r="DN13" s="715"/>
      <c r="DO13" s="715"/>
      <c r="DP13" s="715"/>
      <c r="DQ13" s="715"/>
      <c r="DR13" s="715"/>
      <c r="DS13" s="715"/>
      <c r="DT13" s="715"/>
      <c r="DU13" s="715"/>
      <c r="DV13" s="715"/>
      <c r="DW13" s="715"/>
      <c r="DX13" s="715"/>
      <c r="DY13" s="715"/>
      <c r="DZ13" s="715"/>
      <c r="EA13" s="715"/>
      <c r="EB13" s="715"/>
      <c r="EC13" s="715"/>
      <c r="ED13" s="715"/>
      <c r="EE13" s="715"/>
      <c r="EF13" s="715"/>
      <c r="EG13" s="715"/>
      <c r="EH13" s="715"/>
      <c r="EI13" s="715"/>
      <c r="EJ13" s="715"/>
      <c r="EK13" s="715"/>
      <c r="EL13" s="715"/>
      <c r="EM13" s="715"/>
      <c r="EN13" s="715"/>
      <c r="EO13" s="715"/>
      <c r="EP13" s="715"/>
      <c r="EQ13" s="715"/>
      <c r="ER13" s="715"/>
      <c r="ES13" s="715"/>
      <c r="ET13" s="715"/>
      <c r="EU13" s="715"/>
      <c r="EV13" s="715"/>
      <c r="EW13" s="715"/>
      <c r="EX13" s="715"/>
      <c r="EY13" s="715"/>
      <c r="EZ13" s="715"/>
      <c r="FA13" s="715"/>
      <c r="FB13" s="715"/>
      <c r="FC13" s="715"/>
      <c r="FD13" s="715"/>
      <c r="FE13" s="715"/>
      <c r="FF13" s="715"/>
      <c r="FG13" s="715"/>
      <c r="FH13" s="715"/>
      <c r="FI13" s="715"/>
      <c r="FJ13" s="715"/>
      <c r="FK13" s="715"/>
      <c r="FL13" s="715"/>
      <c r="FM13" s="715"/>
      <c r="FN13" s="715"/>
      <c r="FO13" s="715"/>
      <c r="FP13" s="715"/>
      <c r="FQ13" s="715"/>
      <c r="FR13" s="715"/>
      <c r="FS13" s="715"/>
      <c r="FT13" s="715"/>
      <c r="FU13" s="715"/>
      <c r="FV13" s="715"/>
      <c r="FW13" s="715"/>
      <c r="FX13" s="715"/>
      <c r="FY13" s="715"/>
      <c r="FZ13" s="715"/>
      <c r="GA13" s="715"/>
      <c r="GB13" s="715"/>
      <c r="GC13" s="715"/>
      <c r="GD13" s="715"/>
      <c r="GE13" s="715"/>
      <c r="GF13" s="715"/>
      <c r="GG13" s="715"/>
      <c r="GH13" s="715"/>
      <c r="GI13" s="715"/>
      <c r="GJ13" s="715"/>
      <c r="GK13" s="715"/>
      <c r="GL13" s="715"/>
      <c r="GM13" s="715"/>
      <c r="GN13" s="715"/>
      <c r="GO13" s="715"/>
      <c r="GP13" s="715"/>
      <c r="GQ13" s="715"/>
      <c r="GR13" s="715"/>
      <c r="GS13" s="715"/>
      <c r="GT13" s="715"/>
      <c r="GU13" s="715"/>
      <c r="GV13" s="715"/>
      <c r="GW13" s="715"/>
      <c r="GX13" s="715"/>
      <c r="GY13" s="715"/>
      <c r="GZ13" s="715"/>
      <c r="HA13" s="715"/>
      <c r="HB13" s="715"/>
      <c r="HC13" s="715"/>
      <c r="HD13" s="715"/>
      <c r="HE13" s="715"/>
      <c r="HF13" s="715"/>
      <c r="HG13" s="715"/>
      <c r="HH13" s="715"/>
      <c r="HI13" s="715"/>
      <c r="HJ13" s="715"/>
      <c r="HK13" s="715"/>
      <c r="HL13" s="715"/>
      <c r="HM13" s="715"/>
      <c r="HN13" s="715"/>
      <c r="HO13" s="715"/>
      <c r="HP13" s="715"/>
      <c r="HQ13" s="715"/>
      <c r="HR13" s="715"/>
      <c r="HS13" s="715"/>
      <c r="HT13" s="715"/>
      <c r="HU13" s="715"/>
      <c r="HV13" s="715"/>
      <c r="HW13" s="715"/>
      <c r="HX13" s="715"/>
      <c r="HY13" s="715"/>
      <c r="HZ13" s="715"/>
      <c r="IA13" s="715"/>
      <c r="IB13" s="715"/>
      <c r="IC13" s="715"/>
      <c r="ID13" s="715"/>
      <c r="IE13" s="715"/>
      <c r="IF13" s="715"/>
      <c r="IG13" s="715"/>
      <c r="IH13" s="715"/>
      <c r="II13" s="715"/>
      <c r="IJ13" s="715"/>
      <c r="IK13" s="715"/>
      <c r="IL13" s="715"/>
      <c r="IM13" s="715"/>
      <c r="IN13" s="715"/>
      <c r="IO13" s="715"/>
      <c r="IP13" s="715"/>
      <c r="IQ13" s="715"/>
      <c r="IR13" s="715"/>
      <c r="IS13" s="715"/>
      <c r="IT13" s="715"/>
      <c r="IU13" s="715"/>
      <c r="IV13" s="715"/>
      <c r="IW13" s="715"/>
    </row>
    <row r="14" customFormat="false" ht="24" hidden="false" customHeight="true" outlineLevel="0" collapsed="false">
      <c r="A14" s="818" t="inlineStr">
        <is>
          <t xml:space="preserve"> 9-B. 소화약제</t>
        </is>
      </c>
      <c r="B14" s="818"/>
      <c r="C14" s="818"/>
    </row>
    <row r="15" customFormat="false" ht="21.75" hidden="false" customHeight="true" outlineLevel="0" collapsed="false">
      <c r="A15" s="760" t="inlineStr">
        <is>
          <t xml:space="preserve">9-B-001</t>
        </is>
      </c>
      <c r="B15" s="761" t="inlineStr">
        <is>
          <t xml:space="preserve">○ 소화약제 저장량 적정 여부</t>
        </is>
      </c>
      <c r="C15" s="819"/>
    </row>
    <row r="16" customFormat="false" ht="24" hidden="false" customHeight="true" outlineLevel="0" collapsed="false">
      <c r="A16" s="818" t="inlineStr">
        <is>
          <t xml:space="preserve"> 9-C. 기동장치</t>
        </is>
      </c>
      <c r="B16" s="818"/>
      <c r="C16" s="818"/>
    </row>
    <row r="17" customFormat="false" ht="21.75" hidden="false" customHeight="true" outlineLevel="0" collapsed="false">
      <c r="A17" s="760" t="inlineStr">
        <is>
          <t xml:space="preserve">9-C-001</t>
        </is>
      </c>
      <c r="B17" s="761" t="inlineStr">
        <is>
          <t xml:space="preserve">○ 방호구역별 출입구 부근 소화약제 방출표시등 설치 및 정상 작동 여부</t>
        </is>
      </c>
      <c r="C17" s="819"/>
    </row>
    <row r="18" customFormat="false" ht="21.75" hidden="false" customHeight="true" outlineLevel="0" collapsed="false">
      <c r="A18" s="795" t="inlineStr">
        <is>
          <t xml:space="preserve">  </t>
        </is>
      </c>
      <c r="B18" s="817" t="inlineStr">
        <is>
          <t xml:space="preserve"> [수동식 기동장치]</t>
        </is>
      </c>
      <c r="C18" s="819"/>
    </row>
    <row r="19" customFormat="false" ht="21.75" hidden="false" customHeight="true" outlineLevel="0" collapsed="false">
      <c r="A19" s="798" t="inlineStr">
        <is>
          <t xml:space="preserve">9-C-011</t>
        </is>
      </c>
      <c r="B19" s="746" t="inlineStr">
        <is>
          <t xml:space="preserve">○ 기동장치 부근에 비상스위치 설치 여부</t>
        </is>
      </c>
      <c r="C19" s="819"/>
    </row>
    <row r="20" customFormat="false" ht="21.75" hidden="false" customHeight="true" outlineLevel="0" collapsed="false">
      <c r="A20" s="798" t="inlineStr">
        <is>
          <t xml:space="preserve">9-C-012</t>
        </is>
      </c>
      <c r="B20" s="746" t="inlineStr">
        <is>
          <t xml:space="preserve">● 방호구역별 또는 방호대상별 기동장치 설치 여부</t>
        </is>
      </c>
      <c r="C20" s="816"/>
    </row>
    <row r="21" customFormat="false" ht="21.75" hidden="false" customHeight="true" outlineLevel="0" collapsed="false">
      <c r="A21" s="798" t="inlineStr">
        <is>
          <t xml:space="preserve">9-C-013</t>
        </is>
      </c>
      <c r="B21" s="746" t="inlineStr">
        <is>
          <t xml:space="preserve">○ 기동장치 설치 적정(출입구 부근 등, 높이, 보호장치, 표지, 전원표시등) 여부</t>
        </is>
      </c>
      <c r="C21" s="819"/>
    </row>
    <row r="22" customFormat="false" ht="21.75" hidden="false" customHeight="true" outlineLevel="0" collapsed="false">
      <c r="A22" s="799" t="inlineStr">
        <is>
          <t xml:space="preserve">9-C-014</t>
        </is>
      </c>
      <c r="B22" s="800" t="inlineStr">
        <is>
          <t xml:space="preserve">○ 방출용 스위치 음향경보장치 연동 여부</t>
        </is>
      </c>
      <c r="C22" s="819"/>
    </row>
    <row r="23" customFormat="false" ht="21.75" hidden="false" customHeight="true" outlineLevel="0" collapsed="false">
      <c r="A23" s="795" t="inlineStr">
        <is>
          <t xml:space="preserve">  </t>
        </is>
      </c>
      <c r="B23" s="817" t="inlineStr">
        <is>
          <t xml:space="preserve"> [자동식 기동장치]</t>
        </is>
      </c>
      <c r="C23" s="819"/>
    </row>
    <row r="24" customFormat="false" ht="21.75" hidden="false" customHeight="true" outlineLevel="0" collapsed="false">
      <c r="A24" s="798" t="inlineStr">
        <is>
          <t xml:space="preserve">9-C-021</t>
        </is>
      </c>
      <c r="B24" s="746" t="inlineStr">
        <is>
          <t xml:space="preserve">○ 감지기 작동과의 연동 및 수동기동 가능 여부</t>
        </is>
      </c>
      <c r="C24" s="819"/>
    </row>
    <row r="25" customFormat="false" ht="21.75" hidden="false" customHeight="true" outlineLevel="0" collapsed="false">
      <c r="A25" s="798" t="inlineStr">
        <is>
          <t xml:space="preserve">9-C-022</t>
        </is>
      </c>
      <c r="B25" s="746" t="inlineStr">
        <is>
          <t xml:space="preserve">● 저장용기 수량에 따른 전자 개방밸브 수량 적정 여부(전기식 기동장치의 경우)</t>
        </is>
      </c>
      <c r="C25" s="816"/>
    </row>
    <row r="26" customFormat="false" ht="21.75" hidden="false" customHeight="true" outlineLevel="0" collapsed="false">
      <c r="A26" s="798" t="inlineStr">
        <is>
          <t xml:space="preserve">9-C-023</t>
        </is>
      </c>
      <c r="B26" s="746" t="inlineStr">
        <is>
          <t xml:space="preserve">○ 기동용 가스용기의 용적, 충전압력 적정 여부(가스압력식 기동장치의 경우)</t>
        </is>
      </c>
      <c r="C26" s="819"/>
    </row>
    <row r="27" customFormat="false" ht="21.75" hidden="false" customHeight="true" outlineLevel="0" collapsed="false">
      <c r="A27" s="798" t="inlineStr">
        <is>
          <t xml:space="preserve">9-C-024</t>
        </is>
      </c>
      <c r="B27" s="746" t="inlineStr">
        <is>
          <t xml:space="preserve">● 기동용 가스용기의 안전장치, 압력게이지 설치 여부(가스압력식 기동장치의 경우)</t>
        </is>
      </c>
      <c r="C27" s="816"/>
    </row>
    <row r="28" customFormat="false" ht="21.75" hidden="false" customHeight="true" outlineLevel="0" collapsed="false">
      <c r="A28" s="799" t="inlineStr">
        <is>
          <t xml:space="preserve">9-C-025</t>
        </is>
      </c>
      <c r="B28" s="800" t="inlineStr">
        <is>
          <t xml:space="preserve">● 저장용기 개방구조 적정 여부(기계식 기동장치의 경우)</t>
        </is>
      </c>
      <c r="C28" s="816"/>
    </row>
    <row r="29" customFormat="false" ht="21.75" hidden="false" customHeight="true" outlineLevel="0" collapsed="false">
      <c r="A29" s="818" t="inlineStr">
        <is>
          <t xml:space="preserve"> 9-D. 제어반 및 화재표시반</t>
        </is>
      </c>
      <c r="B29" s="818"/>
      <c r="C29" s="818"/>
    </row>
    <row r="30" customFormat="false" ht="21.75" hidden="false" customHeight="true" outlineLevel="0" collapsed="false">
      <c r="A30" s="795" t="inlineStr">
        <is>
          <t xml:space="preserve">9-D-001</t>
        </is>
      </c>
      <c r="B30" s="796" t="inlineStr">
        <is>
          <t xml:space="preserve">○ 설치장소 적정 및 관리 여부</t>
        </is>
      </c>
      <c r="C30" s="819"/>
    </row>
    <row r="31" customFormat="false" ht="21.75" hidden="false" customHeight="true" outlineLevel="0" collapsed="false">
      <c r="A31" s="798" t="inlineStr">
        <is>
          <t xml:space="preserve">9-D-002</t>
        </is>
      </c>
      <c r="B31" s="746" t="inlineStr">
        <is>
          <t xml:space="preserve">○ 회로도 및 취급설명서 비치 여부</t>
        </is>
      </c>
      <c r="C31" s="819"/>
    </row>
    <row r="32" customFormat="false" ht="21.75" hidden="false" customHeight="true" outlineLevel="0" collapsed="false">
      <c r="A32" s="799" t="inlineStr">
        <is>
          <t xml:space="preserve">9-D-003</t>
        </is>
      </c>
      <c r="B32" s="800" t="inlineStr">
        <is>
          <t xml:space="preserve">● 수동잠금밸브 개폐여부 확인 표시등 설치 여부</t>
        </is>
      </c>
      <c r="C32" s="816"/>
    </row>
    <row r="33" customFormat="false" ht="21.75" hidden="false" customHeight="true" outlineLevel="0" collapsed="false">
      <c r="A33" s="795" t="inlineStr">
        <is>
          <t xml:space="preserve">  </t>
        </is>
      </c>
      <c r="B33" s="817" t="inlineStr">
        <is>
          <t xml:space="preserve"> [제어반]</t>
        </is>
      </c>
      <c r="C33" s="819"/>
    </row>
    <row r="34" customFormat="false" ht="21.75" hidden="false" customHeight="true" outlineLevel="0" collapsed="false">
      <c r="A34" s="798" t="inlineStr">
        <is>
          <t xml:space="preserve">9-D-011</t>
        </is>
      </c>
      <c r="B34" s="746" t="inlineStr">
        <is>
          <t xml:space="preserve">○ 수동기동장치 또는 감지기 신호 수신 시 음향경보장치 작동 기능 정상 여부</t>
        </is>
      </c>
      <c r="C34" s="819"/>
    </row>
    <row r="35" customFormat="false" ht="21.75" hidden="false" customHeight="true" outlineLevel="0" collapsed="false">
      <c r="A35" s="798" t="inlineStr">
        <is>
          <t xml:space="preserve">9-D-012</t>
        </is>
      </c>
      <c r="B35" s="746" t="inlineStr">
        <is>
          <t xml:space="preserve">○ 소화약제 방출·지연 및 기타 제어 기능 적정 여부</t>
        </is>
      </c>
      <c r="C35" s="819"/>
    </row>
    <row r="36" customFormat="false" ht="21.75" hidden="false" customHeight="true" outlineLevel="0" collapsed="false">
      <c r="A36" s="799" t="inlineStr">
        <is>
          <t xml:space="preserve">9-D-013</t>
        </is>
      </c>
      <c r="B36" s="800" t="inlineStr">
        <is>
          <t xml:space="preserve">○ 전원표시등 설치 및 정상 점등 여부</t>
        </is>
      </c>
      <c r="C36" s="819"/>
    </row>
    <row r="37" customFormat="false" ht="21.75" hidden="false" customHeight="true" outlineLevel="0" collapsed="false">
      <c r="A37" s="764" t="inlineStr">
        <is>
          <t xml:space="preserve">비고</t>
        </is>
      </c>
      <c r="B37" s="820"/>
      <c r="C37" s="820"/>
    </row>
  </sheetData>
  <mergeCells count="6">
    <mergeCell ref="A1:C1"/>
    <mergeCell ref="A3:C3"/>
    <mergeCell ref="A14:C14"/>
    <mergeCell ref="A16:C16"/>
    <mergeCell ref="A29:C29"/>
    <mergeCell ref="B37:C37"/>
  </mergeCells>
  <dataValidations count="1">
    <dataValidation allowBlank="true" errorStyle="stop" operator="between" showDropDown="false" showErrorMessage="true" showInputMessage="false" sqref="C4:C13 C15 C17:C28 C30:C36" type="list">
      <formula1>$G$6:$G$8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8"/>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J22" activeCellId="0" sqref="J22"/>
    </sheetView>
  </sheetViews>
  <sheetFormatPr defaultColWidth="8.88671875" defaultRowHeight="13.5" customHeight="false" zeroHeight="false" outlineLevelRow="0" outlineLevelCol="0"/>
  <cols>
    <col collapsed="false" customWidth="true" hidden="false" outlineLevel="0" max="1" min="1" style="766" width="10.99"/>
    <col collapsed="false" customWidth="true" hidden="false" outlineLevel="0" max="2" min="2" style="766" width="64.33"/>
    <col collapsed="false" customWidth="true" hidden="false" outlineLevel="0" max="3" min="3" style="766" width="10.88"/>
    <col collapsed="false" customWidth="false" hidden="false" outlineLevel="0" max="257" min="4" style="766" width="8.88"/>
  </cols>
  <sheetData>
    <row r="1" customFormat="false" ht="18" hidden="false" customHeight="true" outlineLevel="0" collapsed="false">
      <c r="A1" s="821" t="inlineStr">
        <is>
          <t xml:space="preserve">                      (2면)</t>
        </is>
      </c>
      <c r="B1" s="821"/>
      <c r="C1" s="821"/>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1" hidden="false" customHeight="true" outlineLevel="0" collapsed="false">
      <c r="A3" s="795" t="inlineStr">
        <is>
          <t xml:space="preserve">  </t>
        </is>
      </c>
      <c r="B3" s="817" t="inlineStr">
        <is>
          <t xml:space="preserve"> [화재표시반]</t>
        </is>
      </c>
      <c r="C3" s="816"/>
      <c r="D3" s="715"/>
      <c r="E3" s="715"/>
      <c r="F3" s="715"/>
      <c r="G3" s="715"/>
      <c r="H3" s="715"/>
      <c r="I3" s="715"/>
      <c r="J3" s="715"/>
      <c r="K3" s="715"/>
      <c r="L3" s="715"/>
      <c r="M3" s="715"/>
      <c r="N3" s="715"/>
      <c r="O3" s="715"/>
      <c r="P3" s="715"/>
      <c r="Q3" s="715"/>
      <c r="R3" s="715"/>
      <c r="S3" s="715"/>
      <c r="T3" s="715"/>
      <c r="U3" s="715"/>
      <c r="V3" s="715"/>
      <c r="W3" s="715"/>
      <c r="X3" s="715"/>
      <c r="Y3" s="715"/>
      <c r="Z3" s="715"/>
      <c r="AA3" s="715"/>
      <c r="AB3" s="715"/>
      <c r="AC3" s="715"/>
      <c r="AD3" s="715"/>
      <c r="AE3" s="715"/>
      <c r="AF3" s="715"/>
      <c r="AG3" s="715"/>
      <c r="AH3" s="715"/>
      <c r="AI3" s="715"/>
      <c r="AJ3" s="715"/>
      <c r="AK3" s="715"/>
      <c r="AL3" s="715"/>
      <c r="AM3" s="715"/>
      <c r="AN3" s="715"/>
      <c r="AO3" s="715"/>
      <c r="AP3" s="715"/>
      <c r="AQ3" s="715"/>
      <c r="AR3" s="715"/>
      <c r="AS3" s="715"/>
      <c r="AT3" s="715"/>
      <c r="AU3" s="715"/>
      <c r="AV3" s="715"/>
      <c r="AW3" s="715"/>
      <c r="AX3" s="715"/>
      <c r="AY3" s="715"/>
      <c r="AZ3" s="715"/>
      <c r="BA3" s="715"/>
      <c r="BB3" s="715"/>
      <c r="BC3" s="715"/>
      <c r="BD3" s="715"/>
      <c r="BE3" s="715"/>
      <c r="BF3" s="715"/>
      <c r="BG3" s="715"/>
      <c r="BH3" s="715"/>
      <c r="BI3" s="715"/>
      <c r="BJ3" s="715"/>
      <c r="BK3" s="715"/>
      <c r="BL3" s="715"/>
      <c r="BM3" s="715"/>
      <c r="BN3" s="715"/>
      <c r="BO3" s="715"/>
      <c r="BP3" s="715"/>
      <c r="BQ3" s="715"/>
      <c r="BR3" s="715"/>
      <c r="BS3" s="715"/>
      <c r="BT3" s="715"/>
      <c r="BU3" s="715"/>
      <c r="BV3" s="715"/>
      <c r="BW3" s="715"/>
      <c r="BX3" s="715"/>
      <c r="BY3" s="715"/>
      <c r="BZ3" s="715"/>
      <c r="CA3" s="715"/>
      <c r="CB3" s="715"/>
      <c r="CC3" s="715"/>
      <c r="CD3" s="715"/>
      <c r="CE3" s="715"/>
      <c r="CF3" s="715"/>
      <c r="CG3" s="715"/>
      <c r="CH3" s="715"/>
      <c r="CI3" s="715"/>
      <c r="CJ3" s="715"/>
      <c r="CK3" s="715"/>
      <c r="CL3" s="715"/>
      <c r="CM3" s="715"/>
      <c r="CN3" s="715"/>
      <c r="CO3" s="715"/>
      <c r="CP3" s="715"/>
      <c r="CQ3" s="715"/>
      <c r="CR3" s="715"/>
      <c r="CS3" s="715"/>
      <c r="CT3" s="715"/>
      <c r="CU3" s="715"/>
      <c r="CV3" s="715"/>
      <c r="CW3" s="715"/>
      <c r="CX3" s="715"/>
      <c r="CY3" s="715"/>
      <c r="CZ3" s="715"/>
      <c r="DA3" s="715"/>
      <c r="DB3" s="715"/>
      <c r="DC3" s="715"/>
      <c r="DD3" s="715"/>
      <c r="DE3" s="715"/>
      <c r="DF3" s="715"/>
      <c r="DG3" s="715"/>
      <c r="DH3" s="715"/>
      <c r="DI3" s="715"/>
      <c r="DJ3" s="715"/>
      <c r="DK3" s="715"/>
      <c r="DL3" s="715"/>
      <c r="DM3" s="715"/>
      <c r="DN3" s="715"/>
      <c r="DO3" s="715"/>
      <c r="DP3" s="715"/>
      <c r="DQ3" s="715"/>
      <c r="DR3" s="715"/>
      <c r="DS3" s="715"/>
      <c r="DT3" s="715"/>
      <c r="DU3" s="715"/>
      <c r="DV3" s="715"/>
      <c r="DW3" s="715"/>
      <c r="DX3" s="715"/>
      <c r="DY3" s="715"/>
      <c r="DZ3" s="715"/>
      <c r="EA3" s="715"/>
      <c r="EB3" s="715"/>
      <c r="EC3" s="715"/>
      <c r="ED3" s="715"/>
      <c r="EE3" s="715"/>
      <c r="EF3" s="715"/>
      <c r="EG3" s="715"/>
      <c r="EH3" s="715"/>
      <c r="EI3" s="715"/>
      <c r="EJ3" s="715"/>
      <c r="EK3" s="715"/>
      <c r="EL3" s="715"/>
      <c r="EM3" s="715"/>
      <c r="EN3" s="715"/>
      <c r="EO3" s="715"/>
      <c r="EP3" s="715"/>
      <c r="EQ3" s="715"/>
      <c r="ER3" s="715"/>
      <c r="ES3" s="715"/>
      <c r="ET3" s="715"/>
      <c r="EU3" s="715"/>
      <c r="EV3" s="715"/>
      <c r="EW3" s="715"/>
      <c r="EX3" s="715"/>
      <c r="EY3" s="715"/>
      <c r="EZ3" s="715"/>
      <c r="FA3" s="715"/>
      <c r="FB3" s="715"/>
      <c r="FC3" s="715"/>
      <c r="FD3" s="715"/>
      <c r="FE3" s="715"/>
      <c r="FF3" s="715"/>
      <c r="FG3" s="715"/>
      <c r="FH3" s="715"/>
      <c r="FI3" s="715"/>
      <c r="FJ3" s="715"/>
      <c r="FK3" s="715"/>
      <c r="FL3" s="715"/>
      <c r="FM3" s="715"/>
      <c r="FN3" s="715"/>
      <c r="FO3" s="715"/>
      <c r="FP3" s="715"/>
      <c r="FQ3" s="715"/>
      <c r="FR3" s="715"/>
      <c r="FS3" s="715"/>
      <c r="FT3" s="715"/>
      <c r="FU3" s="715"/>
      <c r="FV3" s="715"/>
      <c r="FW3" s="715"/>
      <c r="FX3" s="715"/>
      <c r="FY3" s="715"/>
      <c r="FZ3" s="715"/>
      <c r="GA3" s="715"/>
      <c r="GB3" s="715"/>
      <c r="GC3" s="715"/>
      <c r="GD3" s="715"/>
      <c r="GE3" s="715"/>
      <c r="GF3" s="715"/>
      <c r="GG3" s="715"/>
      <c r="GH3" s="715"/>
      <c r="GI3" s="715"/>
      <c r="GJ3" s="715"/>
      <c r="GK3" s="715"/>
      <c r="GL3" s="715"/>
      <c r="GM3" s="715"/>
      <c r="GN3" s="715"/>
      <c r="GO3" s="715"/>
      <c r="GP3" s="715"/>
      <c r="GQ3" s="715"/>
      <c r="GR3" s="715"/>
      <c r="GS3" s="715"/>
      <c r="GT3" s="715"/>
      <c r="GU3" s="715"/>
      <c r="GV3" s="715"/>
      <c r="GW3" s="715"/>
      <c r="GX3" s="715"/>
      <c r="GY3" s="715"/>
      <c r="GZ3" s="715"/>
      <c r="HA3" s="715"/>
      <c r="HB3" s="715"/>
      <c r="HC3" s="715"/>
      <c r="HD3" s="715"/>
      <c r="HE3" s="715"/>
      <c r="HF3" s="715"/>
      <c r="HG3" s="715"/>
      <c r="HH3" s="715"/>
      <c r="HI3" s="715"/>
      <c r="HJ3" s="715"/>
      <c r="HK3" s="715"/>
      <c r="HL3" s="715"/>
      <c r="HM3" s="715"/>
      <c r="HN3" s="715"/>
      <c r="HO3" s="715"/>
      <c r="HP3" s="715"/>
      <c r="HQ3" s="715"/>
      <c r="HR3" s="715"/>
      <c r="HS3" s="715"/>
      <c r="HT3" s="715"/>
      <c r="HU3" s="715"/>
      <c r="HV3" s="715"/>
      <c r="HW3" s="715"/>
      <c r="HX3" s="715"/>
      <c r="HY3" s="715"/>
      <c r="HZ3" s="715"/>
      <c r="IA3" s="715"/>
      <c r="IB3" s="715"/>
      <c r="IC3" s="715"/>
      <c r="ID3" s="715"/>
      <c r="IE3" s="715"/>
      <c r="IF3" s="715"/>
      <c r="IG3" s="715"/>
      <c r="IH3" s="715"/>
      <c r="II3" s="715"/>
      <c r="IJ3" s="715"/>
      <c r="IK3" s="715"/>
      <c r="IL3" s="715"/>
      <c r="IM3" s="715"/>
      <c r="IN3" s="715"/>
      <c r="IO3" s="715"/>
      <c r="IP3" s="715"/>
      <c r="IQ3" s="715"/>
      <c r="IR3" s="715"/>
      <c r="IS3" s="715"/>
      <c r="IT3" s="715"/>
      <c r="IU3" s="715"/>
      <c r="IV3" s="715"/>
      <c r="IW3" s="715"/>
    </row>
    <row r="4" customFormat="false" ht="21" hidden="false" customHeight="true" outlineLevel="0" collapsed="false">
      <c r="A4" s="798" t="inlineStr">
        <is>
          <t xml:space="preserve">9-D-021</t>
        </is>
      </c>
      <c r="B4" s="746" t="inlineStr">
        <is>
          <t xml:space="preserve">○ 방호구역별 표시등(음향경보장치 조작, 감지기 작동), 경보기 설치 및 작동 여부</t>
        </is>
      </c>
      <c r="C4" s="816"/>
      <c r="D4" s="715"/>
      <c r="E4" s="715"/>
      <c r="F4" s="715"/>
      <c r="G4" s="715"/>
      <c r="H4" s="715"/>
      <c r="I4" s="715"/>
      <c r="J4" s="715"/>
      <c r="K4" s="715"/>
      <c r="L4" s="715"/>
      <c r="M4" s="715"/>
      <c r="N4" s="715"/>
      <c r="O4" s="715"/>
      <c r="P4" s="715"/>
      <c r="Q4" s="715"/>
      <c r="R4" s="715"/>
      <c r="S4" s="715"/>
      <c r="T4" s="715"/>
      <c r="U4" s="715"/>
      <c r="V4" s="715"/>
      <c r="W4" s="715"/>
      <c r="X4" s="715"/>
      <c r="Y4" s="715"/>
      <c r="Z4" s="715"/>
      <c r="AA4" s="715"/>
      <c r="AB4" s="715"/>
      <c r="AC4" s="715"/>
      <c r="AD4" s="715"/>
      <c r="AE4" s="715"/>
      <c r="AF4" s="715"/>
      <c r="AG4" s="715"/>
      <c r="AH4" s="715"/>
      <c r="AI4" s="715"/>
      <c r="AJ4" s="715"/>
      <c r="AK4" s="715"/>
      <c r="AL4" s="715"/>
      <c r="AM4" s="715"/>
      <c r="AN4" s="715"/>
      <c r="AO4" s="715"/>
      <c r="AP4" s="715"/>
      <c r="AQ4" s="715"/>
      <c r="AR4" s="715"/>
      <c r="AS4" s="715"/>
      <c r="AT4" s="715"/>
      <c r="AU4" s="715"/>
      <c r="AV4" s="715"/>
      <c r="AW4" s="715"/>
      <c r="AX4" s="715"/>
      <c r="AY4" s="715"/>
      <c r="AZ4" s="715"/>
      <c r="BA4" s="715"/>
      <c r="BB4" s="715"/>
      <c r="BC4" s="715"/>
      <c r="BD4" s="715"/>
      <c r="BE4" s="715"/>
      <c r="BF4" s="715"/>
      <c r="BG4" s="715"/>
      <c r="BH4" s="715"/>
      <c r="BI4" s="715"/>
      <c r="BJ4" s="715"/>
      <c r="BK4" s="715"/>
      <c r="BL4" s="715"/>
      <c r="BM4" s="715"/>
      <c r="BN4" s="715"/>
      <c r="BO4" s="715"/>
      <c r="BP4" s="715"/>
      <c r="BQ4" s="715"/>
      <c r="BR4" s="715"/>
      <c r="BS4" s="715"/>
      <c r="BT4" s="715"/>
      <c r="BU4" s="715"/>
      <c r="BV4" s="715"/>
      <c r="BW4" s="715"/>
      <c r="BX4" s="715"/>
      <c r="BY4" s="715"/>
      <c r="BZ4" s="715"/>
      <c r="CA4" s="715"/>
      <c r="CB4" s="715"/>
      <c r="CC4" s="715"/>
      <c r="CD4" s="715"/>
      <c r="CE4" s="715"/>
      <c r="CF4" s="715"/>
      <c r="CG4" s="715"/>
      <c r="CH4" s="715"/>
      <c r="CI4" s="715"/>
      <c r="CJ4" s="715"/>
      <c r="CK4" s="715"/>
      <c r="CL4" s="715"/>
      <c r="CM4" s="715"/>
      <c r="CN4" s="715"/>
      <c r="CO4" s="715"/>
      <c r="CP4" s="715"/>
      <c r="CQ4" s="715"/>
      <c r="CR4" s="715"/>
      <c r="CS4" s="715"/>
      <c r="CT4" s="715"/>
      <c r="CU4" s="715"/>
      <c r="CV4" s="715"/>
      <c r="CW4" s="715"/>
      <c r="CX4" s="715"/>
      <c r="CY4" s="715"/>
      <c r="CZ4" s="715"/>
      <c r="DA4" s="715"/>
      <c r="DB4" s="715"/>
      <c r="DC4" s="715"/>
      <c r="DD4" s="715"/>
      <c r="DE4" s="715"/>
      <c r="DF4" s="715"/>
      <c r="DG4" s="715"/>
      <c r="DH4" s="715"/>
      <c r="DI4" s="715"/>
      <c r="DJ4" s="715"/>
      <c r="DK4" s="715"/>
      <c r="DL4" s="715"/>
      <c r="DM4" s="715"/>
      <c r="DN4" s="715"/>
      <c r="DO4" s="715"/>
      <c r="DP4" s="715"/>
      <c r="DQ4" s="715"/>
      <c r="DR4" s="715"/>
      <c r="DS4" s="715"/>
      <c r="DT4" s="715"/>
      <c r="DU4" s="715"/>
      <c r="DV4" s="715"/>
      <c r="DW4" s="715"/>
      <c r="DX4" s="715"/>
      <c r="DY4" s="715"/>
      <c r="DZ4" s="715"/>
      <c r="EA4" s="715"/>
      <c r="EB4" s="715"/>
      <c r="EC4" s="715"/>
      <c r="ED4" s="715"/>
      <c r="EE4" s="715"/>
      <c r="EF4" s="715"/>
      <c r="EG4" s="715"/>
      <c r="EH4" s="715"/>
      <c r="EI4" s="715"/>
      <c r="EJ4" s="715"/>
      <c r="EK4" s="715"/>
      <c r="EL4" s="715"/>
      <c r="EM4" s="715"/>
      <c r="EN4" s="715"/>
      <c r="EO4" s="715"/>
      <c r="EP4" s="715"/>
      <c r="EQ4" s="715"/>
      <c r="ER4" s="715"/>
      <c r="ES4" s="715"/>
      <c r="ET4" s="715"/>
      <c r="EU4" s="715"/>
      <c r="EV4" s="715"/>
      <c r="EW4" s="715"/>
      <c r="EX4" s="715"/>
      <c r="EY4" s="715"/>
      <c r="EZ4" s="715"/>
      <c r="FA4" s="715"/>
      <c r="FB4" s="715"/>
      <c r="FC4" s="715"/>
      <c r="FD4" s="715"/>
      <c r="FE4" s="715"/>
      <c r="FF4" s="715"/>
      <c r="FG4" s="715"/>
      <c r="FH4" s="715"/>
      <c r="FI4" s="715"/>
      <c r="FJ4" s="715"/>
      <c r="FK4" s="715"/>
      <c r="FL4" s="715"/>
      <c r="FM4" s="715"/>
      <c r="FN4" s="715"/>
      <c r="FO4" s="715"/>
      <c r="FP4" s="715"/>
      <c r="FQ4" s="715"/>
      <c r="FR4" s="715"/>
      <c r="FS4" s="715"/>
      <c r="FT4" s="715"/>
      <c r="FU4" s="715"/>
      <c r="FV4" s="715"/>
      <c r="FW4" s="715"/>
      <c r="FX4" s="715"/>
      <c r="FY4" s="715"/>
      <c r="FZ4" s="715"/>
      <c r="GA4" s="715"/>
      <c r="GB4" s="715"/>
      <c r="GC4" s="715"/>
      <c r="GD4" s="715"/>
      <c r="GE4" s="715"/>
      <c r="GF4" s="715"/>
      <c r="GG4" s="715"/>
      <c r="GH4" s="715"/>
      <c r="GI4" s="715"/>
      <c r="GJ4" s="715"/>
      <c r="GK4" s="715"/>
      <c r="GL4" s="715"/>
      <c r="GM4" s="715"/>
      <c r="GN4" s="715"/>
      <c r="GO4" s="715"/>
      <c r="GP4" s="715"/>
      <c r="GQ4" s="715"/>
      <c r="GR4" s="715"/>
      <c r="GS4" s="715"/>
      <c r="GT4" s="715"/>
      <c r="GU4" s="715"/>
      <c r="GV4" s="715"/>
      <c r="GW4" s="715"/>
      <c r="GX4" s="715"/>
      <c r="GY4" s="715"/>
      <c r="GZ4" s="715"/>
      <c r="HA4" s="715"/>
      <c r="HB4" s="715"/>
      <c r="HC4" s="715"/>
      <c r="HD4" s="715"/>
      <c r="HE4" s="715"/>
      <c r="HF4" s="715"/>
      <c r="HG4" s="715"/>
      <c r="HH4" s="715"/>
      <c r="HI4" s="715"/>
      <c r="HJ4" s="715"/>
      <c r="HK4" s="715"/>
      <c r="HL4" s="715"/>
      <c r="HM4" s="715"/>
      <c r="HN4" s="715"/>
      <c r="HO4" s="715"/>
      <c r="HP4" s="715"/>
      <c r="HQ4" s="715"/>
      <c r="HR4" s="715"/>
      <c r="HS4" s="715"/>
      <c r="HT4" s="715"/>
      <c r="HU4" s="715"/>
      <c r="HV4" s="715"/>
      <c r="HW4" s="715"/>
      <c r="HX4" s="715"/>
      <c r="HY4" s="715"/>
      <c r="HZ4" s="715"/>
      <c r="IA4" s="715"/>
      <c r="IB4" s="715"/>
      <c r="IC4" s="715"/>
      <c r="ID4" s="715"/>
      <c r="IE4" s="715"/>
      <c r="IF4" s="715"/>
      <c r="IG4" s="715"/>
      <c r="IH4" s="715"/>
      <c r="II4" s="715"/>
      <c r="IJ4" s="715"/>
      <c r="IK4" s="715"/>
      <c r="IL4" s="715"/>
      <c r="IM4" s="715"/>
      <c r="IN4" s="715"/>
      <c r="IO4" s="715"/>
      <c r="IP4" s="715"/>
      <c r="IQ4" s="715"/>
      <c r="IR4" s="715"/>
      <c r="IS4" s="715"/>
      <c r="IT4" s="715"/>
      <c r="IU4" s="715"/>
      <c r="IV4" s="715"/>
      <c r="IW4" s="715"/>
    </row>
    <row r="5" customFormat="false" ht="21" hidden="false" customHeight="true" outlineLevel="0" collapsed="false">
      <c r="A5" s="798" t="inlineStr">
        <is>
          <t xml:space="preserve">9-D-022</t>
        </is>
      </c>
      <c r="B5" s="746" t="inlineStr">
        <is>
          <t xml:space="preserve">○ 수동식 기동장치 작동표시 표시등 설치 및 정상 작동 여부</t>
        </is>
      </c>
      <c r="C5" s="816"/>
      <c r="D5" s="715"/>
      <c r="E5" s="715"/>
      <c r="F5" s="715"/>
      <c r="G5" s="715"/>
      <c r="H5" s="715"/>
      <c r="I5" s="715"/>
      <c r="J5" s="715"/>
      <c r="K5" s="715"/>
      <c r="L5" s="715"/>
      <c r="M5" s="715"/>
      <c r="N5" s="715"/>
      <c r="O5" s="715"/>
      <c r="P5" s="715"/>
      <c r="Q5" s="715"/>
      <c r="R5" s="715"/>
      <c r="S5" s="715"/>
      <c r="T5" s="715"/>
      <c r="U5" s="715"/>
      <c r="V5" s="715"/>
      <c r="W5" s="715"/>
      <c r="X5" s="715"/>
      <c r="Y5" s="715"/>
      <c r="Z5" s="715"/>
      <c r="AA5" s="715"/>
      <c r="AB5" s="715"/>
      <c r="AC5" s="715"/>
      <c r="AD5" s="715"/>
      <c r="AE5" s="715"/>
      <c r="AF5" s="715"/>
      <c r="AG5" s="715"/>
      <c r="AH5" s="715"/>
      <c r="AI5" s="715"/>
      <c r="AJ5" s="715"/>
      <c r="AK5" s="715"/>
      <c r="AL5" s="715"/>
      <c r="AM5" s="715"/>
      <c r="AN5" s="715"/>
      <c r="AO5" s="715"/>
      <c r="AP5" s="715"/>
      <c r="AQ5" s="715"/>
      <c r="AR5" s="715"/>
      <c r="AS5" s="715"/>
      <c r="AT5" s="715"/>
      <c r="AU5" s="715"/>
      <c r="AV5" s="715"/>
      <c r="AW5" s="715"/>
      <c r="AX5" s="715"/>
      <c r="AY5" s="715"/>
      <c r="AZ5" s="715"/>
      <c r="BA5" s="715"/>
      <c r="BB5" s="715"/>
      <c r="BC5" s="715"/>
      <c r="BD5" s="715"/>
      <c r="BE5" s="715"/>
      <c r="BF5" s="715"/>
      <c r="BG5" s="715"/>
      <c r="BH5" s="715"/>
      <c r="BI5" s="715"/>
      <c r="BJ5" s="715"/>
      <c r="BK5" s="715"/>
      <c r="BL5" s="715"/>
      <c r="BM5" s="715"/>
      <c r="BN5" s="715"/>
      <c r="BO5" s="715"/>
      <c r="BP5" s="715"/>
      <c r="BQ5" s="715"/>
      <c r="BR5" s="715"/>
      <c r="BS5" s="715"/>
      <c r="BT5" s="715"/>
      <c r="BU5" s="715"/>
      <c r="BV5" s="715"/>
      <c r="BW5" s="715"/>
      <c r="BX5" s="715"/>
      <c r="BY5" s="715"/>
      <c r="BZ5" s="715"/>
      <c r="CA5" s="715"/>
      <c r="CB5" s="715"/>
      <c r="CC5" s="715"/>
      <c r="CD5" s="715"/>
      <c r="CE5" s="715"/>
      <c r="CF5" s="715"/>
      <c r="CG5" s="715"/>
      <c r="CH5" s="715"/>
      <c r="CI5" s="715"/>
      <c r="CJ5" s="715"/>
      <c r="CK5" s="715"/>
      <c r="CL5" s="715"/>
      <c r="CM5" s="715"/>
      <c r="CN5" s="715"/>
      <c r="CO5" s="715"/>
      <c r="CP5" s="715"/>
      <c r="CQ5" s="715"/>
      <c r="CR5" s="715"/>
      <c r="CS5" s="715"/>
      <c r="CT5" s="715"/>
      <c r="CU5" s="715"/>
      <c r="CV5" s="715"/>
      <c r="CW5" s="715"/>
      <c r="CX5" s="715"/>
      <c r="CY5" s="715"/>
      <c r="CZ5" s="715"/>
      <c r="DA5" s="715"/>
      <c r="DB5" s="715"/>
      <c r="DC5" s="715"/>
      <c r="DD5" s="715"/>
      <c r="DE5" s="715"/>
      <c r="DF5" s="715"/>
      <c r="DG5" s="715"/>
      <c r="DH5" s="715"/>
      <c r="DI5" s="715"/>
      <c r="DJ5" s="715"/>
      <c r="DK5" s="715"/>
      <c r="DL5" s="715"/>
      <c r="DM5" s="715"/>
      <c r="DN5" s="715"/>
      <c r="DO5" s="715"/>
      <c r="DP5" s="715"/>
      <c r="DQ5" s="715"/>
      <c r="DR5" s="715"/>
      <c r="DS5" s="715"/>
      <c r="DT5" s="715"/>
      <c r="DU5" s="715"/>
      <c r="DV5" s="715"/>
      <c r="DW5" s="715"/>
      <c r="DX5" s="715"/>
      <c r="DY5" s="715"/>
      <c r="DZ5" s="715"/>
      <c r="EA5" s="715"/>
      <c r="EB5" s="715"/>
      <c r="EC5" s="715"/>
      <c r="ED5" s="715"/>
      <c r="EE5" s="715"/>
      <c r="EF5" s="715"/>
      <c r="EG5" s="715"/>
      <c r="EH5" s="715"/>
      <c r="EI5" s="715"/>
      <c r="EJ5" s="715"/>
      <c r="EK5" s="715"/>
      <c r="EL5" s="715"/>
      <c r="EM5" s="715"/>
      <c r="EN5" s="715"/>
      <c r="EO5" s="715"/>
      <c r="EP5" s="715"/>
      <c r="EQ5" s="715"/>
      <c r="ER5" s="715"/>
      <c r="ES5" s="715"/>
      <c r="ET5" s="715"/>
      <c r="EU5" s="715"/>
      <c r="EV5" s="715"/>
      <c r="EW5" s="715"/>
      <c r="EX5" s="715"/>
      <c r="EY5" s="715"/>
      <c r="EZ5" s="715"/>
      <c r="FA5" s="715"/>
      <c r="FB5" s="715"/>
      <c r="FC5" s="715"/>
      <c r="FD5" s="715"/>
      <c r="FE5" s="715"/>
      <c r="FF5" s="715"/>
      <c r="FG5" s="715"/>
      <c r="FH5" s="715"/>
      <c r="FI5" s="715"/>
      <c r="FJ5" s="715"/>
      <c r="FK5" s="715"/>
      <c r="FL5" s="715"/>
      <c r="FM5" s="715"/>
      <c r="FN5" s="715"/>
      <c r="FO5" s="715"/>
      <c r="FP5" s="715"/>
      <c r="FQ5" s="715"/>
      <c r="FR5" s="715"/>
      <c r="FS5" s="715"/>
      <c r="FT5" s="715"/>
      <c r="FU5" s="715"/>
      <c r="FV5" s="715"/>
      <c r="FW5" s="715"/>
      <c r="FX5" s="715"/>
      <c r="FY5" s="715"/>
      <c r="FZ5" s="715"/>
      <c r="GA5" s="715"/>
      <c r="GB5" s="715"/>
      <c r="GC5" s="715"/>
      <c r="GD5" s="715"/>
      <c r="GE5" s="715"/>
      <c r="GF5" s="715"/>
      <c r="GG5" s="715"/>
      <c r="GH5" s="715"/>
      <c r="GI5" s="715"/>
      <c r="GJ5" s="715"/>
      <c r="GK5" s="715"/>
      <c r="GL5" s="715"/>
      <c r="GM5" s="715"/>
      <c r="GN5" s="715"/>
      <c r="GO5" s="715"/>
      <c r="GP5" s="715"/>
      <c r="GQ5" s="715"/>
      <c r="GR5" s="715"/>
      <c r="GS5" s="715"/>
      <c r="GT5" s="715"/>
      <c r="GU5" s="715"/>
      <c r="GV5" s="715"/>
      <c r="GW5" s="715"/>
      <c r="GX5" s="715"/>
      <c r="GY5" s="715"/>
      <c r="GZ5" s="715"/>
      <c r="HA5" s="715"/>
      <c r="HB5" s="715"/>
      <c r="HC5" s="715"/>
      <c r="HD5" s="715"/>
      <c r="HE5" s="715"/>
      <c r="HF5" s="715"/>
      <c r="HG5" s="715"/>
      <c r="HH5" s="715"/>
      <c r="HI5" s="715"/>
      <c r="HJ5" s="715"/>
      <c r="HK5" s="715"/>
      <c r="HL5" s="715"/>
      <c r="HM5" s="715"/>
      <c r="HN5" s="715"/>
      <c r="HO5" s="715"/>
      <c r="HP5" s="715"/>
      <c r="HQ5" s="715"/>
      <c r="HR5" s="715"/>
      <c r="HS5" s="715"/>
      <c r="HT5" s="715"/>
      <c r="HU5" s="715"/>
      <c r="HV5" s="715"/>
      <c r="HW5" s="715"/>
      <c r="HX5" s="715"/>
      <c r="HY5" s="715"/>
      <c r="HZ5" s="715"/>
      <c r="IA5" s="715"/>
      <c r="IB5" s="715"/>
      <c r="IC5" s="715"/>
      <c r="ID5" s="715"/>
      <c r="IE5" s="715"/>
      <c r="IF5" s="715"/>
      <c r="IG5" s="715"/>
      <c r="IH5" s="715"/>
      <c r="II5" s="715"/>
      <c r="IJ5" s="715"/>
      <c r="IK5" s="715"/>
      <c r="IL5" s="715"/>
      <c r="IM5" s="715"/>
      <c r="IN5" s="715"/>
      <c r="IO5" s="715"/>
      <c r="IP5" s="715"/>
      <c r="IQ5" s="715"/>
      <c r="IR5" s="715"/>
      <c r="IS5" s="715"/>
      <c r="IT5" s="715"/>
      <c r="IU5" s="715"/>
      <c r="IV5" s="715"/>
      <c r="IW5" s="715"/>
    </row>
    <row r="6" customFormat="false" ht="21" hidden="false" customHeight="true" outlineLevel="0" collapsed="false">
      <c r="A6" s="798" t="inlineStr">
        <is>
          <t xml:space="preserve">9-D-023</t>
        </is>
      </c>
      <c r="B6" s="746" t="inlineStr">
        <is>
          <t xml:space="preserve">○ 소화약제 방출표시등 설치 및 정상 작동 여부</t>
        </is>
      </c>
      <c r="C6" s="816"/>
      <c r="D6" s="715"/>
      <c r="E6" s="715"/>
      <c r="F6" s="715"/>
      <c r="G6" s="715"/>
      <c r="H6" s="715"/>
      <c r="I6" s="715"/>
      <c r="J6" s="715"/>
      <c r="K6" s="715"/>
      <c r="L6" s="715"/>
      <c r="M6" s="715"/>
      <c r="N6" s="715"/>
      <c r="O6" s="715"/>
      <c r="P6" s="715"/>
      <c r="Q6" s="715"/>
      <c r="R6" s="715"/>
      <c r="S6" s="715"/>
      <c r="T6" s="715"/>
      <c r="U6" s="715"/>
      <c r="V6" s="715"/>
      <c r="W6" s="715"/>
      <c r="X6" s="715"/>
      <c r="Y6" s="715"/>
      <c r="Z6" s="715"/>
      <c r="AA6" s="715"/>
      <c r="AB6" s="715"/>
      <c r="AC6" s="715"/>
      <c r="AD6" s="715"/>
      <c r="AE6" s="715"/>
      <c r="AF6" s="715"/>
      <c r="AG6" s="715"/>
      <c r="AH6" s="715"/>
      <c r="AI6" s="715"/>
      <c r="AJ6" s="715"/>
      <c r="AK6" s="715"/>
      <c r="AL6" s="715"/>
      <c r="AM6" s="715"/>
      <c r="AN6" s="715"/>
      <c r="AO6" s="715"/>
      <c r="AP6" s="715"/>
      <c r="AQ6" s="715"/>
      <c r="AR6" s="715"/>
      <c r="AS6" s="715"/>
      <c r="AT6" s="715"/>
      <c r="AU6" s="715"/>
      <c r="AV6" s="715"/>
      <c r="AW6" s="715"/>
      <c r="AX6" s="715"/>
      <c r="AY6" s="715"/>
      <c r="AZ6" s="715"/>
      <c r="BA6" s="715"/>
      <c r="BB6" s="715"/>
      <c r="BC6" s="715"/>
      <c r="BD6" s="715"/>
      <c r="BE6" s="715"/>
      <c r="BF6" s="715"/>
      <c r="BG6" s="715"/>
      <c r="BH6" s="715"/>
      <c r="BI6" s="715"/>
      <c r="BJ6" s="715"/>
      <c r="BK6" s="715"/>
      <c r="BL6" s="715"/>
      <c r="BM6" s="715"/>
      <c r="BN6" s="715"/>
      <c r="BO6" s="715"/>
      <c r="BP6" s="715"/>
      <c r="BQ6" s="715"/>
      <c r="BR6" s="715"/>
      <c r="BS6" s="715"/>
      <c r="BT6" s="715"/>
      <c r="BU6" s="715"/>
      <c r="BV6" s="715"/>
      <c r="BW6" s="715"/>
      <c r="BX6" s="715"/>
      <c r="BY6" s="715"/>
      <c r="BZ6" s="715"/>
      <c r="CA6" s="715"/>
      <c r="CB6" s="715"/>
      <c r="CC6" s="715"/>
      <c r="CD6" s="715"/>
      <c r="CE6" s="715"/>
      <c r="CF6" s="715"/>
      <c r="CG6" s="715"/>
      <c r="CH6" s="715"/>
      <c r="CI6" s="715"/>
      <c r="CJ6" s="715"/>
      <c r="CK6" s="715"/>
      <c r="CL6" s="715"/>
      <c r="CM6" s="715"/>
      <c r="CN6" s="715"/>
      <c r="CO6" s="715"/>
      <c r="CP6" s="715"/>
      <c r="CQ6" s="715"/>
      <c r="CR6" s="715"/>
      <c r="CS6" s="715"/>
      <c r="CT6" s="715"/>
      <c r="CU6" s="715"/>
      <c r="CV6" s="715"/>
      <c r="CW6" s="715"/>
      <c r="CX6" s="715"/>
      <c r="CY6" s="715"/>
      <c r="CZ6" s="715"/>
      <c r="DA6" s="715"/>
      <c r="DB6" s="715"/>
      <c r="DC6" s="715"/>
      <c r="DD6" s="715"/>
      <c r="DE6" s="715"/>
      <c r="DF6" s="715"/>
      <c r="DG6" s="715"/>
      <c r="DH6" s="715"/>
      <c r="DI6" s="715"/>
      <c r="DJ6" s="715"/>
      <c r="DK6" s="715"/>
      <c r="DL6" s="715"/>
      <c r="DM6" s="715"/>
      <c r="DN6" s="715"/>
      <c r="DO6" s="715"/>
      <c r="DP6" s="715"/>
      <c r="DQ6" s="715"/>
      <c r="DR6" s="715"/>
      <c r="DS6" s="715"/>
      <c r="DT6" s="715"/>
      <c r="DU6" s="715"/>
      <c r="DV6" s="715"/>
      <c r="DW6" s="715"/>
      <c r="DX6" s="715"/>
      <c r="DY6" s="715"/>
      <c r="DZ6" s="715"/>
      <c r="EA6" s="715"/>
      <c r="EB6" s="715"/>
      <c r="EC6" s="715"/>
      <c r="ED6" s="715"/>
      <c r="EE6" s="715"/>
      <c r="EF6" s="715"/>
      <c r="EG6" s="715"/>
      <c r="EH6" s="715"/>
      <c r="EI6" s="715"/>
      <c r="EJ6" s="715"/>
      <c r="EK6" s="715"/>
      <c r="EL6" s="715"/>
      <c r="EM6" s="715"/>
      <c r="EN6" s="715"/>
      <c r="EO6" s="715"/>
      <c r="EP6" s="715"/>
      <c r="EQ6" s="715"/>
      <c r="ER6" s="715"/>
      <c r="ES6" s="715"/>
      <c r="ET6" s="715"/>
      <c r="EU6" s="715"/>
      <c r="EV6" s="715"/>
      <c r="EW6" s="715"/>
      <c r="EX6" s="715"/>
      <c r="EY6" s="715"/>
      <c r="EZ6" s="715"/>
      <c r="FA6" s="715"/>
      <c r="FB6" s="715"/>
      <c r="FC6" s="715"/>
      <c r="FD6" s="715"/>
      <c r="FE6" s="715"/>
      <c r="FF6" s="715"/>
      <c r="FG6" s="715"/>
      <c r="FH6" s="715"/>
      <c r="FI6" s="715"/>
      <c r="FJ6" s="715"/>
      <c r="FK6" s="715"/>
      <c r="FL6" s="715"/>
      <c r="FM6" s="715"/>
      <c r="FN6" s="715"/>
      <c r="FO6" s="715"/>
      <c r="FP6" s="715"/>
      <c r="FQ6" s="715"/>
      <c r="FR6" s="715"/>
      <c r="FS6" s="715"/>
      <c r="FT6" s="715"/>
      <c r="FU6" s="715"/>
      <c r="FV6" s="715"/>
      <c r="FW6" s="715"/>
      <c r="FX6" s="715"/>
      <c r="FY6" s="715"/>
      <c r="FZ6" s="715"/>
      <c r="GA6" s="715"/>
      <c r="GB6" s="715"/>
      <c r="GC6" s="715"/>
      <c r="GD6" s="715"/>
      <c r="GE6" s="715"/>
      <c r="GF6" s="715"/>
      <c r="GG6" s="715"/>
      <c r="GH6" s="715"/>
      <c r="GI6" s="715"/>
      <c r="GJ6" s="715"/>
      <c r="GK6" s="715"/>
      <c r="GL6" s="715"/>
      <c r="GM6" s="715"/>
      <c r="GN6" s="715"/>
      <c r="GO6" s="715"/>
      <c r="GP6" s="715"/>
      <c r="GQ6" s="715"/>
      <c r="GR6" s="715"/>
      <c r="GS6" s="715"/>
      <c r="GT6" s="715"/>
      <c r="GU6" s="715"/>
      <c r="GV6" s="715"/>
      <c r="GW6" s="715"/>
      <c r="GX6" s="715"/>
      <c r="GY6" s="715"/>
      <c r="GZ6" s="715"/>
      <c r="HA6" s="715"/>
      <c r="HB6" s="715"/>
      <c r="HC6" s="715"/>
      <c r="HD6" s="715"/>
      <c r="HE6" s="715"/>
      <c r="HF6" s="715"/>
      <c r="HG6" s="715"/>
      <c r="HH6" s="715"/>
      <c r="HI6" s="715"/>
      <c r="HJ6" s="715"/>
      <c r="HK6" s="715"/>
      <c r="HL6" s="715"/>
      <c r="HM6" s="715"/>
      <c r="HN6" s="715"/>
      <c r="HO6" s="715"/>
      <c r="HP6" s="715"/>
      <c r="HQ6" s="715"/>
      <c r="HR6" s="715"/>
      <c r="HS6" s="715"/>
      <c r="HT6" s="715"/>
      <c r="HU6" s="715"/>
      <c r="HV6" s="715"/>
      <c r="HW6" s="715"/>
      <c r="HX6" s="715"/>
      <c r="HY6" s="715"/>
      <c r="HZ6" s="715"/>
      <c r="IA6" s="715"/>
      <c r="IB6" s="715"/>
      <c r="IC6" s="715"/>
      <c r="ID6" s="715"/>
      <c r="IE6" s="715"/>
      <c r="IF6" s="715"/>
      <c r="IG6" s="715"/>
      <c r="IH6" s="715"/>
      <c r="II6" s="715"/>
      <c r="IJ6" s="715"/>
      <c r="IK6" s="715"/>
      <c r="IL6" s="715"/>
      <c r="IM6" s="715"/>
      <c r="IN6" s="715"/>
      <c r="IO6" s="715"/>
      <c r="IP6" s="715"/>
      <c r="IQ6" s="715"/>
      <c r="IR6" s="715"/>
      <c r="IS6" s="715"/>
      <c r="IT6" s="715"/>
      <c r="IU6" s="715"/>
      <c r="IV6" s="715"/>
      <c r="IW6" s="715"/>
    </row>
    <row r="7" customFormat="false" ht="21" hidden="false" customHeight="true" outlineLevel="0" collapsed="false">
      <c r="A7" s="799" t="inlineStr">
        <is>
          <t xml:space="preserve">9-D-024</t>
        </is>
      </c>
      <c r="B7" s="800" t="inlineStr">
        <is>
          <t xml:space="preserve">● 자동식기동장치 자동·수동 절환 및 절환표시등 설치 및 정상 작동 여부</t>
        </is>
      </c>
      <c r="C7" s="816"/>
      <c r="D7" s="715"/>
      <c r="E7" s="715"/>
      <c r="F7" s="715"/>
      <c r="G7" s="715"/>
      <c r="H7" s="715"/>
      <c r="I7" s="715"/>
      <c r="J7" s="715"/>
      <c r="K7" s="715"/>
      <c r="L7" s="715"/>
      <c r="M7" s="715"/>
      <c r="N7" s="715"/>
      <c r="O7" s="715"/>
      <c r="P7" s="715"/>
      <c r="Q7" s="715"/>
      <c r="R7" s="715"/>
      <c r="S7" s="715"/>
      <c r="T7" s="715"/>
      <c r="U7" s="715"/>
      <c r="V7" s="715"/>
      <c r="W7" s="715"/>
      <c r="X7" s="715"/>
      <c r="Y7" s="715"/>
      <c r="Z7" s="715"/>
      <c r="AA7" s="715"/>
      <c r="AB7" s="715"/>
      <c r="AC7" s="715"/>
      <c r="AD7" s="715"/>
      <c r="AE7" s="715"/>
      <c r="AF7" s="715"/>
      <c r="AG7" s="715"/>
      <c r="AH7" s="715"/>
      <c r="AI7" s="715"/>
      <c r="AJ7" s="715"/>
      <c r="AK7" s="715"/>
      <c r="AL7" s="715"/>
      <c r="AM7" s="715"/>
      <c r="AN7" s="715"/>
      <c r="AO7" s="715"/>
      <c r="AP7" s="715"/>
      <c r="AQ7" s="715"/>
      <c r="AR7" s="715"/>
      <c r="AS7" s="715"/>
      <c r="AT7" s="715"/>
      <c r="AU7" s="715"/>
      <c r="AV7" s="715"/>
      <c r="AW7" s="715"/>
      <c r="AX7" s="715"/>
      <c r="AY7" s="715"/>
      <c r="AZ7" s="715"/>
      <c r="BA7" s="715"/>
      <c r="BB7" s="715"/>
      <c r="BC7" s="715"/>
      <c r="BD7" s="715"/>
      <c r="BE7" s="715"/>
      <c r="BF7" s="715"/>
      <c r="BG7" s="715"/>
      <c r="BH7" s="715"/>
      <c r="BI7" s="715"/>
      <c r="BJ7" s="715"/>
      <c r="BK7" s="715"/>
      <c r="BL7" s="715"/>
      <c r="BM7" s="715"/>
      <c r="BN7" s="715"/>
      <c r="BO7" s="715"/>
      <c r="BP7" s="715"/>
      <c r="BQ7" s="715"/>
      <c r="BR7" s="715"/>
      <c r="BS7" s="715"/>
      <c r="BT7" s="715"/>
      <c r="BU7" s="715"/>
      <c r="BV7" s="715"/>
      <c r="BW7" s="715"/>
      <c r="BX7" s="715"/>
      <c r="BY7" s="715"/>
      <c r="BZ7" s="715"/>
      <c r="CA7" s="715"/>
      <c r="CB7" s="715"/>
      <c r="CC7" s="715"/>
      <c r="CD7" s="715"/>
      <c r="CE7" s="715"/>
      <c r="CF7" s="715"/>
      <c r="CG7" s="715"/>
      <c r="CH7" s="715"/>
      <c r="CI7" s="715"/>
      <c r="CJ7" s="715"/>
      <c r="CK7" s="715"/>
      <c r="CL7" s="715"/>
      <c r="CM7" s="715"/>
      <c r="CN7" s="715"/>
      <c r="CO7" s="715"/>
      <c r="CP7" s="715"/>
      <c r="CQ7" s="715"/>
      <c r="CR7" s="715"/>
      <c r="CS7" s="715"/>
      <c r="CT7" s="715"/>
      <c r="CU7" s="715"/>
      <c r="CV7" s="715"/>
      <c r="CW7" s="715"/>
      <c r="CX7" s="715"/>
      <c r="CY7" s="715"/>
      <c r="CZ7" s="715"/>
      <c r="DA7" s="715"/>
      <c r="DB7" s="715"/>
      <c r="DC7" s="715"/>
      <c r="DD7" s="715"/>
      <c r="DE7" s="715"/>
      <c r="DF7" s="715"/>
      <c r="DG7" s="715"/>
      <c r="DH7" s="715"/>
      <c r="DI7" s="715"/>
      <c r="DJ7" s="715"/>
      <c r="DK7" s="715"/>
      <c r="DL7" s="715"/>
      <c r="DM7" s="715"/>
      <c r="DN7" s="715"/>
      <c r="DO7" s="715"/>
      <c r="DP7" s="715"/>
      <c r="DQ7" s="715"/>
      <c r="DR7" s="715"/>
      <c r="DS7" s="715"/>
      <c r="DT7" s="715"/>
      <c r="DU7" s="715"/>
      <c r="DV7" s="715"/>
      <c r="DW7" s="715"/>
      <c r="DX7" s="715"/>
      <c r="DY7" s="715"/>
      <c r="DZ7" s="715"/>
      <c r="EA7" s="715"/>
      <c r="EB7" s="715"/>
      <c r="EC7" s="715"/>
      <c r="ED7" s="715"/>
      <c r="EE7" s="715"/>
      <c r="EF7" s="715"/>
      <c r="EG7" s="715"/>
      <c r="EH7" s="715"/>
      <c r="EI7" s="715"/>
      <c r="EJ7" s="715"/>
      <c r="EK7" s="715"/>
      <c r="EL7" s="715"/>
      <c r="EM7" s="715"/>
      <c r="EN7" s="715"/>
      <c r="EO7" s="715"/>
      <c r="EP7" s="715"/>
      <c r="EQ7" s="715"/>
      <c r="ER7" s="715"/>
      <c r="ES7" s="715"/>
      <c r="ET7" s="715"/>
      <c r="EU7" s="715"/>
      <c r="EV7" s="715"/>
      <c r="EW7" s="715"/>
      <c r="EX7" s="715"/>
      <c r="EY7" s="715"/>
      <c r="EZ7" s="715"/>
      <c r="FA7" s="715"/>
      <c r="FB7" s="715"/>
      <c r="FC7" s="715"/>
      <c r="FD7" s="715"/>
      <c r="FE7" s="715"/>
      <c r="FF7" s="715"/>
      <c r="FG7" s="715"/>
      <c r="FH7" s="715"/>
      <c r="FI7" s="715"/>
      <c r="FJ7" s="715"/>
      <c r="FK7" s="715"/>
      <c r="FL7" s="715"/>
      <c r="FM7" s="715"/>
      <c r="FN7" s="715"/>
      <c r="FO7" s="715"/>
      <c r="FP7" s="715"/>
      <c r="FQ7" s="715"/>
      <c r="FR7" s="715"/>
      <c r="FS7" s="715"/>
      <c r="FT7" s="715"/>
      <c r="FU7" s="715"/>
      <c r="FV7" s="715"/>
      <c r="FW7" s="715"/>
      <c r="FX7" s="715"/>
      <c r="FY7" s="715"/>
      <c r="FZ7" s="715"/>
      <c r="GA7" s="715"/>
      <c r="GB7" s="715"/>
      <c r="GC7" s="715"/>
      <c r="GD7" s="715"/>
      <c r="GE7" s="715"/>
      <c r="GF7" s="715"/>
      <c r="GG7" s="715"/>
      <c r="GH7" s="715"/>
      <c r="GI7" s="715"/>
      <c r="GJ7" s="715"/>
      <c r="GK7" s="715"/>
      <c r="GL7" s="715"/>
      <c r="GM7" s="715"/>
      <c r="GN7" s="715"/>
      <c r="GO7" s="715"/>
      <c r="GP7" s="715"/>
      <c r="GQ7" s="715"/>
      <c r="GR7" s="715"/>
      <c r="GS7" s="715"/>
      <c r="GT7" s="715"/>
      <c r="GU7" s="715"/>
      <c r="GV7" s="715"/>
      <c r="GW7" s="715"/>
      <c r="GX7" s="715"/>
      <c r="GY7" s="715"/>
      <c r="GZ7" s="715"/>
      <c r="HA7" s="715"/>
      <c r="HB7" s="715"/>
      <c r="HC7" s="715"/>
      <c r="HD7" s="715"/>
      <c r="HE7" s="715"/>
      <c r="HF7" s="715"/>
      <c r="HG7" s="715"/>
      <c r="HH7" s="715"/>
      <c r="HI7" s="715"/>
      <c r="HJ7" s="715"/>
      <c r="HK7" s="715"/>
      <c r="HL7" s="715"/>
      <c r="HM7" s="715"/>
      <c r="HN7" s="715"/>
      <c r="HO7" s="715"/>
      <c r="HP7" s="715"/>
      <c r="HQ7" s="715"/>
      <c r="HR7" s="715"/>
      <c r="HS7" s="715"/>
      <c r="HT7" s="715"/>
      <c r="HU7" s="715"/>
      <c r="HV7" s="715"/>
      <c r="HW7" s="715"/>
      <c r="HX7" s="715"/>
      <c r="HY7" s="715"/>
      <c r="HZ7" s="715"/>
      <c r="IA7" s="715"/>
      <c r="IB7" s="715"/>
      <c r="IC7" s="715"/>
      <c r="ID7" s="715"/>
      <c r="IE7" s="715"/>
      <c r="IF7" s="715"/>
      <c r="IG7" s="715"/>
      <c r="IH7" s="715"/>
      <c r="II7" s="715"/>
      <c r="IJ7" s="715"/>
      <c r="IK7" s="715"/>
      <c r="IL7" s="715"/>
      <c r="IM7" s="715"/>
      <c r="IN7" s="715"/>
      <c r="IO7" s="715"/>
      <c r="IP7" s="715"/>
      <c r="IQ7" s="715"/>
      <c r="IR7" s="715"/>
      <c r="IS7" s="715"/>
      <c r="IT7" s="715"/>
      <c r="IU7" s="715"/>
      <c r="IV7" s="715"/>
      <c r="IW7" s="715"/>
    </row>
    <row r="8" customFormat="false" ht="24" hidden="false" customHeight="true" outlineLevel="0" collapsed="false">
      <c r="A8" s="818" t="inlineStr">
        <is>
          <t xml:space="preserve"> 9-E. 배관 등</t>
        </is>
      </c>
      <c r="B8" s="818"/>
      <c r="C8" s="818"/>
      <c r="G8" s="727" t="inlineStr">
        <is>
          <t xml:space="preserve">○</t>
        </is>
      </c>
    </row>
    <row r="9" customFormat="false" ht="21" hidden="false" customHeight="true" outlineLevel="0" collapsed="false">
      <c r="A9" s="795" t="inlineStr">
        <is>
          <t xml:space="preserve">9-E-001</t>
        </is>
      </c>
      <c r="B9" s="796" t="inlineStr">
        <is>
          <t xml:space="preserve">○ 배관의 변형·손상 유무</t>
        </is>
      </c>
      <c r="C9" s="816"/>
      <c r="D9" s="715"/>
      <c r="E9" s="715"/>
      <c r="F9" s="715"/>
      <c r="G9" s="727" t="inlineStr">
        <is>
          <t xml:space="preserve">/</t>
        </is>
      </c>
      <c r="H9" s="715"/>
      <c r="I9" s="715"/>
      <c r="J9" s="715"/>
      <c r="K9" s="715"/>
      <c r="L9" s="715"/>
      <c r="M9" s="715"/>
      <c r="N9" s="715"/>
      <c r="O9" s="715"/>
      <c r="P9" s="715"/>
      <c r="Q9" s="715"/>
      <c r="R9" s="715"/>
      <c r="S9" s="715"/>
      <c r="T9" s="715"/>
      <c r="U9" s="715"/>
      <c r="V9" s="715"/>
      <c r="W9" s="715"/>
      <c r="X9" s="715"/>
      <c r="Y9" s="715"/>
      <c r="Z9" s="715"/>
      <c r="AA9" s="715"/>
      <c r="AB9" s="715"/>
      <c r="AC9" s="715"/>
      <c r="AD9" s="715"/>
      <c r="AE9" s="715"/>
      <c r="AF9" s="715"/>
      <c r="AG9" s="715"/>
      <c r="AH9" s="715"/>
      <c r="AI9" s="715"/>
      <c r="AJ9" s="715"/>
      <c r="AK9" s="715"/>
      <c r="AL9" s="715"/>
      <c r="AM9" s="715"/>
      <c r="AN9" s="715"/>
      <c r="AO9" s="715"/>
      <c r="AP9" s="715"/>
      <c r="AQ9" s="715"/>
      <c r="AR9" s="715"/>
      <c r="AS9" s="715"/>
      <c r="AT9" s="715"/>
      <c r="AU9" s="715"/>
      <c r="AV9" s="715"/>
      <c r="AW9" s="715"/>
      <c r="AX9" s="715"/>
      <c r="AY9" s="715"/>
      <c r="AZ9" s="715"/>
      <c r="BA9" s="715"/>
      <c r="BB9" s="715"/>
      <c r="BC9" s="715"/>
      <c r="BD9" s="715"/>
      <c r="BE9" s="715"/>
      <c r="BF9" s="715"/>
      <c r="BG9" s="715"/>
      <c r="BH9" s="715"/>
      <c r="BI9" s="715"/>
      <c r="BJ9" s="715"/>
      <c r="BK9" s="715"/>
      <c r="BL9" s="715"/>
      <c r="BM9" s="715"/>
      <c r="BN9" s="715"/>
      <c r="BO9" s="715"/>
      <c r="BP9" s="715"/>
      <c r="BQ9" s="715"/>
      <c r="BR9" s="715"/>
      <c r="BS9" s="715"/>
      <c r="BT9" s="715"/>
      <c r="BU9" s="715"/>
      <c r="BV9" s="715"/>
      <c r="BW9" s="715"/>
      <c r="BX9" s="715"/>
      <c r="BY9" s="715"/>
      <c r="BZ9" s="715"/>
      <c r="CA9" s="715"/>
      <c r="CB9" s="715"/>
      <c r="CC9" s="715"/>
      <c r="CD9" s="715"/>
      <c r="CE9" s="715"/>
      <c r="CF9" s="715"/>
      <c r="CG9" s="715"/>
      <c r="CH9" s="715"/>
      <c r="CI9" s="715"/>
      <c r="CJ9" s="715"/>
      <c r="CK9" s="715"/>
      <c r="CL9" s="715"/>
      <c r="CM9" s="715"/>
      <c r="CN9" s="715"/>
      <c r="CO9" s="715"/>
      <c r="CP9" s="715"/>
      <c r="CQ9" s="715"/>
      <c r="CR9" s="715"/>
      <c r="CS9" s="715"/>
      <c r="CT9" s="715"/>
      <c r="CU9" s="715"/>
      <c r="CV9" s="715"/>
      <c r="CW9" s="715"/>
      <c r="CX9" s="715"/>
      <c r="CY9" s="715"/>
      <c r="CZ9" s="715"/>
      <c r="DA9" s="715"/>
      <c r="DB9" s="715"/>
      <c r="DC9" s="715"/>
      <c r="DD9" s="715"/>
      <c r="DE9" s="715"/>
      <c r="DF9" s="715"/>
      <c r="DG9" s="715"/>
      <c r="DH9" s="715"/>
      <c r="DI9" s="715"/>
      <c r="DJ9" s="715"/>
      <c r="DK9" s="715"/>
      <c r="DL9" s="715"/>
      <c r="DM9" s="715"/>
      <c r="DN9" s="715"/>
      <c r="DO9" s="715"/>
      <c r="DP9" s="715"/>
      <c r="DQ9" s="715"/>
      <c r="DR9" s="715"/>
      <c r="DS9" s="715"/>
      <c r="DT9" s="715"/>
      <c r="DU9" s="715"/>
      <c r="DV9" s="715"/>
      <c r="DW9" s="715"/>
      <c r="DX9" s="715"/>
      <c r="DY9" s="715"/>
      <c r="DZ9" s="715"/>
      <c r="EA9" s="715"/>
      <c r="EB9" s="715"/>
      <c r="EC9" s="715"/>
      <c r="ED9" s="715"/>
      <c r="EE9" s="715"/>
      <c r="EF9" s="715"/>
      <c r="EG9" s="715"/>
      <c r="EH9" s="715"/>
      <c r="EI9" s="715"/>
      <c r="EJ9" s="715"/>
      <c r="EK9" s="715"/>
      <c r="EL9" s="715"/>
      <c r="EM9" s="715"/>
      <c r="EN9" s="715"/>
      <c r="EO9" s="715"/>
      <c r="EP9" s="715"/>
      <c r="EQ9" s="715"/>
      <c r="ER9" s="715"/>
      <c r="ES9" s="715"/>
      <c r="ET9" s="715"/>
      <c r="EU9" s="715"/>
      <c r="EV9" s="715"/>
      <c r="EW9" s="715"/>
      <c r="EX9" s="715"/>
      <c r="EY9" s="715"/>
      <c r="EZ9" s="715"/>
      <c r="FA9" s="715"/>
      <c r="FB9" s="715"/>
      <c r="FC9" s="715"/>
      <c r="FD9" s="715"/>
      <c r="FE9" s="715"/>
      <c r="FF9" s="715"/>
      <c r="FG9" s="715"/>
      <c r="FH9" s="715"/>
      <c r="FI9" s="715"/>
      <c r="FJ9" s="715"/>
      <c r="FK9" s="715"/>
      <c r="FL9" s="715"/>
      <c r="FM9" s="715"/>
      <c r="FN9" s="715"/>
      <c r="FO9" s="715"/>
      <c r="FP9" s="715"/>
      <c r="FQ9" s="715"/>
      <c r="FR9" s="715"/>
      <c r="FS9" s="715"/>
      <c r="FT9" s="715"/>
      <c r="FU9" s="715"/>
      <c r="FV9" s="715"/>
      <c r="FW9" s="715"/>
      <c r="FX9" s="715"/>
      <c r="FY9" s="715"/>
      <c r="FZ9" s="715"/>
      <c r="GA9" s="715"/>
      <c r="GB9" s="715"/>
      <c r="GC9" s="715"/>
      <c r="GD9" s="715"/>
      <c r="GE9" s="715"/>
      <c r="GF9" s="715"/>
      <c r="GG9" s="715"/>
      <c r="GH9" s="715"/>
      <c r="GI9" s="715"/>
      <c r="GJ9" s="715"/>
      <c r="GK9" s="715"/>
      <c r="GL9" s="715"/>
      <c r="GM9" s="715"/>
      <c r="GN9" s="715"/>
      <c r="GO9" s="715"/>
      <c r="GP9" s="715"/>
      <c r="GQ9" s="715"/>
      <c r="GR9" s="715"/>
      <c r="GS9" s="715"/>
      <c r="GT9" s="715"/>
      <c r="GU9" s="715"/>
      <c r="GV9" s="715"/>
      <c r="GW9" s="715"/>
      <c r="GX9" s="715"/>
      <c r="GY9" s="715"/>
      <c r="GZ9" s="715"/>
      <c r="HA9" s="715"/>
      <c r="HB9" s="715"/>
      <c r="HC9" s="715"/>
      <c r="HD9" s="715"/>
      <c r="HE9" s="715"/>
      <c r="HF9" s="715"/>
      <c r="HG9" s="715"/>
      <c r="HH9" s="715"/>
      <c r="HI9" s="715"/>
      <c r="HJ9" s="715"/>
      <c r="HK9" s="715"/>
      <c r="HL9" s="715"/>
      <c r="HM9" s="715"/>
      <c r="HN9" s="715"/>
      <c r="HO9" s="715"/>
      <c r="HP9" s="715"/>
      <c r="HQ9" s="715"/>
      <c r="HR9" s="715"/>
      <c r="HS9" s="715"/>
      <c r="HT9" s="715"/>
      <c r="HU9" s="715"/>
      <c r="HV9" s="715"/>
      <c r="HW9" s="715"/>
      <c r="HX9" s="715"/>
      <c r="HY9" s="715"/>
      <c r="HZ9" s="715"/>
      <c r="IA9" s="715"/>
      <c r="IB9" s="715"/>
      <c r="IC9" s="715"/>
      <c r="ID9" s="715"/>
      <c r="IE9" s="715"/>
      <c r="IF9" s="715"/>
      <c r="IG9" s="715"/>
      <c r="IH9" s="715"/>
      <c r="II9" s="715"/>
      <c r="IJ9" s="715"/>
      <c r="IK9" s="715"/>
      <c r="IL9" s="715"/>
      <c r="IM9" s="715"/>
      <c r="IN9" s="715"/>
      <c r="IO9" s="715"/>
      <c r="IP9" s="715"/>
      <c r="IQ9" s="715"/>
      <c r="IR9" s="715"/>
      <c r="IS9" s="715"/>
      <c r="IT9" s="715"/>
      <c r="IU9" s="715"/>
      <c r="IV9" s="715"/>
      <c r="IW9" s="715"/>
    </row>
    <row r="10" customFormat="false" ht="21" hidden="false" customHeight="true" outlineLevel="0" collapsed="false">
      <c r="A10" s="799" t="inlineStr">
        <is>
          <t xml:space="preserve">9-E-002</t>
        </is>
      </c>
      <c r="B10" s="800" t="inlineStr">
        <is>
          <t xml:space="preserve">● 수동잠금밸브 설치 위치 적정 여부</t>
        </is>
      </c>
      <c r="C10" s="816"/>
      <c r="D10" s="715"/>
      <c r="E10" s="715"/>
      <c r="F10" s="715"/>
      <c r="G10" s="727" t="inlineStr">
        <is>
          <t xml:space="preserve">×</t>
        </is>
      </c>
      <c r="H10" s="715"/>
      <c r="I10" s="715"/>
      <c r="J10" s="715"/>
      <c r="K10" s="715"/>
      <c r="L10" s="715"/>
      <c r="M10" s="715"/>
      <c r="N10" s="715"/>
      <c r="O10" s="715"/>
      <c r="P10" s="715"/>
      <c r="Q10" s="715"/>
      <c r="R10" s="715"/>
      <c r="S10" s="715"/>
      <c r="T10" s="715"/>
      <c r="U10" s="715"/>
      <c r="V10" s="715"/>
      <c r="W10" s="715"/>
      <c r="X10" s="715"/>
      <c r="Y10" s="715"/>
      <c r="Z10" s="715"/>
      <c r="AA10" s="715"/>
      <c r="AB10" s="715"/>
      <c r="AC10" s="715"/>
      <c r="AD10" s="715"/>
      <c r="AE10" s="715"/>
      <c r="AF10" s="715"/>
      <c r="AG10" s="715"/>
      <c r="AH10" s="715"/>
      <c r="AI10" s="715"/>
      <c r="AJ10" s="715"/>
      <c r="AK10" s="715"/>
      <c r="AL10" s="715"/>
      <c r="AM10" s="715"/>
      <c r="AN10" s="715"/>
      <c r="AO10" s="715"/>
      <c r="AP10" s="715"/>
      <c r="AQ10" s="715"/>
      <c r="AR10" s="715"/>
      <c r="AS10" s="715"/>
      <c r="AT10" s="715"/>
      <c r="AU10" s="715"/>
      <c r="AV10" s="715"/>
      <c r="AW10" s="715"/>
      <c r="AX10" s="715"/>
      <c r="AY10" s="715"/>
      <c r="AZ10" s="715"/>
      <c r="BA10" s="715"/>
      <c r="BB10" s="715"/>
      <c r="BC10" s="715"/>
      <c r="BD10" s="715"/>
      <c r="BE10" s="715"/>
      <c r="BF10" s="715"/>
      <c r="BG10" s="715"/>
      <c r="BH10" s="715"/>
      <c r="BI10" s="715"/>
      <c r="BJ10" s="715"/>
      <c r="BK10" s="715"/>
      <c r="BL10" s="715"/>
      <c r="BM10" s="715"/>
      <c r="BN10" s="715"/>
      <c r="BO10" s="715"/>
      <c r="BP10" s="715"/>
      <c r="BQ10" s="715"/>
      <c r="BR10" s="715"/>
      <c r="BS10" s="715"/>
      <c r="BT10" s="715"/>
      <c r="BU10" s="715"/>
      <c r="BV10" s="715"/>
      <c r="BW10" s="715"/>
      <c r="BX10" s="715"/>
      <c r="BY10" s="715"/>
      <c r="BZ10" s="715"/>
      <c r="CA10" s="715"/>
      <c r="CB10" s="715"/>
      <c r="CC10" s="715"/>
      <c r="CD10" s="715"/>
      <c r="CE10" s="715"/>
      <c r="CF10" s="715"/>
      <c r="CG10" s="715"/>
      <c r="CH10" s="715"/>
      <c r="CI10" s="715"/>
      <c r="CJ10" s="715"/>
      <c r="CK10" s="715"/>
      <c r="CL10" s="715"/>
      <c r="CM10" s="715"/>
      <c r="CN10" s="715"/>
      <c r="CO10" s="715"/>
      <c r="CP10" s="715"/>
      <c r="CQ10" s="715"/>
      <c r="CR10" s="715"/>
      <c r="CS10" s="715"/>
      <c r="CT10" s="715"/>
      <c r="CU10" s="715"/>
      <c r="CV10" s="715"/>
      <c r="CW10" s="715"/>
      <c r="CX10" s="715"/>
      <c r="CY10" s="715"/>
      <c r="CZ10" s="715"/>
      <c r="DA10" s="715"/>
      <c r="DB10" s="715"/>
      <c r="DC10" s="715"/>
      <c r="DD10" s="715"/>
      <c r="DE10" s="715"/>
      <c r="DF10" s="715"/>
      <c r="DG10" s="715"/>
      <c r="DH10" s="715"/>
      <c r="DI10" s="715"/>
      <c r="DJ10" s="715"/>
      <c r="DK10" s="715"/>
      <c r="DL10" s="715"/>
      <c r="DM10" s="715"/>
      <c r="DN10" s="715"/>
      <c r="DO10" s="715"/>
      <c r="DP10" s="715"/>
      <c r="DQ10" s="715"/>
      <c r="DR10" s="715"/>
      <c r="DS10" s="715"/>
      <c r="DT10" s="715"/>
      <c r="DU10" s="715"/>
      <c r="DV10" s="715"/>
      <c r="DW10" s="715"/>
      <c r="DX10" s="715"/>
      <c r="DY10" s="715"/>
      <c r="DZ10" s="715"/>
      <c r="EA10" s="715"/>
      <c r="EB10" s="715"/>
      <c r="EC10" s="715"/>
      <c r="ED10" s="715"/>
      <c r="EE10" s="715"/>
      <c r="EF10" s="715"/>
      <c r="EG10" s="715"/>
      <c r="EH10" s="715"/>
      <c r="EI10" s="715"/>
      <c r="EJ10" s="715"/>
      <c r="EK10" s="715"/>
      <c r="EL10" s="715"/>
      <c r="EM10" s="715"/>
      <c r="EN10" s="715"/>
      <c r="EO10" s="715"/>
      <c r="EP10" s="715"/>
      <c r="EQ10" s="715"/>
      <c r="ER10" s="715"/>
      <c r="ES10" s="715"/>
      <c r="ET10" s="715"/>
      <c r="EU10" s="715"/>
      <c r="EV10" s="715"/>
      <c r="EW10" s="715"/>
      <c r="EX10" s="715"/>
      <c r="EY10" s="715"/>
      <c r="EZ10" s="715"/>
      <c r="FA10" s="715"/>
      <c r="FB10" s="715"/>
      <c r="FC10" s="715"/>
      <c r="FD10" s="715"/>
      <c r="FE10" s="715"/>
      <c r="FF10" s="715"/>
      <c r="FG10" s="715"/>
      <c r="FH10" s="715"/>
      <c r="FI10" s="715"/>
      <c r="FJ10" s="715"/>
      <c r="FK10" s="715"/>
      <c r="FL10" s="715"/>
      <c r="FM10" s="715"/>
      <c r="FN10" s="715"/>
      <c r="FO10" s="715"/>
      <c r="FP10" s="715"/>
      <c r="FQ10" s="715"/>
      <c r="FR10" s="715"/>
      <c r="FS10" s="715"/>
      <c r="FT10" s="715"/>
      <c r="FU10" s="715"/>
      <c r="FV10" s="715"/>
      <c r="FW10" s="715"/>
      <c r="FX10" s="715"/>
      <c r="FY10" s="715"/>
      <c r="FZ10" s="715"/>
      <c r="GA10" s="715"/>
      <c r="GB10" s="715"/>
      <c r="GC10" s="715"/>
      <c r="GD10" s="715"/>
      <c r="GE10" s="715"/>
      <c r="GF10" s="715"/>
      <c r="GG10" s="715"/>
      <c r="GH10" s="715"/>
      <c r="GI10" s="715"/>
      <c r="GJ10" s="715"/>
      <c r="GK10" s="715"/>
      <c r="GL10" s="715"/>
      <c r="GM10" s="715"/>
      <c r="GN10" s="715"/>
      <c r="GO10" s="715"/>
      <c r="GP10" s="715"/>
      <c r="GQ10" s="715"/>
      <c r="GR10" s="715"/>
      <c r="GS10" s="715"/>
      <c r="GT10" s="715"/>
      <c r="GU10" s="715"/>
      <c r="GV10" s="715"/>
      <c r="GW10" s="715"/>
      <c r="GX10" s="715"/>
      <c r="GY10" s="715"/>
      <c r="GZ10" s="715"/>
      <c r="HA10" s="715"/>
      <c r="HB10" s="715"/>
      <c r="HC10" s="715"/>
      <c r="HD10" s="715"/>
      <c r="HE10" s="715"/>
      <c r="HF10" s="715"/>
      <c r="HG10" s="715"/>
      <c r="HH10" s="715"/>
      <c r="HI10" s="715"/>
      <c r="HJ10" s="715"/>
      <c r="HK10" s="715"/>
      <c r="HL10" s="715"/>
      <c r="HM10" s="715"/>
      <c r="HN10" s="715"/>
      <c r="HO10" s="715"/>
      <c r="HP10" s="715"/>
      <c r="HQ10" s="715"/>
      <c r="HR10" s="715"/>
      <c r="HS10" s="715"/>
      <c r="HT10" s="715"/>
      <c r="HU10" s="715"/>
      <c r="HV10" s="715"/>
      <c r="HW10" s="715"/>
      <c r="HX10" s="715"/>
      <c r="HY10" s="715"/>
      <c r="HZ10" s="715"/>
      <c r="IA10" s="715"/>
      <c r="IB10" s="715"/>
      <c r="IC10" s="715"/>
      <c r="ID10" s="715"/>
      <c r="IE10" s="715"/>
      <c r="IF10" s="715"/>
      <c r="IG10" s="715"/>
      <c r="IH10" s="715"/>
      <c r="II10" s="715"/>
      <c r="IJ10" s="715"/>
      <c r="IK10" s="715"/>
      <c r="IL10" s="715"/>
      <c r="IM10" s="715"/>
      <c r="IN10" s="715"/>
      <c r="IO10" s="715"/>
      <c r="IP10" s="715"/>
      <c r="IQ10" s="715"/>
      <c r="IR10" s="715"/>
      <c r="IS10" s="715"/>
      <c r="IT10" s="715"/>
      <c r="IU10" s="715"/>
      <c r="IV10" s="715"/>
      <c r="IW10" s="715"/>
    </row>
    <row r="11" customFormat="false" ht="24" hidden="false" customHeight="true" outlineLevel="0" collapsed="false">
      <c r="A11" s="818" t="inlineStr">
        <is>
          <t xml:space="preserve"> 9-F. 선택밸브</t>
        </is>
      </c>
      <c r="B11" s="818"/>
      <c r="C11" s="818"/>
    </row>
    <row r="12" customFormat="false" ht="21" hidden="false" customHeight="true" outlineLevel="0" collapsed="false">
      <c r="A12" s="760" t="inlineStr">
        <is>
          <t xml:space="preserve">9-F-001</t>
        </is>
      </c>
      <c r="B12" s="761" t="inlineStr">
        <is>
          <t xml:space="preserve">● 선택밸브 설치 기준 적합 여부</t>
        </is>
      </c>
      <c r="C12" s="816"/>
      <c r="D12" s="715"/>
      <c r="E12" s="715"/>
      <c r="F12" s="715"/>
      <c r="G12" s="715"/>
      <c r="H12" s="715"/>
      <c r="I12" s="715"/>
      <c r="J12" s="715"/>
      <c r="K12" s="715"/>
      <c r="L12" s="715"/>
      <c r="M12" s="715"/>
      <c r="N12" s="715"/>
      <c r="O12" s="715"/>
      <c r="P12" s="715"/>
      <c r="Q12" s="715"/>
      <c r="R12" s="715"/>
      <c r="S12" s="715"/>
      <c r="T12" s="715"/>
      <c r="U12" s="715"/>
      <c r="V12" s="715"/>
      <c r="W12" s="715"/>
      <c r="X12" s="715"/>
      <c r="Y12" s="715"/>
      <c r="Z12" s="715"/>
      <c r="AA12" s="715"/>
      <c r="AB12" s="715"/>
      <c r="AC12" s="715"/>
      <c r="AD12" s="715"/>
      <c r="AE12" s="715"/>
      <c r="AF12" s="715"/>
      <c r="AG12" s="715"/>
      <c r="AH12" s="715"/>
      <c r="AI12" s="715"/>
      <c r="AJ12" s="715"/>
      <c r="AK12" s="715"/>
      <c r="AL12" s="715"/>
      <c r="AM12" s="715"/>
      <c r="AN12" s="715"/>
      <c r="AO12" s="715"/>
      <c r="AP12" s="715"/>
      <c r="AQ12" s="715"/>
      <c r="AR12" s="715"/>
      <c r="AS12" s="715"/>
      <c r="AT12" s="715"/>
      <c r="AU12" s="715"/>
      <c r="AV12" s="715"/>
      <c r="AW12" s="715"/>
      <c r="AX12" s="715"/>
      <c r="AY12" s="715"/>
      <c r="AZ12" s="715"/>
      <c r="BA12" s="715"/>
      <c r="BB12" s="715"/>
      <c r="BC12" s="715"/>
      <c r="BD12" s="715"/>
      <c r="BE12" s="715"/>
      <c r="BF12" s="715"/>
      <c r="BG12" s="715"/>
      <c r="BH12" s="715"/>
      <c r="BI12" s="715"/>
      <c r="BJ12" s="715"/>
      <c r="BK12" s="715"/>
      <c r="BL12" s="715"/>
      <c r="BM12" s="715"/>
      <c r="BN12" s="715"/>
      <c r="BO12" s="715"/>
      <c r="BP12" s="715"/>
      <c r="BQ12" s="715"/>
      <c r="BR12" s="715"/>
      <c r="BS12" s="715"/>
      <c r="BT12" s="715"/>
      <c r="BU12" s="715"/>
      <c r="BV12" s="715"/>
      <c r="BW12" s="715"/>
      <c r="BX12" s="715"/>
      <c r="BY12" s="715"/>
      <c r="BZ12" s="715"/>
      <c r="CA12" s="715"/>
      <c r="CB12" s="715"/>
      <c r="CC12" s="715"/>
      <c r="CD12" s="715"/>
      <c r="CE12" s="715"/>
      <c r="CF12" s="715"/>
      <c r="CG12" s="715"/>
      <c r="CH12" s="715"/>
      <c r="CI12" s="715"/>
      <c r="CJ12" s="715"/>
      <c r="CK12" s="715"/>
      <c r="CL12" s="715"/>
      <c r="CM12" s="715"/>
      <c r="CN12" s="715"/>
      <c r="CO12" s="715"/>
      <c r="CP12" s="715"/>
      <c r="CQ12" s="715"/>
      <c r="CR12" s="715"/>
      <c r="CS12" s="715"/>
      <c r="CT12" s="715"/>
      <c r="CU12" s="715"/>
      <c r="CV12" s="715"/>
      <c r="CW12" s="715"/>
      <c r="CX12" s="715"/>
      <c r="CY12" s="715"/>
      <c r="CZ12" s="715"/>
      <c r="DA12" s="715"/>
      <c r="DB12" s="715"/>
      <c r="DC12" s="715"/>
      <c r="DD12" s="715"/>
      <c r="DE12" s="715"/>
      <c r="DF12" s="715"/>
      <c r="DG12" s="715"/>
      <c r="DH12" s="715"/>
      <c r="DI12" s="715"/>
      <c r="DJ12" s="715"/>
      <c r="DK12" s="715"/>
      <c r="DL12" s="715"/>
      <c r="DM12" s="715"/>
      <c r="DN12" s="715"/>
      <c r="DO12" s="715"/>
      <c r="DP12" s="715"/>
      <c r="DQ12" s="715"/>
      <c r="DR12" s="715"/>
      <c r="DS12" s="715"/>
      <c r="DT12" s="715"/>
      <c r="DU12" s="715"/>
      <c r="DV12" s="715"/>
      <c r="DW12" s="715"/>
      <c r="DX12" s="715"/>
      <c r="DY12" s="715"/>
      <c r="DZ12" s="715"/>
      <c r="EA12" s="715"/>
      <c r="EB12" s="715"/>
      <c r="EC12" s="715"/>
      <c r="ED12" s="715"/>
      <c r="EE12" s="715"/>
      <c r="EF12" s="715"/>
      <c r="EG12" s="715"/>
      <c r="EH12" s="715"/>
      <c r="EI12" s="715"/>
      <c r="EJ12" s="715"/>
      <c r="EK12" s="715"/>
      <c r="EL12" s="715"/>
      <c r="EM12" s="715"/>
      <c r="EN12" s="715"/>
      <c r="EO12" s="715"/>
      <c r="EP12" s="715"/>
      <c r="EQ12" s="715"/>
      <c r="ER12" s="715"/>
      <c r="ES12" s="715"/>
      <c r="ET12" s="715"/>
      <c r="EU12" s="715"/>
      <c r="EV12" s="715"/>
      <c r="EW12" s="715"/>
      <c r="EX12" s="715"/>
      <c r="EY12" s="715"/>
      <c r="EZ12" s="715"/>
      <c r="FA12" s="715"/>
      <c r="FB12" s="715"/>
      <c r="FC12" s="715"/>
      <c r="FD12" s="715"/>
      <c r="FE12" s="715"/>
      <c r="FF12" s="715"/>
      <c r="FG12" s="715"/>
      <c r="FH12" s="715"/>
      <c r="FI12" s="715"/>
      <c r="FJ12" s="715"/>
      <c r="FK12" s="715"/>
      <c r="FL12" s="715"/>
      <c r="FM12" s="715"/>
      <c r="FN12" s="715"/>
      <c r="FO12" s="715"/>
      <c r="FP12" s="715"/>
      <c r="FQ12" s="715"/>
      <c r="FR12" s="715"/>
      <c r="FS12" s="715"/>
      <c r="FT12" s="715"/>
      <c r="FU12" s="715"/>
      <c r="FV12" s="715"/>
      <c r="FW12" s="715"/>
      <c r="FX12" s="715"/>
      <c r="FY12" s="715"/>
      <c r="FZ12" s="715"/>
      <c r="GA12" s="715"/>
      <c r="GB12" s="715"/>
      <c r="GC12" s="715"/>
      <c r="GD12" s="715"/>
      <c r="GE12" s="715"/>
      <c r="GF12" s="715"/>
      <c r="GG12" s="715"/>
      <c r="GH12" s="715"/>
      <c r="GI12" s="715"/>
      <c r="GJ12" s="715"/>
      <c r="GK12" s="715"/>
      <c r="GL12" s="715"/>
      <c r="GM12" s="715"/>
      <c r="GN12" s="715"/>
      <c r="GO12" s="715"/>
      <c r="GP12" s="715"/>
      <c r="GQ12" s="715"/>
      <c r="GR12" s="715"/>
      <c r="GS12" s="715"/>
      <c r="GT12" s="715"/>
      <c r="GU12" s="715"/>
      <c r="GV12" s="715"/>
      <c r="GW12" s="715"/>
      <c r="GX12" s="715"/>
      <c r="GY12" s="715"/>
      <c r="GZ12" s="715"/>
      <c r="HA12" s="715"/>
      <c r="HB12" s="715"/>
      <c r="HC12" s="715"/>
      <c r="HD12" s="715"/>
      <c r="HE12" s="715"/>
      <c r="HF12" s="715"/>
      <c r="HG12" s="715"/>
      <c r="HH12" s="715"/>
      <c r="HI12" s="715"/>
      <c r="HJ12" s="715"/>
      <c r="HK12" s="715"/>
      <c r="HL12" s="715"/>
      <c r="HM12" s="715"/>
      <c r="HN12" s="715"/>
      <c r="HO12" s="715"/>
      <c r="HP12" s="715"/>
      <c r="HQ12" s="715"/>
      <c r="HR12" s="715"/>
      <c r="HS12" s="715"/>
      <c r="HT12" s="715"/>
      <c r="HU12" s="715"/>
      <c r="HV12" s="715"/>
      <c r="HW12" s="715"/>
      <c r="HX12" s="715"/>
      <c r="HY12" s="715"/>
      <c r="HZ12" s="715"/>
      <c r="IA12" s="715"/>
      <c r="IB12" s="715"/>
      <c r="IC12" s="715"/>
      <c r="ID12" s="715"/>
      <c r="IE12" s="715"/>
      <c r="IF12" s="715"/>
      <c r="IG12" s="715"/>
      <c r="IH12" s="715"/>
      <c r="II12" s="715"/>
      <c r="IJ12" s="715"/>
      <c r="IK12" s="715"/>
      <c r="IL12" s="715"/>
      <c r="IM12" s="715"/>
      <c r="IN12" s="715"/>
      <c r="IO12" s="715"/>
      <c r="IP12" s="715"/>
      <c r="IQ12" s="715"/>
      <c r="IR12" s="715"/>
      <c r="IS12" s="715"/>
      <c r="IT12" s="715"/>
      <c r="IU12" s="715"/>
      <c r="IV12" s="715"/>
      <c r="IW12" s="715"/>
    </row>
    <row r="13" customFormat="false" ht="24" hidden="false" customHeight="true" outlineLevel="0" collapsed="false">
      <c r="A13" s="818" t="inlineStr">
        <is>
          <t xml:space="preserve"> 9-G. 분사헤드</t>
        </is>
      </c>
      <c r="B13" s="818"/>
      <c r="C13" s="818"/>
      <c r="D13" s="715"/>
      <c r="E13" s="715"/>
      <c r="F13" s="715"/>
      <c r="G13" s="715"/>
      <c r="H13" s="715"/>
      <c r="I13" s="715"/>
      <c r="J13" s="715"/>
      <c r="K13" s="715"/>
      <c r="L13" s="715"/>
      <c r="M13" s="715"/>
      <c r="N13" s="715"/>
      <c r="O13" s="715"/>
      <c r="P13" s="715"/>
      <c r="Q13" s="715"/>
      <c r="R13" s="715"/>
      <c r="S13" s="715"/>
      <c r="T13" s="715"/>
      <c r="U13" s="715"/>
      <c r="V13" s="715"/>
      <c r="W13" s="715"/>
      <c r="X13" s="715"/>
      <c r="Y13" s="715"/>
      <c r="Z13" s="715"/>
      <c r="AA13" s="715"/>
      <c r="AB13" s="715"/>
      <c r="AC13" s="715"/>
      <c r="AD13" s="715"/>
      <c r="AE13" s="715"/>
      <c r="AF13" s="715"/>
      <c r="AG13" s="715"/>
      <c r="AH13" s="715"/>
      <c r="AI13" s="715"/>
      <c r="AJ13" s="715"/>
      <c r="AK13" s="715"/>
      <c r="AL13" s="715"/>
      <c r="AM13" s="715"/>
      <c r="AN13" s="715"/>
      <c r="AO13" s="715"/>
      <c r="AP13" s="715"/>
      <c r="AQ13" s="715"/>
      <c r="AR13" s="715"/>
      <c r="AS13" s="715"/>
      <c r="AT13" s="715"/>
      <c r="AU13" s="715"/>
      <c r="AV13" s="715"/>
      <c r="AW13" s="715"/>
      <c r="AX13" s="715"/>
      <c r="AY13" s="715"/>
      <c r="AZ13" s="715"/>
      <c r="BA13" s="715"/>
      <c r="BB13" s="715"/>
      <c r="BC13" s="715"/>
      <c r="BD13" s="715"/>
      <c r="BE13" s="715"/>
      <c r="BF13" s="715"/>
      <c r="BG13" s="715"/>
      <c r="BH13" s="715"/>
      <c r="BI13" s="715"/>
      <c r="BJ13" s="715"/>
      <c r="BK13" s="715"/>
      <c r="BL13" s="715"/>
      <c r="BM13" s="715"/>
      <c r="BN13" s="715"/>
      <c r="BO13" s="715"/>
      <c r="BP13" s="715"/>
      <c r="BQ13" s="715"/>
      <c r="BR13" s="715"/>
      <c r="BS13" s="715"/>
      <c r="BT13" s="715"/>
      <c r="BU13" s="715"/>
      <c r="BV13" s="715"/>
      <c r="BW13" s="715"/>
      <c r="BX13" s="715"/>
      <c r="BY13" s="715"/>
      <c r="BZ13" s="715"/>
      <c r="CA13" s="715"/>
      <c r="CB13" s="715"/>
      <c r="CC13" s="715"/>
      <c r="CD13" s="715"/>
      <c r="CE13" s="715"/>
      <c r="CF13" s="715"/>
      <c r="CG13" s="715"/>
      <c r="CH13" s="715"/>
      <c r="CI13" s="715"/>
      <c r="CJ13" s="715"/>
      <c r="CK13" s="715"/>
      <c r="CL13" s="715"/>
      <c r="CM13" s="715"/>
      <c r="CN13" s="715"/>
      <c r="CO13" s="715"/>
      <c r="CP13" s="715"/>
      <c r="CQ13" s="715"/>
      <c r="CR13" s="715"/>
      <c r="CS13" s="715"/>
      <c r="CT13" s="715"/>
      <c r="CU13" s="715"/>
      <c r="CV13" s="715"/>
      <c r="CW13" s="715"/>
      <c r="CX13" s="715"/>
      <c r="CY13" s="715"/>
      <c r="CZ13" s="715"/>
      <c r="DA13" s="715"/>
      <c r="DB13" s="715"/>
      <c r="DC13" s="715"/>
      <c r="DD13" s="715"/>
      <c r="DE13" s="715"/>
      <c r="DF13" s="715"/>
      <c r="DG13" s="715"/>
      <c r="DH13" s="715"/>
      <c r="DI13" s="715"/>
      <c r="DJ13" s="715"/>
      <c r="DK13" s="715"/>
      <c r="DL13" s="715"/>
      <c r="DM13" s="715"/>
      <c r="DN13" s="715"/>
      <c r="DO13" s="715"/>
      <c r="DP13" s="715"/>
      <c r="DQ13" s="715"/>
      <c r="DR13" s="715"/>
      <c r="DS13" s="715"/>
      <c r="DT13" s="715"/>
      <c r="DU13" s="715"/>
      <c r="DV13" s="715"/>
      <c r="DW13" s="715"/>
      <c r="DX13" s="715"/>
      <c r="DY13" s="715"/>
      <c r="DZ13" s="715"/>
      <c r="EA13" s="715"/>
      <c r="EB13" s="715"/>
      <c r="EC13" s="715"/>
      <c r="ED13" s="715"/>
      <c r="EE13" s="715"/>
      <c r="EF13" s="715"/>
      <c r="EG13" s="715"/>
      <c r="EH13" s="715"/>
      <c r="EI13" s="715"/>
      <c r="EJ13" s="715"/>
      <c r="EK13" s="715"/>
      <c r="EL13" s="715"/>
      <c r="EM13" s="715"/>
      <c r="EN13" s="715"/>
      <c r="EO13" s="715"/>
      <c r="EP13" s="715"/>
      <c r="EQ13" s="715"/>
      <c r="ER13" s="715"/>
      <c r="ES13" s="715"/>
      <c r="ET13" s="715"/>
      <c r="EU13" s="715"/>
      <c r="EV13" s="715"/>
      <c r="EW13" s="715"/>
      <c r="EX13" s="715"/>
      <c r="EY13" s="715"/>
      <c r="EZ13" s="715"/>
      <c r="FA13" s="715"/>
      <c r="FB13" s="715"/>
      <c r="FC13" s="715"/>
      <c r="FD13" s="715"/>
      <c r="FE13" s="715"/>
      <c r="FF13" s="715"/>
      <c r="FG13" s="715"/>
      <c r="FH13" s="715"/>
      <c r="FI13" s="715"/>
      <c r="FJ13" s="715"/>
      <c r="FK13" s="715"/>
      <c r="FL13" s="715"/>
      <c r="FM13" s="715"/>
      <c r="FN13" s="715"/>
      <c r="FO13" s="715"/>
      <c r="FP13" s="715"/>
      <c r="FQ13" s="715"/>
      <c r="FR13" s="715"/>
      <c r="FS13" s="715"/>
      <c r="FT13" s="715"/>
      <c r="FU13" s="715"/>
      <c r="FV13" s="715"/>
      <c r="FW13" s="715"/>
      <c r="FX13" s="715"/>
      <c r="FY13" s="715"/>
      <c r="FZ13" s="715"/>
      <c r="GA13" s="715"/>
      <c r="GB13" s="715"/>
      <c r="GC13" s="715"/>
      <c r="GD13" s="715"/>
      <c r="GE13" s="715"/>
      <c r="GF13" s="715"/>
      <c r="GG13" s="715"/>
      <c r="GH13" s="715"/>
      <c r="GI13" s="715"/>
      <c r="GJ13" s="715"/>
      <c r="GK13" s="715"/>
      <c r="GL13" s="715"/>
      <c r="GM13" s="715"/>
      <c r="GN13" s="715"/>
      <c r="GO13" s="715"/>
      <c r="GP13" s="715"/>
      <c r="GQ13" s="715"/>
      <c r="GR13" s="715"/>
      <c r="GS13" s="715"/>
      <c r="GT13" s="715"/>
      <c r="GU13" s="715"/>
      <c r="GV13" s="715"/>
      <c r="GW13" s="715"/>
      <c r="GX13" s="715"/>
      <c r="GY13" s="715"/>
      <c r="GZ13" s="715"/>
      <c r="HA13" s="715"/>
      <c r="HB13" s="715"/>
      <c r="HC13" s="715"/>
      <c r="HD13" s="715"/>
      <c r="HE13" s="715"/>
      <c r="HF13" s="715"/>
      <c r="HG13" s="715"/>
      <c r="HH13" s="715"/>
      <c r="HI13" s="715"/>
      <c r="HJ13" s="715"/>
      <c r="HK13" s="715"/>
      <c r="HL13" s="715"/>
      <c r="HM13" s="715"/>
      <c r="HN13" s="715"/>
      <c r="HO13" s="715"/>
      <c r="HP13" s="715"/>
      <c r="HQ13" s="715"/>
      <c r="HR13" s="715"/>
      <c r="HS13" s="715"/>
      <c r="HT13" s="715"/>
      <c r="HU13" s="715"/>
      <c r="HV13" s="715"/>
      <c r="HW13" s="715"/>
      <c r="HX13" s="715"/>
      <c r="HY13" s="715"/>
      <c r="HZ13" s="715"/>
      <c r="IA13" s="715"/>
      <c r="IB13" s="715"/>
      <c r="IC13" s="715"/>
      <c r="ID13" s="715"/>
      <c r="IE13" s="715"/>
      <c r="IF13" s="715"/>
      <c r="IG13" s="715"/>
      <c r="IH13" s="715"/>
      <c r="II13" s="715"/>
      <c r="IJ13" s="715"/>
      <c r="IK13" s="715"/>
      <c r="IL13" s="715"/>
      <c r="IM13" s="715"/>
      <c r="IN13" s="715"/>
      <c r="IO13" s="715"/>
      <c r="IP13" s="715"/>
      <c r="IQ13" s="715"/>
      <c r="IR13" s="715"/>
      <c r="IS13" s="715"/>
      <c r="IT13" s="715"/>
      <c r="IU13" s="715"/>
      <c r="IV13" s="715"/>
      <c r="IW13" s="715"/>
    </row>
    <row r="14" customFormat="false" ht="21" hidden="false" customHeight="true" outlineLevel="0" collapsed="false">
      <c r="A14" s="795" t="inlineStr">
        <is>
          <t xml:space="preserve">  </t>
        </is>
      </c>
      <c r="B14" s="817" t="inlineStr">
        <is>
          <t xml:space="preserve"> [전역방출방식]</t>
        </is>
      </c>
      <c r="C14" s="816"/>
      <c r="D14" s="715"/>
      <c r="E14" s="715"/>
      <c r="F14" s="715"/>
      <c r="G14" s="715"/>
      <c r="H14" s="715"/>
      <c r="I14" s="715"/>
      <c r="J14" s="715"/>
      <c r="K14" s="715"/>
      <c r="L14" s="715"/>
      <c r="M14" s="715"/>
      <c r="N14" s="715"/>
      <c r="O14" s="715"/>
      <c r="P14" s="715"/>
      <c r="Q14" s="715"/>
      <c r="R14" s="715"/>
      <c r="S14" s="715"/>
      <c r="T14" s="715"/>
      <c r="U14" s="715"/>
      <c r="V14" s="715"/>
      <c r="W14" s="715"/>
      <c r="X14" s="715"/>
      <c r="Y14" s="715"/>
      <c r="Z14" s="715"/>
      <c r="AA14" s="715"/>
      <c r="AB14" s="715"/>
      <c r="AC14" s="715"/>
      <c r="AD14" s="715"/>
      <c r="AE14" s="715"/>
      <c r="AF14" s="715"/>
      <c r="AG14" s="715"/>
      <c r="AH14" s="715"/>
      <c r="AI14" s="715"/>
      <c r="AJ14" s="715"/>
      <c r="AK14" s="715"/>
      <c r="AL14" s="715"/>
      <c r="AM14" s="715"/>
      <c r="AN14" s="715"/>
      <c r="AO14" s="715"/>
      <c r="AP14" s="715"/>
      <c r="AQ14" s="715"/>
      <c r="AR14" s="715"/>
      <c r="AS14" s="715"/>
      <c r="AT14" s="715"/>
      <c r="AU14" s="715"/>
      <c r="AV14" s="715"/>
      <c r="AW14" s="715"/>
      <c r="AX14" s="715"/>
      <c r="AY14" s="715"/>
      <c r="AZ14" s="715"/>
      <c r="BA14" s="715"/>
      <c r="BB14" s="715"/>
      <c r="BC14" s="715"/>
      <c r="BD14" s="715"/>
      <c r="BE14" s="715"/>
      <c r="BF14" s="715"/>
      <c r="BG14" s="715"/>
      <c r="BH14" s="715"/>
      <c r="BI14" s="715"/>
      <c r="BJ14" s="715"/>
      <c r="BK14" s="715"/>
      <c r="BL14" s="715"/>
      <c r="BM14" s="715"/>
      <c r="BN14" s="715"/>
      <c r="BO14" s="715"/>
      <c r="BP14" s="715"/>
      <c r="BQ14" s="715"/>
      <c r="BR14" s="715"/>
      <c r="BS14" s="715"/>
      <c r="BT14" s="715"/>
      <c r="BU14" s="715"/>
      <c r="BV14" s="715"/>
      <c r="BW14" s="715"/>
      <c r="BX14" s="715"/>
      <c r="BY14" s="715"/>
      <c r="BZ14" s="715"/>
      <c r="CA14" s="715"/>
      <c r="CB14" s="715"/>
      <c r="CC14" s="715"/>
      <c r="CD14" s="715"/>
      <c r="CE14" s="715"/>
      <c r="CF14" s="715"/>
      <c r="CG14" s="715"/>
      <c r="CH14" s="715"/>
      <c r="CI14" s="715"/>
      <c r="CJ14" s="715"/>
      <c r="CK14" s="715"/>
      <c r="CL14" s="715"/>
      <c r="CM14" s="715"/>
      <c r="CN14" s="715"/>
      <c r="CO14" s="715"/>
      <c r="CP14" s="715"/>
      <c r="CQ14" s="715"/>
      <c r="CR14" s="715"/>
      <c r="CS14" s="715"/>
      <c r="CT14" s="715"/>
      <c r="CU14" s="715"/>
      <c r="CV14" s="715"/>
      <c r="CW14" s="715"/>
      <c r="CX14" s="715"/>
      <c r="CY14" s="715"/>
      <c r="CZ14" s="715"/>
      <c r="DA14" s="715"/>
      <c r="DB14" s="715"/>
      <c r="DC14" s="715"/>
      <c r="DD14" s="715"/>
      <c r="DE14" s="715"/>
      <c r="DF14" s="715"/>
      <c r="DG14" s="715"/>
      <c r="DH14" s="715"/>
      <c r="DI14" s="715"/>
      <c r="DJ14" s="715"/>
      <c r="DK14" s="715"/>
      <c r="DL14" s="715"/>
      <c r="DM14" s="715"/>
      <c r="DN14" s="715"/>
      <c r="DO14" s="715"/>
      <c r="DP14" s="715"/>
      <c r="DQ14" s="715"/>
      <c r="DR14" s="715"/>
      <c r="DS14" s="715"/>
      <c r="DT14" s="715"/>
      <c r="DU14" s="715"/>
      <c r="DV14" s="715"/>
      <c r="DW14" s="715"/>
      <c r="DX14" s="715"/>
      <c r="DY14" s="715"/>
      <c r="DZ14" s="715"/>
      <c r="EA14" s="715"/>
      <c r="EB14" s="715"/>
      <c r="EC14" s="715"/>
      <c r="ED14" s="715"/>
      <c r="EE14" s="715"/>
      <c r="EF14" s="715"/>
      <c r="EG14" s="715"/>
      <c r="EH14" s="715"/>
      <c r="EI14" s="715"/>
      <c r="EJ14" s="715"/>
      <c r="EK14" s="715"/>
      <c r="EL14" s="715"/>
      <c r="EM14" s="715"/>
      <c r="EN14" s="715"/>
      <c r="EO14" s="715"/>
      <c r="EP14" s="715"/>
      <c r="EQ14" s="715"/>
      <c r="ER14" s="715"/>
      <c r="ES14" s="715"/>
      <c r="ET14" s="715"/>
      <c r="EU14" s="715"/>
      <c r="EV14" s="715"/>
      <c r="EW14" s="715"/>
      <c r="EX14" s="715"/>
      <c r="EY14" s="715"/>
      <c r="EZ14" s="715"/>
      <c r="FA14" s="715"/>
      <c r="FB14" s="715"/>
      <c r="FC14" s="715"/>
      <c r="FD14" s="715"/>
      <c r="FE14" s="715"/>
      <c r="FF14" s="715"/>
      <c r="FG14" s="715"/>
      <c r="FH14" s="715"/>
      <c r="FI14" s="715"/>
      <c r="FJ14" s="715"/>
      <c r="FK14" s="715"/>
      <c r="FL14" s="715"/>
      <c r="FM14" s="715"/>
      <c r="FN14" s="715"/>
      <c r="FO14" s="715"/>
      <c r="FP14" s="715"/>
      <c r="FQ14" s="715"/>
      <c r="FR14" s="715"/>
      <c r="FS14" s="715"/>
      <c r="FT14" s="715"/>
      <c r="FU14" s="715"/>
      <c r="FV14" s="715"/>
      <c r="FW14" s="715"/>
      <c r="FX14" s="715"/>
      <c r="FY14" s="715"/>
      <c r="FZ14" s="715"/>
      <c r="GA14" s="715"/>
      <c r="GB14" s="715"/>
      <c r="GC14" s="715"/>
      <c r="GD14" s="715"/>
      <c r="GE14" s="715"/>
      <c r="GF14" s="715"/>
      <c r="GG14" s="715"/>
      <c r="GH14" s="715"/>
      <c r="GI14" s="715"/>
      <c r="GJ14" s="715"/>
      <c r="GK14" s="715"/>
      <c r="GL14" s="715"/>
      <c r="GM14" s="715"/>
      <c r="GN14" s="715"/>
      <c r="GO14" s="715"/>
      <c r="GP14" s="715"/>
      <c r="GQ14" s="715"/>
      <c r="GR14" s="715"/>
      <c r="GS14" s="715"/>
      <c r="GT14" s="715"/>
      <c r="GU14" s="715"/>
      <c r="GV14" s="715"/>
      <c r="GW14" s="715"/>
      <c r="GX14" s="715"/>
      <c r="GY14" s="715"/>
      <c r="GZ14" s="715"/>
      <c r="HA14" s="715"/>
      <c r="HB14" s="715"/>
      <c r="HC14" s="715"/>
      <c r="HD14" s="715"/>
      <c r="HE14" s="715"/>
      <c r="HF14" s="715"/>
      <c r="HG14" s="715"/>
      <c r="HH14" s="715"/>
      <c r="HI14" s="715"/>
      <c r="HJ14" s="715"/>
      <c r="HK14" s="715"/>
      <c r="HL14" s="715"/>
      <c r="HM14" s="715"/>
      <c r="HN14" s="715"/>
      <c r="HO14" s="715"/>
      <c r="HP14" s="715"/>
      <c r="HQ14" s="715"/>
      <c r="HR14" s="715"/>
      <c r="HS14" s="715"/>
      <c r="HT14" s="715"/>
      <c r="HU14" s="715"/>
      <c r="HV14" s="715"/>
      <c r="HW14" s="715"/>
      <c r="HX14" s="715"/>
      <c r="HY14" s="715"/>
      <c r="HZ14" s="715"/>
      <c r="IA14" s="715"/>
      <c r="IB14" s="715"/>
      <c r="IC14" s="715"/>
      <c r="ID14" s="715"/>
      <c r="IE14" s="715"/>
      <c r="IF14" s="715"/>
      <c r="IG14" s="715"/>
      <c r="IH14" s="715"/>
      <c r="II14" s="715"/>
      <c r="IJ14" s="715"/>
      <c r="IK14" s="715"/>
      <c r="IL14" s="715"/>
      <c r="IM14" s="715"/>
      <c r="IN14" s="715"/>
      <c r="IO14" s="715"/>
      <c r="IP14" s="715"/>
      <c r="IQ14" s="715"/>
      <c r="IR14" s="715"/>
      <c r="IS14" s="715"/>
      <c r="IT14" s="715"/>
      <c r="IU14" s="715"/>
      <c r="IV14" s="715"/>
      <c r="IW14" s="715"/>
    </row>
    <row r="15" customFormat="false" ht="21" hidden="false" customHeight="true" outlineLevel="0" collapsed="false">
      <c r="A15" s="798" t="inlineStr">
        <is>
          <t xml:space="preserve">9-G-001</t>
        </is>
      </c>
      <c r="B15" s="746" t="inlineStr">
        <is>
          <t xml:space="preserve">○ 분사헤드의 변형·손상 유무</t>
        </is>
      </c>
      <c r="C15" s="816"/>
      <c r="D15" s="715"/>
      <c r="E15" s="715"/>
      <c r="F15" s="715"/>
      <c r="G15" s="715"/>
      <c r="H15" s="715"/>
      <c r="I15" s="715"/>
      <c r="J15" s="715"/>
      <c r="K15" s="715"/>
      <c r="L15" s="715"/>
      <c r="M15" s="715"/>
      <c r="N15" s="715"/>
      <c r="O15" s="715"/>
      <c r="P15" s="715"/>
      <c r="Q15" s="715"/>
      <c r="R15" s="715"/>
      <c r="S15" s="715"/>
      <c r="T15" s="715"/>
      <c r="U15" s="715"/>
      <c r="V15" s="715"/>
      <c r="W15" s="715"/>
      <c r="X15" s="715"/>
      <c r="Y15" s="715"/>
      <c r="Z15" s="715"/>
      <c r="AA15" s="715"/>
      <c r="AB15" s="715"/>
      <c r="AC15" s="715"/>
      <c r="AD15" s="715"/>
      <c r="AE15" s="715"/>
      <c r="AF15" s="715"/>
      <c r="AG15" s="715"/>
      <c r="AH15" s="715"/>
      <c r="AI15" s="715"/>
      <c r="AJ15" s="715"/>
      <c r="AK15" s="715"/>
      <c r="AL15" s="715"/>
      <c r="AM15" s="715"/>
      <c r="AN15" s="715"/>
      <c r="AO15" s="715"/>
      <c r="AP15" s="715"/>
      <c r="AQ15" s="715"/>
      <c r="AR15" s="715"/>
      <c r="AS15" s="715"/>
      <c r="AT15" s="715"/>
      <c r="AU15" s="715"/>
      <c r="AV15" s="715"/>
      <c r="AW15" s="715"/>
      <c r="AX15" s="715"/>
      <c r="AY15" s="715"/>
      <c r="AZ15" s="715"/>
      <c r="BA15" s="715"/>
      <c r="BB15" s="715"/>
      <c r="BC15" s="715"/>
      <c r="BD15" s="715"/>
      <c r="BE15" s="715"/>
      <c r="BF15" s="715"/>
      <c r="BG15" s="715"/>
      <c r="BH15" s="715"/>
      <c r="BI15" s="715"/>
      <c r="BJ15" s="715"/>
      <c r="BK15" s="715"/>
      <c r="BL15" s="715"/>
      <c r="BM15" s="715"/>
      <c r="BN15" s="715"/>
      <c r="BO15" s="715"/>
      <c r="BP15" s="715"/>
      <c r="BQ15" s="715"/>
      <c r="BR15" s="715"/>
      <c r="BS15" s="715"/>
      <c r="BT15" s="715"/>
      <c r="BU15" s="715"/>
      <c r="BV15" s="715"/>
      <c r="BW15" s="715"/>
      <c r="BX15" s="715"/>
      <c r="BY15" s="715"/>
      <c r="BZ15" s="715"/>
      <c r="CA15" s="715"/>
      <c r="CB15" s="715"/>
      <c r="CC15" s="715"/>
      <c r="CD15" s="715"/>
      <c r="CE15" s="715"/>
      <c r="CF15" s="715"/>
      <c r="CG15" s="715"/>
      <c r="CH15" s="715"/>
      <c r="CI15" s="715"/>
      <c r="CJ15" s="715"/>
      <c r="CK15" s="715"/>
      <c r="CL15" s="715"/>
      <c r="CM15" s="715"/>
      <c r="CN15" s="715"/>
      <c r="CO15" s="715"/>
      <c r="CP15" s="715"/>
      <c r="CQ15" s="715"/>
      <c r="CR15" s="715"/>
      <c r="CS15" s="715"/>
      <c r="CT15" s="715"/>
      <c r="CU15" s="715"/>
      <c r="CV15" s="715"/>
      <c r="CW15" s="715"/>
      <c r="CX15" s="715"/>
      <c r="CY15" s="715"/>
      <c r="CZ15" s="715"/>
      <c r="DA15" s="715"/>
      <c r="DB15" s="715"/>
      <c r="DC15" s="715"/>
      <c r="DD15" s="715"/>
      <c r="DE15" s="715"/>
      <c r="DF15" s="715"/>
      <c r="DG15" s="715"/>
      <c r="DH15" s="715"/>
      <c r="DI15" s="715"/>
      <c r="DJ15" s="715"/>
      <c r="DK15" s="715"/>
      <c r="DL15" s="715"/>
      <c r="DM15" s="715"/>
      <c r="DN15" s="715"/>
      <c r="DO15" s="715"/>
      <c r="DP15" s="715"/>
      <c r="DQ15" s="715"/>
      <c r="DR15" s="715"/>
      <c r="DS15" s="715"/>
      <c r="DT15" s="715"/>
      <c r="DU15" s="715"/>
      <c r="DV15" s="715"/>
      <c r="DW15" s="715"/>
      <c r="DX15" s="715"/>
      <c r="DY15" s="715"/>
      <c r="DZ15" s="715"/>
      <c r="EA15" s="715"/>
      <c r="EB15" s="715"/>
      <c r="EC15" s="715"/>
      <c r="ED15" s="715"/>
      <c r="EE15" s="715"/>
      <c r="EF15" s="715"/>
      <c r="EG15" s="715"/>
      <c r="EH15" s="715"/>
      <c r="EI15" s="715"/>
      <c r="EJ15" s="715"/>
      <c r="EK15" s="715"/>
      <c r="EL15" s="715"/>
      <c r="EM15" s="715"/>
      <c r="EN15" s="715"/>
      <c r="EO15" s="715"/>
      <c r="EP15" s="715"/>
      <c r="EQ15" s="715"/>
      <c r="ER15" s="715"/>
      <c r="ES15" s="715"/>
      <c r="ET15" s="715"/>
      <c r="EU15" s="715"/>
      <c r="EV15" s="715"/>
      <c r="EW15" s="715"/>
      <c r="EX15" s="715"/>
      <c r="EY15" s="715"/>
      <c r="EZ15" s="715"/>
      <c r="FA15" s="715"/>
      <c r="FB15" s="715"/>
      <c r="FC15" s="715"/>
      <c r="FD15" s="715"/>
      <c r="FE15" s="715"/>
      <c r="FF15" s="715"/>
      <c r="FG15" s="715"/>
      <c r="FH15" s="715"/>
      <c r="FI15" s="715"/>
      <c r="FJ15" s="715"/>
      <c r="FK15" s="715"/>
      <c r="FL15" s="715"/>
      <c r="FM15" s="715"/>
      <c r="FN15" s="715"/>
      <c r="FO15" s="715"/>
      <c r="FP15" s="715"/>
      <c r="FQ15" s="715"/>
      <c r="FR15" s="715"/>
      <c r="FS15" s="715"/>
      <c r="FT15" s="715"/>
      <c r="FU15" s="715"/>
      <c r="FV15" s="715"/>
      <c r="FW15" s="715"/>
      <c r="FX15" s="715"/>
      <c r="FY15" s="715"/>
      <c r="FZ15" s="715"/>
      <c r="GA15" s="715"/>
      <c r="GB15" s="715"/>
      <c r="GC15" s="715"/>
      <c r="GD15" s="715"/>
      <c r="GE15" s="715"/>
      <c r="GF15" s="715"/>
      <c r="GG15" s="715"/>
      <c r="GH15" s="715"/>
      <c r="GI15" s="715"/>
      <c r="GJ15" s="715"/>
      <c r="GK15" s="715"/>
      <c r="GL15" s="715"/>
      <c r="GM15" s="715"/>
      <c r="GN15" s="715"/>
      <c r="GO15" s="715"/>
      <c r="GP15" s="715"/>
      <c r="GQ15" s="715"/>
      <c r="GR15" s="715"/>
      <c r="GS15" s="715"/>
      <c r="GT15" s="715"/>
      <c r="GU15" s="715"/>
      <c r="GV15" s="715"/>
      <c r="GW15" s="715"/>
      <c r="GX15" s="715"/>
      <c r="GY15" s="715"/>
      <c r="GZ15" s="715"/>
      <c r="HA15" s="715"/>
      <c r="HB15" s="715"/>
      <c r="HC15" s="715"/>
      <c r="HD15" s="715"/>
      <c r="HE15" s="715"/>
      <c r="HF15" s="715"/>
      <c r="HG15" s="715"/>
      <c r="HH15" s="715"/>
      <c r="HI15" s="715"/>
      <c r="HJ15" s="715"/>
      <c r="HK15" s="715"/>
      <c r="HL15" s="715"/>
      <c r="HM15" s="715"/>
      <c r="HN15" s="715"/>
      <c r="HO15" s="715"/>
      <c r="HP15" s="715"/>
      <c r="HQ15" s="715"/>
      <c r="HR15" s="715"/>
      <c r="HS15" s="715"/>
      <c r="HT15" s="715"/>
      <c r="HU15" s="715"/>
      <c r="HV15" s="715"/>
      <c r="HW15" s="715"/>
      <c r="HX15" s="715"/>
      <c r="HY15" s="715"/>
      <c r="HZ15" s="715"/>
      <c r="IA15" s="715"/>
      <c r="IB15" s="715"/>
      <c r="IC15" s="715"/>
      <c r="ID15" s="715"/>
      <c r="IE15" s="715"/>
      <c r="IF15" s="715"/>
      <c r="IG15" s="715"/>
      <c r="IH15" s="715"/>
      <c r="II15" s="715"/>
      <c r="IJ15" s="715"/>
      <c r="IK15" s="715"/>
      <c r="IL15" s="715"/>
      <c r="IM15" s="715"/>
      <c r="IN15" s="715"/>
      <c r="IO15" s="715"/>
      <c r="IP15" s="715"/>
      <c r="IQ15" s="715"/>
      <c r="IR15" s="715"/>
      <c r="IS15" s="715"/>
      <c r="IT15" s="715"/>
      <c r="IU15" s="715"/>
      <c r="IV15" s="715"/>
      <c r="IW15" s="715"/>
    </row>
    <row r="16" customFormat="false" ht="21" hidden="false" customHeight="true" outlineLevel="0" collapsed="false">
      <c r="A16" s="799" t="inlineStr">
        <is>
          <t xml:space="preserve">9-G-002</t>
        </is>
      </c>
      <c r="B16" s="800" t="inlineStr">
        <is>
          <t xml:space="preserve">● 분사헤드의 설치위치 적정 여부</t>
        </is>
      </c>
      <c r="C16" s="816"/>
    </row>
    <row r="17" customFormat="false" ht="21" hidden="false" customHeight="true" outlineLevel="0" collapsed="false">
      <c r="A17" s="795" t="inlineStr">
        <is>
          <t xml:space="preserve">  </t>
        </is>
      </c>
      <c r="B17" s="817" t="inlineStr">
        <is>
          <t xml:space="preserve"> [국소방출방식]</t>
        </is>
      </c>
      <c r="C17" s="816"/>
      <c r="D17" s="715"/>
      <c r="E17" s="715"/>
      <c r="F17" s="715"/>
      <c r="G17" s="715"/>
      <c r="H17" s="715"/>
      <c r="I17" s="715"/>
      <c r="J17" s="715"/>
      <c r="K17" s="715"/>
      <c r="L17" s="715"/>
      <c r="M17" s="715"/>
      <c r="N17" s="715"/>
      <c r="O17" s="715"/>
      <c r="P17" s="715"/>
      <c r="Q17" s="715"/>
      <c r="R17" s="715"/>
      <c r="S17" s="715"/>
      <c r="T17" s="715"/>
      <c r="U17" s="715"/>
      <c r="V17" s="715"/>
      <c r="W17" s="715"/>
      <c r="X17" s="715"/>
      <c r="Y17" s="715"/>
      <c r="Z17" s="715"/>
      <c r="AA17" s="715"/>
      <c r="AB17" s="715"/>
      <c r="AC17" s="715"/>
      <c r="AD17" s="715"/>
      <c r="AE17" s="715"/>
      <c r="AF17" s="715"/>
      <c r="AG17" s="715"/>
      <c r="AH17" s="715"/>
      <c r="AI17" s="715"/>
      <c r="AJ17" s="715"/>
      <c r="AK17" s="715"/>
      <c r="AL17" s="715"/>
      <c r="AM17" s="715"/>
      <c r="AN17" s="715"/>
      <c r="AO17" s="715"/>
      <c r="AP17" s="715"/>
      <c r="AQ17" s="715"/>
      <c r="AR17" s="715"/>
      <c r="AS17" s="715"/>
      <c r="AT17" s="715"/>
      <c r="AU17" s="715"/>
      <c r="AV17" s="715"/>
      <c r="AW17" s="715"/>
      <c r="AX17" s="715"/>
      <c r="AY17" s="715"/>
      <c r="AZ17" s="715"/>
      <c r="BA17" s="715"/>
      <c r="BB17" s="715"/>
      <c r="BC17" s="715"/>
      <c r="BD17" s="715"/>
      <c r="BE17" s="715"/>
      <c r="BF17" s="715"/>
      <c r="BG17" s="715"/>
      <c r="BH17" s="715"/>
      <c r="BI17" s="715"/>
      <c r="BJ17" s="715"/>
      <c r="BK17" s="715"/>
      <c r="BL17" s="715"/>
      <c r="BM17" s="715"/>
      <c r="BN17" s="715"/>
      <c r="BO17" s="715"/>
      <c r="BP17" s="715"/>
      <c r="BQ17" s="715"/>
      <c r="BR17" s="715"/>
      <c r="BS17" s="715"/>
      <c r="BT17" s="715"/>
      <c r="BU17" s="715"/>
      <c r="BV17" s="715"/>
      <c r="BW17" s="715"/>
      <c r="BX17" s="715"/>
      <c r="BY17" s="715"/>
      <c r="BZ17" s="715"/>
      <c r="CA17" s="715"/>
      <c r="CB17" s="715"/>
      <c r="CC17" s="715"/>
      <c r="CD17" s="715"/>
      <c r="CE17" s="715"/>
      <c r="CF17" s="715"/>
      <c r="CG17" s="715"/>
      <c r="CH17" s="715"/>
      <c r="CI17" s="715"/>
      <c r="CJ17" s="715"/>
      <c r="CK17" s="715"/>
      <c r="CL17" s="715"/>
      <c r="CM17" s="715"/>
      <c r="CN17" s="715"/>
      <c r="CO17" s="715"/>
      <c r="CP17" s="715"/>
      <c r="CQ17" s="715"/>
      <c r="CR17" s="715"/>
      <c r="CS17" s="715"/>
      <c r="CT17" s="715"/>
      <c r="CU17" s="715"/>
      <c r="CV17" s="715"/>
      <c r="CW17" s="715"/>
      <c r="CX17" s="715"/>
      <c r="CY17" s="715"/>
      <c r="CZ17" s="715"/>
      <c r="DA17" s="715"/>
      <c r="DB17" s="715"/>
      <c r="DC17" s="715"/>
      <c r="DD17" s="715"/>
      <c r="DE17" s="715"/>
      <c r="DF17" s="715"/>
      <c r="DG17" s="715"/>
      <c r="DH17" s="715"/>
      <c r="DI17" s="715"/>
      <c r="DJ17" s="715"/>
      <c r="DK17" s="715"/>
      <c r="DL17" s="715"/>
      <c r="DM17" s="715"/>
      <c r="DN17" s="715"/>
      <c r="DO17" s="715"/>
      <c r="DP17" s="715"/>
      <c r="DQ17" s="715"/>
      <c r="DR17" s="715"/>
      <c r="DS17" s="715"/>
      <c r="DT17" s="715"/>
      <c r="DU17" s="715"/>
      <c r="DV17" s="715"/>
      <c r="DW17" s="715"/>
      <c r="DX17" s="715"/>
      <c r="DY17" s="715"/>
      <c r="DZ17" s="715"/>
      <c r="EA17" s="715"/>
      <c r="EB17" s="715"/>
      <c r="EC17" s="715"/>
      <c r="ED17" s="715"/>
      <c r="EE17" s="715"/>
      <c r="EF17" s="715"/>
      <c r="EG17" s="715"/>
      <c r="EH17" s="715"/>
      <c r="EI17" s="715"/>
      <c r="EJ17" s="715"/>
      <c r="EK17" s="715"/>
      <c r="EL17" s="715"/>
      <c r="EM17" s="715"/>
      <c r="EN17" s="715"/>
      <c r="EO17" s="715"/>
      <c r="EP17" s="715"/>
      <c r="EQ17" s="715"/>
      <c r="ER17" s="715"/>
      <c r="ES17" s="715"/>
      <c r="ET17" s="715"/>
      <c r="EU17" s="715"/>
      <c r="EV17" s="715"/>
      <c r="EW17" s="715"/>
      <c r="EX17" s="715"/>
      <c r="EY17" s="715"/>
      <c r="EZ17" s="715"/>
      <c r="FA17" s="715"/>
      <c r="FB17" s="715"/>
      <c r="FC17" s="715"/>
      <c r="FD17" s="715"/>
      <c r="FE17" s="715"/>
      <c r="FF17" s="715"/>
      <c r="FG17" s="715"/>
      <c r="FH17" s="715"/>
      <c r="FI17" s="715"/>
      <c r="FJ17" s="715"/>
      <c r="FK17" s="715"/>
      <c r="FL17" s="715"/>
      <c r="FM17" s="715"/>
      <c r="FN17" s="715"/>
      <c r="FO17" s="715"/>
      <c r="FP17" s="715"/>
      <c r="FQ17" s="715"/>
      <c r="FR17" s="715"/>
      <c r="FS17" s="715"/>
      <c r="FT17" s="715"/>
      <c r="FU17" s="715"/>
      <c r="FV17" s="715"/>
      <c r="FW17" s="715"/>
      <c r="FX17" s="715"/>
      <c r="FY17" s="715"/>
      <c r="FZ17" s="715"/>
      <c r="GA17" s="715"/>
      <c r="GB17" s="715"/>
      <c r="GC17" s="715"/>
      <c r="GD17" s="715"/>
      <c r="GE17" s="715"/>
      <c r="GF17" s="715"/>
      <c r="GG17" s="715"/>
      <c r="GH17" s="715"/>
      <c r="GI17" s="715"/>
      <c r="GJ17" s="715"/>
      <c r="GK17" s="715"/>
      <c r="GL17" s="715"/>
      <c r="GM17" s="715"/>
      <c r="GN17" s="715"/>
      <c r="GO17" s="715"/>
      <c r="GP17" s="715"/>
      <c r="GQ17" s="715"/>
      <c r="GR17" s="715"/>
      <c r="GS17" s="715"/>
      <c r="GT17" s="715"/>
      <c r="GU17" s="715"/>
      <c r="GV17" s="715"/>
      <c r="GW17" s="715"/>
      <c r="GX17" s="715"/>
      <c r="GY17" s="715"/>
      <c r="GZ17" s="715"/>
      <c r="HA17" s="715"/>
      <c r="HB17" s="715"/>
      <c r="HC17" s="715"/>
      <c r="HD17" s="715"/>
      <c r="HE17" s="715"/>
      <c r="HF17" s="715"/>
      <c r="HG17" s="715"/>
      <c r="HH17" s="715"/>
      <c r="HI17" s="715"/>
      <c r="HJ17" s="715"/>
      <c r="HK17" s="715"/>
      <c r="HL17" s="715"/>
      <c r="HM17" s="715"/>
      <c r="HN17" s="715"/>
      <c r="HO17" s="715"/>
      <c r="HP17" s="715"/>
      <c r="HQ17" s="715"/>
      <c r="HR17" s="715"/>
      <c r="HS17" s="715"/>
      <c r="HT17" s="715"/>
      <c r="HU17" s="715"/>
      <c r="HV17" s="715"/>
      <c r="HW17" s="715"/>
      <c r="HX17" s="715"/>
      <c r="HY17" s="715"/>
      <c r="HZ17" s="715"/>
      <c r="IA17" s="715"/>
      <c r="IB17" s="715"/>
      <c r="IC17" s="715"/>
      <c r="ID17" s="715"/>
      <c r="IE17" s="715"/>
      <c r="IF17" s="715"/>
      <c r="IG17" s="715"/>
      <c r="IH17" s="715"/>
      <c r="II17" s="715"/>
      <c r="IJ17" s="715"/>
      <c r="IK17" s="715"/>
      <c r="IL17" s="715"/>
      <c r="IM17" s="715"/>
      <c r="IN17" s="715"/>
      <c r="IO17" s="715"/>
      <c r="IP17" s="715"/>
      <c r="IQ17" s="715"/>
      <c r="IR17" s="715"/>
      <c r="IS17" s="715"/>
      <c r="IT17" s="715"/>
      <c r="IU17" s="715"/>
      <c r="IV17" s="715"/>
      <c r="IW17" s="715"/>
    </row>
    <row r="18" customFormat="false" ht="21" hidden="false" customHeight="true" outlineLevel="0" collapsed="false">
      <c r="A18" s="798" t="inlineStr">
        <is>
          <t xml:space="preserve">9-G-011</t>
        </is>
      </c>
      <c r="B18" s="746" t="inlineStr">
        <is>
          <t xml:space="preserve">○ 분사헤드의 변형·손상 유무</t>
        </is>
      </c>
      <c r="C18" s="816"/>
      <c r="D18" s="715"/>
      <c r="E18" s="715"/>
      <c r="F18" s="715"/>
      <c r="G18" s="715"/>
      <c r="H18" s="715"/>
      <c r="I18" s="715"/>
      <c r="J18" s="715"/>
      <c r="K18" s="715"/>
      <c r="L18" s="715"/>
      <c r="M18" s="715"/>
      <c r="N18" s="715"/>
      <c r="O18" s="715"/>
      <c r="P18" s="715"/>
      <c r="Q18" s="715"/>
      <c r="R18" s="715"/>
      <c r="S18" s="715"/>
      <c r="T18" s="715"/>
      <c r="U18" s="715"/>
      <c r="V18" s="715"/>
      <c r="W18" s="715"/>
      <c r="X18" s="715"/>
      <c r="Y18" s="715"/>
      <c r="Z18" s="715"/>
      <c r="AA18" s="715"/>
      <c r="AB18" s="715"/>
      <c r="AC18" s="715"/>
      <c r="AD18" s="715"/>
      <c r="AE18" s="715"/>
      <c r="AF18" s="715"/>
      <c r="AG18" s="715"/>
      <c r="AH18" s="715"/>
      <c r="AI18" s="715"/>
      <c r="AJ18" s="715"/>
      <c r="AK18" s="715"/>
      <c r="AL18" s="715"/>
      <c r="AM18" s="715"/>
      <c r="AN18" s="715"/>
      <c r="AO18" s="715"/>
      <c r="AP18" s="715"/>
      <c r="AQ18" s="715"/>
      <c r="AR18" s="715"/>
      <c r="AS18" s="715"/>
      <c r="AT18" s="715"/>
      <c r="AU18" s="715"/>
      <c r="AV18" s="715"/>
      <c r="AW18" s="715"/>
      <c r="AX18" s="715"/>
      <c r="AY18" s="715"/>
      <c r="AZ18" s="715"/>
      <c r="BA18" s="715"/>
      <c r="BB18" s="715"/>
      <c r="BC18" s="715"/>
      <c r="BD18" s="715"/>
      <c r="BE18" s="715"/>
      <c r="BF18" s="715"/>
      <c r="BG18" s="715"/>
      <c r="BH18" s="715"/>
      <c r="BI18" s="715"/>
      <c r="BJ18" s="715"/>
      <c r="BK18" s="715"/>
      <c r="BL18" s="715"/>
      <c r="BM18" s="715"/>
      <c r="BN18" s="715"/>
      <c r="BO18" s="715"/>
      <c r="BP18" s="715"/>
      <c r="BQ18" s="715"/>
      <c r="BR18" s="715"/>
      <c r="BS18" s="715"/>
      <c r="BT18" s="715"/>
      <c r="BU18" s="715"/>
      <c r="BV18" s="715"/>
      <c r="BW18" s="715"/>
      <c r="BX18" s="715"/>
      <c r="BY18" s="715"/>
      <c r="BZ18" s="715"/>
      <c r="CA18" s="715"/>
      <c r="CB18" s="715"/>
      <c r="CC18" s="715"/>
      <c r="CD18" s="715"/>
      <c r="CE18" s="715"/>
      <c r="CF18" s="715"/>
      <c r="CG18" s="715"/>
      <c r="CH18" s="715"/>
      <c r="CI18" s="715"/>
      <c r="CJ18" s="715"/>
      <c r="CK18" s="715"/>
      <c r="CL18" s="715"/>
      <c r="CM18" s="715"/>
      <c r="CN18" s="715"/>
      <c r="CO18" s="715"/>
      <c r="CP18" s="715"/>
      <c r="CQ18" s="715"/>
      <c r="CR18" s="715"/>
      <c r="CS18" s="715"/>
      <c r="CT18" s="715"/>
      <c r="CU18" s="715"/>
      <c r="CV18" s="715"/>
      <c r="CW18" s="715"/>
      <c r="CX18" s="715"/>
      <c r="CY18" s="715"/>
      <c r="CZ18" s="715"/>
      <c r="DA18" s="715"/>
      <c r="DB18" s="715"/>
      <c r="DC18" s="715"/>
      <c r="DD18" s="715"/>
      <c r="DE18" s="715"/>
      <c r="DF18" s="715"/>
      <c r="DG18" s="715"/>
      <c r="DH18" s="715"/>
      <c r="DI18" s="715"/>
      <c r="DJ18" s="715"/>
      <c r="DK18" s="715"/>
      <c r="DL18" s="715"/>
      <c r="DM18" s="715"/>
      <c r="DN18" s="715"/>
      <c r="DO18" s="715"/>
      <c r="DP18" s="715"/>
      <c r="DQ18" s="715"/>
      <c r="DR18" s="715"/>
      <c r="DS18" s="715"/>
      <c r="DT18" s="715"/>
      <c r="DU18" s="715"/>
      <c r="DV18" s="715"/>
      <c r="DW18" s="715"/>
      <c r="DX18" s="715"/>
      <c r="DY18" s="715"/>
      <c r="DZ18" s="715"/>
      <c r="EA18" s="715"/>
      <c r="EB18" s="715"/>
      <c r="EC18" s="715"/>
      <c r="ED18" s="715"/>
      <c r="EE18" s="715"/>
      <c r="EF18" s="715"/>
      <c r="EG18" s="715"/>
      <c r="EH18" s="715"/>
      <c r="EI18" s="715"/>
      <c r="EJ18" s="715"/>
      <c r="EK18" s="715"/>
      <c r="EL18" s="715"/>
      <c r="EM18" s="715"/>
      <c r="EN18" s="715"/>
      <c r="EO18" s="715"/>
      <c r="EP18" s="715"/>
      <c r="EQ18" s="715"/>
      <c r="ER18" s="715"/>
      <c r="ES18" s="715"/>
      <c r="ET18" s="715"/>
      <c r="EU18" s="715"/>
      <c r="EV18" s="715"/>
      <c r="EW18" s="715"/>
      <c r="EX18" s="715"/>
      <c r="EY18" s="715"/>
      <c r="EZ18" s="715"/>
      <c r="FA18" s="715"/>
      <c r="FB18" s="715"/>
      <c r="FC18" s="715"/>
      <c r="FD18" s="715"/>
      <c r="FE18" s="715"/>
      <c r="FF18" s="715"/>
      <c r="FG18" s="715"/>
      <c r="FH18" s="715"/>
      <c r="FI18" s="715"/>
      <c r="FJ18" s="715"/>
      <c r="FK18" s="715"/>
      <c r="FL18" s="715"/>
      <c r="FM18" s="715"/>
      <c r="FN18" s="715"/>
      <c r="FO18" s="715"/>
      <c r="FP18" s="715"/>
      <c r="FQ18" s="715"/>
      <c r="FR18" s="715"/>
      <c r="FS18" s="715"/>
      <c r="FT18" s="715"/>
      <c r="FU18" s="715"/>
      <c r="FV18" s="715"/>
      <c r="FW18" s="715"/>
      <c r="FX18" s="715"/>
      <c r="FY18" s="715"/>
      <c r="FZ18" s="715"/>
      <c r="GA18" s="715"/>
      <c r="GB18" s="715"/>
      <c r="GC18" s="715"/>
      <c r="GD18" s="715"/>
      <c r="GE18" s="715"/>
      <c r="GF18" s="715"/>
      <c r="GG18" s="715"/>
      <c r="GH18" s="715"/>
      <c r="GI18" s="715"/>
      <c r="GJ18" s="715"/>
      <c r="GK18" s="715"/>
      <c r="GL18" s="715"/>
      <c r="GM18" s="715"/>
      <c r="GN18" s="715"/>
      <c r="GO18" s="715"/>
      <c r="GP18" s="715"/>
      <c r="GQ18" s="715"/>
      <c r="GR18" s="715"/>
      <c r="GS18" s="715"/>
      <c r="GT18" s="715"/>
      <c r="GU18" s="715"/>
      <c r="GV18" s="715"/>
      <c r="GW18" s="715"/>
      <c r="GX18" s="715"/>
      <c r="GY18" s="715"/>
      <c r="GZ18" s="715"/>
      <c r="HA18" s="715"/>
      <c r="HB18" s="715"/>
      <c r="HC18" s="715"/>
      <c r="HD18" s="715"/>
      <c r="HE18" s="715"/>
      <c r="HF18" s="715"/>
      <c r="HG18" s="715"/>
      <c r="HH18" s="715"/>
      <c r="HI18" s="715"/>
      <c r="HJ18" s="715"/>
      <c r="HK18" s="715"/>
      <c r="HL18" s="715"/>
      <c r="HM18" s="715"/>
      <c r="HN18" s="715"/>
      <c r="HO18" s="715"/>
      <c r="HP18" s="715"/>
      <c r="HQ18" s="715"/>
      <c r="HR18" s="715"/>
      <c r="HS18" s="715"/>
      <c r="HT18" s="715"/>
      <c r="HU18" s="715"/>
      <c r="HV18" s="715"/>
      <c r="HW18" s="715"/>
      <c r="HX18" s="715"/>
      <c r="HY18" s="715"/>
      <c r="HZ18" s="715"/>
      <c r="IA18" s="715"/>
      <c r="IB18" s="715"/>
      <c r="IC18" s="715"/>
      <c r="ID18" s="715"/>
      <c r="IE18" s="715"/>
      <c r="IF18" s="715"/>
      <c r="IG18" s="715"/>
      <c r="IH18" s="715"/>
      <c r="II18" s="715"/>
      <c r="IJ18" s="715"/>
      <c r="IK18" s="715"/>
      <c r="IL18" s="715"/>
      <c r="IM18" s="715"/>
      <c r="IN18" s="715"/>
      <c r="IO18" s="715"/>
      <c r="IP18" s="715"/>
      <c r="IQ18" s="715"/>
      <c r="IR18" s="715"/>
      <c r="IS18" s="715"/>
      <c r="IT18" s="715"/>
      <c r="IU18" s="715"/>
      <c r="IV18" s="715"/>
      <c r="IW18" s="715"/>
    </row>
    <row r="19" customFormat="false" ht="21" hidden="false" customHeight="true" outlineLevel="0" collapsed="false">
      <c r="A19" s="799" t="inlineStr">
        <is>
          <t xml:space="preserve">9-G-012</t>
        </is>
      </c>
      <c r="B19" s="800" t="inlineStr">
        <is>
          <t xml:space="preserve">● 분사헤드의 설치장소 적정 여부</t>
        </is>
      </c>
      <c r="C19" s="816"/>
      <c r="D19" s="715"/>
      <c r="E19" s="715"/>
      <c r="F19" s="715"/>
      <c r="G19" s="715"/>
      <c r="H19" s="715"/>
      <c r="I19" s="715"/>
      <c r="J19" s="715"/>
      <c r="K19" s="715"/>
      <c r="L19" s="715"/>
      <c r="M19" s="715"/>
      <c r="N19" s="715"/>
      <c r="O19" s="715"/>
      <c r="P19" s="715"/>
      <c r="Q19" s="715"/>
      <c r="R19" s="715"/>
      <c r="S19" s="715"/>
      <c r="T19" s="715"/>
      <c r="U19" s="715"/>
      <c r="V19" s="715"/>
      <c r="W19" s="715"/>
      <c r="X19" s="715"/>
      <c r="Y19" s="715"/>
      <c r="Z19" s="715"/>
      <c r="AA19" s="715"/>
      <c r="AB19" s="715"/>
      <c r="AC19" s="715"/>
      <c r="AD19" s="715"/>
      <c r="AE19" s="715"/>
      <c r="AF19" s="715"/>
      <c r="AG19" s="715"/>
      <c r="AH19" s="715"/>
      <c r="AI19" s="715"/>
      <c r="AJ19" s="715"/>
      <c r="AK19" s="715"/>
      <c r="AL19" s="715"/>
      <c r="AM19" s="715"/>
      <c r="AN19" s="715"/>
      <c r="AO19" s="715"/>
      <c r="AP19" s="715"/>
      <c r="AQ19" s="715"/>
      <c r="AR19" s="715"/>
      <c r="AS19" s="715"/>
      <c r="AT19" s="715"/>
      <c r="AU19" s="715"/>
      <c r="AV19" s="715"/>
      <c r="AW19" s="715"/>
      <c r="AX19" s="715"/>
      <c r="AY19" s="715"/>
      <c r="AZ19" s="715"/>
      <c r="BA19" s="715"/>
      <c r="BB19" s="715"/>
      <c r="BC19" s="715"/>
      <c r="BD19" s="715"/>
      <c r="BE19" s="715"/>
      <c r="BF19" s="715"/>
      <c r="BG19" s="715"/>
      <c r="BH19" s="715"/>
      <c r="BI19" s="715"/>
      <c r="BJ19" s="715"/>
      <c r="BK19" s="715"/>
      <c r="BL19" s="715"/>
      <c r="BM19" s="715"/>
      <c r="BN19" s="715"/>
      <c r="BO19" s="715"/>
      <c r="BP19" s="715"/>
      <c r="BQ19" s="715"/>
      <c r="BR19" s="715"/>
      <c r="BS19" s="715"/>
      <c r="BT19" s="715"/>
      <c r="BU19" s="715"/>
      <c r="BV19" s="715"/>
      <c r="BW19" s="715"/>
      <c r="BX19" s="715"/>
      <c r="BY19" s="715"/>
      <c r="BZ19" s="715"/>
      <c r="CA19" s="715"/>
      <c r="CB19" s="715"/>
      <c r="CC19" s="715"/>
      <c r="CD19" s="715"/>
      <c r="CE19" s="715"/>
      <c r="CF19" s="715"/>
      <c r="CG19" s="715"/>
      <c r="CH19" s="715"/>
      <c r="CI19" s="715"/>
      <c r="CJ19" s="715"/>
      <c r="CK19" s="715"/>
      <c r="CL19" s="715"/>
      <c r="CM19" s="715"/>
      <c r="CN19" s="715"/>
      <c r="CO19" s="715"/>
      <c r="CP19" s="715"/>
      <c r="CQ19" s="715"/>
      <c r="CR19" s="715"/>
      <c r="CS19" s="715"/>
      <c r="CT19" s="715"/>
      <c r="CU19" s="715"/>
      <c r="CV19" s="715"/>
      <c r="CW19" s="715"/>
      <c r="CX19" s="715"/>
      <c r="CY19" s="715"/>
      <c r="CZ19" s="715"/>
      <c r="DA19" s="715"/>
      <c r="DB19" s="715"/>
      <c r="DC19" s="715"/>
      <c r="DD19" s="715"/>
      <c r="DE19" s="715"/>
      <c r="DF19" s="715"/>
      <c r="DG19" s="715"/>
      <c r="DH19" s="715"/>
      <c r="DI19" s="715"/>
      <c r="DJ19" s="715"/>
      <c r="DK19" s="715"/>
      <c r="DL19" s="715"/>
      <c r="DM19" s="715"/>
      <c r="DN19" s="715"/>
      <c r="DO19" s="715"/>
      <c r="DP19" s="715"/>
      <c r="DQ19" s="715"/>
      <c r="DR19" s="715"/>
      <c r="DS19" s="715"/>
      <c r="DT19" s="715"/>
      <c r="DU19" s="715"/>
      <c r="DV19" s="715"/>
      <c r="DW19" s="715"/>
      <c r="DX19" s="715"/>
      <c r="DY19" s="715"/>
      <c r="DZ19" s="715"/>
      <c r="EA19" s="715"/>
      <c r="EB19" s="715"/>
      <c r="EC19" s="715"/>
      <c r="ED19" s="715"/>
      <c r="EE19" s="715"/>
      <c r="EF19" s="715"/>
      <c r="EG19" s="715"/>
      <c r="EH19" s="715"/>
      <c r="EI19" s="715"/>
      <c r="EJ19" s="715"/>
      <c r="EK19" s="715"/>
      <c r="EL19" s="715"/>
      <c r="EM19" s="715"/>
      <c r="EN19" s="715"/>
      <c r="EO19" s="715"/>
      <c r="EP19" s="715"/>
      <c r="EQ19" s="715"/>
      <c r="ER19" s="715"/>
      <c r="ES19" s="715"/>
      <c r="ET19" s="715"/>
      <c r="EU19" s="715"/>
      <c r="EV19" s="715"/>
      <c r="EW19" s="715"/>
      <c r="EX19" s="715"/>
      <c r="EY19" s="715"/>
      <c r="EZ19" s="715"/>
      <c r="FA19" s="715"/>
      <c r="FB19" s="715"/>
      <c r="FC19" s="715"/>
      <c r="FD19" s="715"/>
      <c r="FE19" s="715"/>
      <c r="FF19" s="715"/>
      <c r="FG19" s="715"/>
      <c r="FH19" s="715"/>
      <c r="FI19" s="715"/>
      <c r="FJ19" s="715"/>
      <c r="FK19" s="715"/>
      <c r="FL19" s="715"/>
      <c r="FM19" s="715"/>
      <c r="FN19" s="715"/>
      <c r="FO19" s="715"/>
      <c r="FP19" s="715"/>
      <c r="FQ19" s="715"/>
      <c r="FR19" s="715"/>
      <c r="FS19" s="715"/>
      <c r="FT19" s="715"/>
      <c r="FU19" s="715"/>
      <c r="FV19" s="715"/>
      <c r="FW19" s="715"/>
      <c r="FX19" s="715"/>
      <c r="FY19" s="715"/>
      <c r="FZ19" s="715"/>
      <c r="GA19" s="715"/>
      <c r="GB19" s="715"/>
      <c r="GC19" s="715"/>
      <c r="GD19" s="715"/>
      <c r="GE19" s="715"/>
      <c r="GF19" s="715"/>
      <c r="GG19" s="715"/>
      <c r="GH19" s="715"/>
      <c r="GI19" s="715"/>
      <c r="GJ19" s="715"/>
      <c r="GK19" s="715"/>
      <c r="GL19" s="715"/>
      <c r="GM19" s="715"/>
      <c r="GN19" s="715"/>
      <c r="GO19" s="715"/>
      <c r="GP19" s="715"/>
      <c r="GQ19" s="715"/>
      <c r="GR19" s="715"/>
      <c r="GS19" s="715"/>
      <c r="GT19" s="715"/>
      <c r="GU19" s="715"/>
      <c r="GV19" s="715"/>
      <c r="GW19" s="715"/>
      <c r="GX19" s="715"/>
      <c r="GY19" s="715"/>
      <c r="GZ19" s="715"/>
      <c r="HA19" s="715"/>
      <c r="HB19" s="715"/>
      <c r="HC19" s="715"/>
      <c r="HD19" s="715"/>
      <c r="HE19" s="715"/>
      <c r="HF19" s="715"/>
      <c r="HG19" s="715"/>
      <c r="HH19" s="715"/>
      <c r="HI19" s="715"/>
      <c r="HJ19" s="715"/>
      <c r="HK19" s="715"/>
      <c r="HL19" s="715"/>
      <c r="HM19" s="715"/>
      <c r="HN19" s="715"/>
      <c r="HO19" s="715"/>
      <c r="HP19" s="715"/>
      <c r="HQ19" s="715"/>
      <c r="HR19" s="715"/>
      <c r="HS19" s="715"/>
      <c r="HT19" s="715"/>
      <c r="HU19" s="715"/>
      <c r="HV19" s="715"/>
      <c r="HW19" s="715"/>
      <c r="HX19" s="715"/>
      <c r="HY19" s="715"/>
      <c r="HZ19" s="715"/>
      <c r="IA19" s="715"/>
      <c r="IB19" s="715"/>
      <c r="IC19" s="715"/>
      <c r="ID19" s="715"/>
      <c r="IE19" s="715"/>
      <c r="IF19" s="715"/>
      <c r="IG19" s="715"/>
      <c r="IH19" s="715"/>
      <c r="II19" s="715"/>
      <c r="IJ19" s="715"/>
      <c r="IK19" s="715"/>
      <c r="IL19" s="715"/>
      <c r="IM19" s="715"/>
      <c r="IN19" s="715"/>
      <c r="IO19" s="715"/>
      <c r="IP19" s="715"/>
      <c r="IQ19" s="715"/>
      <c r="IR19" s="715"/>
      <c r="IS19" s="715"/>
      <c r="IT19" s="715"/>
      <c r="IU19" s="715"/>
      <c r="IV19" s="715"/>
      <c r="IW19" s="715"/>
    </row>
    <row r="20" customFormat="false" ht="21" hidden="false" customHeight="true" outlineLevel="0" collapsed="false">
      <c r="A20" s="795" t="inlineStr">
        <is>
          <t xml:space="preserve">  </t>
        </is>
      </c>
      <c r="B20" s="817" t="inlineStr">
        <is>
          <t xml:space="preserve"> [호스릴방식]</t>
        </is>
      </c>
      <c r="C20" s="816"/>
      <c r="D20" s="715"/>
      <c r="E20" s="715"/>
      <c r="F20" s="715"/>
      <c r="G20" s="715"/>
      <c r="H20" s="715"/>
      <c r="I20" s="715"/>
      <c r="J20" s="715"/>
      <c r="K20" s="715"/>
      <c r="L20" s="715"/>
      <c r="M20" s="715"/>
      <c r="N20" s="715"/>
      <c r="O20" s="715"/>
      <c r="P20" s="715"/>
      <c r="Q20" s="715"/>
      <c r="R20" s="715"/>
      <c r="S20" s="715"/>
      <c r="T20" s="715"/>
      <c r="U20" s="715"/>
      <c r="V20" s="715"/>
      <c r="W20" s="715"/>
      <c r="X20" s="715"/>
      <c r="Y20" s="715"/>
      <c r="Z20" s="715"/>
      <c r="AA20" s="715"/>
      <c r="AB20" s="715"/>
      <c r="AC20" s="715"/>
      <c r="AD20" s="715"/>
      <c r="AE20" s="715"/>
      <c r="AF20" s="715"/>
      <c r="AG20" s="715"/>
      <c r="AH20" s="715"/>
      <c r="AI20" s="715"/>
      <c r="AJ20" s="715"/>
      <c r="AK20" s="715"/>
      <c r="AL20" s="715"/>
      <c r="AM20" s="715"/>
      <c r="AN20" s="715"/>
      <c r="AO20" s="715"/>
      <c r="AP20" s="715"/>
      <c r="AQ20" s="715"/>
      <c r="AR20" s="715"/>
      <c r="AS20" s="715"/>
      <c r="AT20" s="715"/>
      <c r="AU20" s="715"/>
      <c r="AV20" s="715"/>
      <c r="AW20" s="715"/>
      <c r="AX20" s="715"/>
      <c r="AY20" s="715"/>
      <c r="AZ20" s="715"/>
      <c r="BA20" s="715"/>
      <c r="BB20" s="715"/>
      <c r="BC20" s="715"/>
      <c r="BD20" s="715"/>
      <c r="BE20" s="715"/>
      <c r="BF20" s="715"/>
      <c r="BG20" s="715"/>
      <c r="BH20" s="715"/>
      <c r="BI20" s="715"/>
      <c r="BJ20" s="715"/>
      <c r="BK20" s="715"/>
      <c r="BL20" s="715"/>
      <c r="BM20" s="715"/>
      <c r="BN20" s="715"/>
      <c r="BO20" s="715"/>
      <c r="BP20" s="715"/>
      <c r="BQ20" s="715"/>
      <c r="BR20" s="715"/>
      <c r="BS20" s="715"/>
      <c r="BT20" s="715"/>
      <c r="BU20" s="715"/>
      <c r="BV20" s="715"/>
      <c r="BW20" s="715"/>
      <c r="BX20" s="715"/>
      <c r="BY20" s="715"/>
      <c r="BZ20" s="715"/>
      <c r="CA20" s="715"/>
      <c r="CB20" s="715"/>
      <c r="CC20" s="715"/>
      <c r="CD20" s="715"/>
      <c r="CE20" s="715"/>
      <c r="CF20" s="715"/>
      <c r="CG20" s="715"/>
      <c r="CH20" s="715"/>
      <c r="CI20" s="715"/>
      <c r="CJ20" s="715"/>
      <c r="CK20" s="715"/>
      <c r="CL20" s="715"/>
      <c r="CM20" s="715"/>
      <c r="CN20" s="715"/>
      <c r="CO20" s="715"/>
      <c r="CP20" s="715"/>
      <c r="CQ20" s="715"/>
      <c r="CR20" s="715"/>
      <c r="CS20" s="715"/>
      <c r="CT20" s="715"/>
      <c r="CU20" s="715"/>
      <c r="CV20" s="715"/>
      <c r="CW20" s="715"/>
      <c r="CX20" s="715"/>
      <c r="CY20" s="715"/>
      <c r="CZ20" s="715"/>
      <c r="DA20" s="715"/>
      <c r="DB20" s="715"/>
      <c r="DC20" s="715"/>
      <c r="DD20" s="715"/>
      <c r="DE20" s="715"/>
      <c r="DF20" s="715"/>
      <c r="DG20" s="715"/>
      <c r="DH20" s="715"/>
      <c r="DI20" s="715"/>
      <c r="DJ20" s="715"/>
      <c r="DK20" s="715"/>
      <c r="DL20" s="715"/>
      <c r="DM20" s="715"/>
      <c r="DN20" s="715"/>
      <c r="DO20" s="715"/>
      <c r="DP20" s="715"/>
      <c r="DQ20" s="715"/>
      <c r="DR20" s="715"/>
      <c r="DS20" s="715"/>
      <c r="DT20" s="715"/>
      <c r="DU20" s="715"/>
      <c r="DV20" s="715"/>
      <c r="DW20" s="715"/>
      <c r="DX20" s="715"/>
      <c r="DY20" s="715"/>
      <c r="DZ20" s="715"/>
      <c r="EA20" s="715"/>
      <c r="EB20" s="715"/>
      <c r="EC20" s="715"/>
      <c r="ED20" s="715"/>
      <c r="EE20" s="715"/>
      <c r="EF20" s="715"/>
      <c r="EG20" s="715"/>
      <c r="EH20" s="715"/>
      <c r="EI20" s="715"/>
      <c r="EJ20" s="715"/>
      <c r="EK20" s="715"/>
      <c r="EL20" s="715"/>
      <c r="EM20" s="715"/>
      <c r="EN20" s="715"/>
      <c r="EO20" s="715"/>
      <c r="EP20" s="715"/>
      <c r="EQ20" s="715"/>
      <c r="ER20" s="715"/>
      <c r="ES20" s="715"/>
      <c r="ET20" s="715"/>
      <c r="EU20" s="715"/>
      <c r="EV20" s="715"/>
      <c r="EW20" s="715"/>
      <c r="EX20" s="715"/>
      <c r="EY20" s="715"/>
      <c r="EZ20" s="715"/>
      <c r="FA20" s="715"/>
      <c r="FB20" s="715"/>
      <c r="FC20" s="715"/>
      <c r="FD20" s="715"/>
      <c r="FE20" s="715"/>
      <c r="FF20" s="715"/>
      <c r="FG20" s="715"/>
      <c r="FH20" s="715"/>
      <c r="FI20" s="715"/>
      <c r="FJ20" s="715"/>
      <c r="FK20" s="715"/>
      <c r="FL20" s="715"/>
      <c r="FM20" s="715"/>
      <c r="FN20" s="715"/>
      <c r="FO20" s="715"/>
      <c r="FP20" s="715"/>
      <c r="FQ20" s="715"/>
      <c r="FR20" s="715"/>
      <c r="FS20" s="715"/>
      <c r="FT20" s="715"/>
      <c r="FU20" s="715"/>
      <c r="FV20" s="715"/>
      <c r="FW20" s="715"/>
      <c r="FX20" s="715"/>
      <c r="FY20" s="715"/>
      <c r="FZ20" s="715"/>
      <c r="GA20" s="715"/>
      <c r="GB20" s="715"/>
      <c r="GC20" s="715"/>
      <c r="GD20" s="715"/>
      <c r="GE20" s="715"/>
      <c r="GF20" s="715"/>
      <c r="GG20" s="715"/>
      <c r="GH20" s="715"/>
      <c r="GI20" s="715"/>
      <c r="GJ20" s="715"/>
      <c r="GK20" s="715"/>
      <c r="GL20" s="715"/>
      <c r="GM20" s="715"/>
      <c r="GN20" s="715"/>
      <c r="GO20" s="715"/>
      <c r="GP20" s="715"/>
      <c r="GQ20" s="715"/>
      <c r="GR20" s="715"/>
      <c r="GS20" s="715"/>
      <c r="GT20" s="715"/>
      <c r="GU20" s="715"/>
      <c r="GV20" s="715"/>
      <c r="GW20" s="715"/>
      <c r="GX20" s="715"/>
      <c r="GY20" s="715"/>
      <c r="GZ20" s="715"/>
      <c r="HA20" s="715"/>
      <c r="HB20" s="715"/>
      <c r="HC20" s="715"/>
      <c r="HD20" s="715"/>
      <c r="HE20" s="715"/>
      <c r="HF20" s="715"/>
      <c r="HG20" s="715"/>
      <c r="HH20" s="715"/>
      <c r="HI20" s="715"/>
      <c r="HJ20" s="715"/>
      <c r="HK20" s="715"/>
      <c r="HL20" s="715"/>
      <c r="HM20" s="715"/>
      <c r="HN20" s="715"/>
      <c r="HO20" s="715"/>
      <c r="HP20" s="715"/>
      <c r="HQ20" s="715"/>
      <c r="HR20" s="715"/>
      <c r="HS20" s="715"/>
      <c r="HT20" s="715"/>
      <c r="HU20" s="715"/>
      <c r="HV20" s="715"/>
      <c r="HW20" s="715"/>
      <c r="HX20" s="715"/>
      <c r="HY20" s="715"/>
      <c r="HZ20" s="715"/>
      <c r="IA20" s="715"/>
      <c r="IB20" s="715"/>
      <c r="IC20" s="715"/>
      <c r="ID20" s="715"/>
      <c r="IE20" s="715"/>
      <c r="IF20" s="715"/>
      <c r="IG20" s="715"/>
      <c r="IH20" s="715"/>
      <c r="II20" s="715"/>
      <c r="IJ20" s="715"/>
      <c r="IK20" s="715"/>
      <c r="IL20" s="715"/>
      <c r="IM20" s="715"/>
      <c r="IN20" s="715"/>
      <c r="IO20" s="715"/>
      <c r="IP20" s="715"/>
      <c r="IQ20" s="715"/>
      <c r="IR20" s="715"/>
      <c r="IS20" s="715"/>
      <c r="IT20" s="715"/>
      <c r="IU20" s="715"/>
      <c r="IV20" s="715"/>
      <c r="IW20" s="715"/>
    </row>
    <row r="21" customFormat="false" ht="21" hidden="false" customHeight="true" outlineLevel="0" collapsed="false">
      <c r="A21" s="798" t="inlineStr">
        <is>
          <t xml:space="preserve">9-G-021</t>
        </is>
      </c>
      <c r="B21" s="746" t="inlineStr">
        <is>
          <t xml:space="preserve">● 방호대상물 각 부분으로부터 호스접결구까지 수평거리 적정 여부</t>
        </is>
      </c>
      <c r="C21" s="819"/>
    </row>
    <row r="22" customFormat="false" ht="21" hidden="false" customHeight="true" outlineLevel="0" collapsed="false">
      <c r="A22" s="798" t="inlineStr">
        <is>
          <t xml:space="preserve">9-G-022</t>
        </is>
      </c>
      <c r="B22" s="746" t="inlineStr">
        <is>
          <t xml:space="preserve">○ 소화약제저장용기의 위치표시등 정상 점등 및 표지 설치 여부</t>
        </is>
      </c>
      <c r="C22" s="816"/>
    </row>
    <row r="23" customFormat="false" ht="21" hidden="false" customHeight="true" outlineLevel="0" collapsed="false">
      <c r="A23" s="799" t="inlineStr">
        <is>
          <t xml:space="preserve">9-G-023</t>
        </is>
      </c>
      <c r="B23" s="800" t="inlineStr">
        <is>
          <t xml:space="preserve">● 호스릴소화설비 설치장소 적정 여부</t>
        </is>
      </c>
      <c r="C23" s="816"/>
    </row>
    <row r="24" customFormat="false" ht="24" hidden="false" customHeight="true" outlineLevel="0" collapsed="false">
      <c r="A24" s="818" t="inlineStr">
        <is>
          <t xml:space="preserve"> 9-H. 화재감지기</t>
        </is>
      </c>
      <c r="B24" s="818"/>
      <c r="C24" s="818"/>
    </row>
    <row r="25" customFormat="false" ht="21" hidden="false" customHeight="true" outlineLevel="0" collapsed="false">
      <c r="A25" s="795" t="inlineStr">
        <is>
          <t xml:space="preserve">9-H-001</t>
        </is>
      </c>
      <c r="B25" s="796" t="inlineStr">
        <is>
          <t xml:space="preserve">○ 방호구역별 화재감지기 감지에 의한 기동장치 작동 여부</t>
        </is>
      </c>
      <c r="C25" s="819"/>
    </row>
    <row r="26" customFormat="false" ht="21" hidden="false" customHeight="true" outlineLevel="0" collapsed="false">
      <c r="A26" s="798" t="inlineStr">
        <is>
          <t xml:space="preserve">9-H-002</t>
        </is>
      </c>
      <c r="B26" s="746" t="inlineStr">
        <is>
          <t xml:space="preserve">● 교차회로(또는 NFSC 203 제7조제1항 단서 감지기) 설치 여부</t>
        </is>
      </c>
      <c r="C26" s="819"/>
    </row>
    <row r="27" customFormat="false" ht="21" hidden="false" customHeight="true" outlineLevel="0" collapsed="false">
      <c r="A27" s="799" t="inlineStr">
        <is>
          <t xml:space="preserve">9-H-003</t>
        </is>
      </c>
      <c r="B27" s="800" t="inlineStr">
        <is>
          <t xml:space="preserve">● 화재감지기별 유효 바닥면적 적정 여부</t>
        </is>
      </c>
      <c r="C27" s="816"/>
    </row>
    <row r="28" customFormat="false" ht="24" hidden="false" customHeight="true" outlineLevel="0" collapsed="false">
      <c r="A28" s="818" t="inlineStr">
        <is>
          <t xml:space="preserve"> 9-I. 음향경보장치</t>
        </is>
      </c>
      <c r="B28" s="818"/>
      <c r="C28" s="818"/>
    </row>
    <row r="29" customFormat="false" ht="21" hidden="false" customHeight="true" outlineLevel="0" collapsed="false">
      <c r="A29" s="795" t="inlineStr">
        <is>
          <t xml:space="preserve">9-I-001</t>
        </is>
      </c>
      <c r="B29" s="796" t="inlineStr">
        <is>
          <t xml:space="preserve">○ 기동장치 조작 시(수동식-방출용스위치, 자동식-화재감지기) 경보 여부</t>
        </is>
      </c>
      <c r="C29" s="819"/>
    </row>
    <row r="30" customFormat="false" ht="21" hidden="false" customHeight="true" outlineLevel="0" collapsed="false">
      <c r="A30" s="798" t="inlineStr">
        <is>
          <t xml:space="preserve">9-I-002</t>
        </is>
      </c>
      <c r="B30" s="746" t="inlineStr">
        <is>
          <t xml:space="preserve">○ 약제 방사 개시(또는 방출 압력스위치 작동) 후 경보 적정 여부</t>
        </is>
      </c>
      <c r="C30" s="819"/>
    </row>
    <row r="31" customFormat="false" ht="21" hidden="false" customHeight="true" outlineLevel="0" collapsed="false">
      <c r="A31" s="799" t="inlineStr">
        <is>
          <t xml:space="preserve">9-I-003</t>
        </is>
      </c>
      <c r="B31" s="800" t="inlineStr">
        <is>
          <t xml:space="preserve">● 방호구역 또는 방호대상물 구획 안에서 유효한 경보 가능 여부</t>
        </is>
      </c>
      <c r="C31" s="819"/>
    </row>
    <row r="32" customFormat="false" ht="21" hidden="false" customHeight="true" outlineLevel="0" collapsed="false">
      <c r="A32" s="795" t="inlineStr">
        <is>
          <t xml:space="preserve">  </t>
        </is>
      </c>
      <c r="B32" s="817" t="inlineStr">
        <is>
          <t xml:space="preserve"> [방송에 따른 경보장치]</t>
        </is>
      </c>
      <c r="C32" s="822"/>
    </row>
    <row r="33" customFormat="false" ht="21" hidden="false" customHeight="true" outlineLevel="0" collapsed="false">
      <c r="A33" s="798" t="inlineStr">
        <is>
          <t xml:space="preserve">9-I-011</t>
        </is>
      </c>
      <c r="B33" s="746" t="inlineStr">
        <is>
          <t xml:space="preserve">● 증폭기 재생장치의 설치장소 적정 여부</t>
        </is>
      </c>
      <c r="C33" s="816"/>
    </row>
    <row r="34" customFormat="false" ht="21" hidden="false" customHeight="true" outlineLevel="0" collapsed="false">
      <c r="A34" s="798" t="inlineStr">
        <is>
          <t xml:space="preserve">9-I-012</t>
        </is>
      </c>
      <c r="B34" s="746" t="inlineStr">
        <is>
          <t xml:space="preserve">● 방호구역·방호대상물에서 확성기 간 수평거리 적정 여부</t>
        </is>
      </c>
      <c r="C34" s="816"/>
    </row>
    <row r="35" customFormat="false" ht="21" hidden="false" customHeight="true" outlineLevel="0" collapsed="false">
      <c r="A35" s="799" t="inlineStr">
        <is>
          <t xml:space="preserve">9-I-013</t>
        </is>
      </c>
      <c r="B35" s="800" t="inlineStr">
        <is>
          <t xml:space="preserve">● 제어반 복구스위치 조작 시 경보 지속 여부</t>
        </is>
      </c>
      <c r="C35" s="816"/>
    </row>
    <row r="36" customFormat="false" ht="24" hidden="false" customHeight="true" outlineLevel="0" collapsed="false">
      <c r="A36" s="818" t="inlineStr">
        <is>
          <t xml:space="preserve"> 9-J. 자동폐쇄장치</t>
        </is>
      </c>
      <c r="B36" s="818"/>
      <c r="C36" s="818"/>
    </row>
    <row r="37" customFormat="false" ht="21" hidden="false" customHeight="true" outlineLevel="0" collapsed="false">
      <c r="A37" s="795" t="inlineStr">
        <is>
          <t xml:space="preserve">9-J-001</t>
        </is>
      </c>
      <c r="B37" s="796" t="inlineStr">
        <is>
          <t xml:space="preserve">○ 환기장치 자동정지 기능 적정 여부</t>
        </is>
      </c>
      <c r="C37" s="823"/>
    </row>
    <row r="38" customFormat="false" ht="21" hidden="false" customHeight="true" outlineLevel="0" collapsed="false">
      <c r="A38" s="824" t="inlineStr">
        <is>
          <t xml:space="preserve">9-J-002</t>
        </is>
      </c>
      <c r="B38" s="825" t="inlineStr">
        <is>
          <t xml:space="preserve">○ 개구부 및 통기구 자동폐쇄장치 설치 장소 및 기능 적합 여부</t>
        </is>
      </c>
      <c r="C38" s="820"/>
    </row>
  </sheetData>
  <mergeCells count="7">
    <mergeCell ref="A1:C1"/>
    <mergeCell ref="A8:C8"/>
    <mergeCell ref="A11:C11"/>
    <mergeCell ref="A13:C13"/>
    <mergeCell ref="A24:C24"/>
    <mergeCell ref="A28:C28"/>
    <mergeCell ref="A36:C36"/>
  </mergeCells>
  <dataValidations count="1">
    <dataValidation allowBlank="true" errorStyle="stop" operator="between" showDropDown="false" showErrorMessage="true" showInputMessage="false" sqref="C4:C7 C9:C10 C12 C15:C16 C18:C19 C21:C23 C25:C27 C29:C31 C33:C35 C37:C38" type="list">
      <formula1>$G$8:$G$10</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88671875" defaultRowHeight="13.5" customHeight="false" zeroHeight="false" outlineLevelRow="0" outlineLevelCol="0"/>
  <cols>
    <col collapsed="false" customWidth="true" hidden="false" outlineLevel="0" max="1" min="1" style="766" width="10.99"/>
    <col collapsed="false" customWidth="true" hidden="false" outlineLevel="0" max="2" min="2" style="766" width="64.33"/>
    <col collapsed="false" customWidth="true" hidden="false" outlineLevel="0" max="3" min="3" style="766" width="10.88"/>
    <col collapsed="false" customWidth="false" hidden="false" outlineLevel="0" max="257" min="4" style="766" width="8.88"/>
  </cols>
  <sheetData>
    <row r="1" customFormat="false" ht="18" hidden="false" customHeight="true" outlineLevel="0" collapsed="false">
      <c r="A1" s="821" t="inlineStr">
        <is>
          <t xml:space="preserve">                      (3면)</t>
        </is>
      </c>
      <c r="B1" s="821"/>
      <c r="C1" s="821"/>
    </row>
    <row r="2" customFormat="false" ht="26.25" hidden="false" customHeight="true" outlineLevel="0" collapsed="false">
      <c r="A2" s="826" t="inlineStr">
        <is>
          <t xml:space="preserve">번호</t>
        </is>
      </c>
      <c r="B2" s="827" t="inlineStr">
        <is>
          <t xml:space="preserve">점검항목</t>
        </is>
      </c>
      <c r="C2" s="828" t="inlineStr">
        <is>
          <t xml:space="preserve">점검결과</t>
        </is>
      </c>
    </row>
    <row r="3" customFormat="false" ht="21.75" hidden="false" customHeight="true" outlineLevel="0" collapsed="false">
      <c r="A3" s="760" t="inlineStr">
        <is>
          <t xml:space="preserve">9-J-003</t>
        </is>
      </c>
      <c r="B3" s="761" t="inlineStr">
        <is>
          <t xml:space="preserve">● 자동폐쇄장치 복구장치 설치기준 적합 및 위치표지 적합 여부</t>
        </is>
      </c>
      <c r="C3" s="816"/>
      <c r="D3" s="829"/>
      <c r="E3" s="829"/>
      <c r="F3" s="829"/>
      <c r="G3" s="829"/>
      <c r="H3" s="829"/>
      <c r="I3" s="829"/>
      <c r="J3" s="829"/>
      <c r="K3" s="829"/>
      <c r="L3" s="829"/>
      <c r="M3" s="829"/>
      <c r="N3" s="829"/>
      <c r="O3" s="829"/>
      <c r="P3" s="829"/>
      <c r="Q3" s="829"/>
      <c r="R3" s="829"/>
      <c r="S3" s="829"/>
      <c r="T3" s="829"/>
      <c r="U3" s="829"/>
      <c r="V3" s="829"/>
      <c r="W3" s="829"/>
      <c r="X3" s="829"/>
      <c r="Y3" s="829"/>
      <c r="Z3" s="829"/>
      <c r="AA3" s="829"/>
      <c r="AB3" s="829"/>
      <c r="AC3" s="829"/>
      <c r="AD3" s="829"/>
      <c r="AE3" s="829"/>
      <c r="AF3" s="829"/>
      <c r="AG3" s="829"/>
      <c r="AH3" s="829"/>
      <c r="AI3" s="829"/>
      <c r="AJ3" s="829"/>
      <c r="AK3" s="829"/>
      <c r="AL3" s="829"/>
      <c r="AM3" s="829"/>
      <c r="AN3" s="829"/>
      <c r="AO3" s="829"/>
      <c r="AP3" s="829"/>
      <c r="AQ3" s="829"/>
      <c r="AR3" s="829"/>
      <c r="AS3" s="829"/>
      <c r="AT3" s="829"/>
      <c r="AU3" s="829"/>
      <c r="AV3" s="829"/>
      <c r="AW3" s="829"/>
      <c r="AX3" s="829"/>
      <c r="AY3" s="829"/>
      <c r="AZ3" s="829"/>
      <c r="BA3" s="829"/>
      <c r="BB3" s="829"/>
      <c r="BC3" s="829"/>
      <c r="BD3" s="829"/>
      <c r="BE3" s="829"/>
      <c r="BF3" s="829"/>
      <c r="BG3" s="829"/>
      <c r="BH3" s="829"/>
      <c r="BI3" s="829"/>
      <c r="BJ3" s="829"/>
      <c r="BK3" s="829"/>
      <c r="BL3" s="829"/>
      <c r="BM3" s="829"/>
      <c r="BN3" s="829"/>
      <c r="BO3" s="829"/>
      <c r="BP3" s="829"/>
      <c r="BQ3" s="829"/>
      <c r="BR3" s="829"/>
      <c r="BS3" s="829"/>
      <c r="BT3" s="829"/>
      <c r="BU3" s="829"/>
      <c r="BV3" s="829"/>
      <c r="BW3" s="829"/>
      <c r="BX3" s="829"/>
      <c r="BY3" s="829"/>
      <c r="BZ3" s="829"/>
      <c r="CA3" s="829"/>
      <c r="CB3" s="829"/>
      <c r="CC3" s="829"/>
      <c r="CD3" s="829"/>
      <c r="CE3" s="829"/>
      <c r="CF3" s="829"/>
      <c r="CG3" s="829"/>
      <c r="CH3" s="829"/>
      <c r="CI3" s="829"/>
      <c r="CJ3" s="829"/>
      <c r="CK3" s="829"/>
      <c r="CL3" s="829"/>
      <c r="CM3" s="829"/>
      <c r="CN3" s="829"/>
      <c r="CO3" s="829"/>
      <c r="CP3" s="829"/>
      <c r="CQ3" s="829"/>
      <c r="CR3" s="829"/>
      <c r="CS3" s="829"/>
      <c r="CT3" s="829"/>
      <c r="CU3" s="829"/>
      <c r="CV3" s="829"/>
      <c r="CW3" s="829"/>
      <c r="CX3" s="829"/>
      <c r="CY3" s="829"/>
      <c r="CZ3" s="829"/>
      <c r="DA3" s="829"/>
      <c r="DB3" s="829"/>
      <c r="DC3" s="829"/>
      <c r="DD3" s="829"/>
      <c r="DE3" s="829"/>
      <c r="DF3" s="829"/>
      <c r="DG3" s="829"/>
      <c r="DH3" s="829"/>
      <c r="DI3" s="829"/>
      <c r="DJ3" s="829"/>
      <c r="DK3" s="829"/>
      <c r="DL3" s="829"/>
      <c r="DM3" s="829"/>
      <c r="DN3" s="829"/>
      <c r="DO3" s="829"/>
      <c r="DP3" s="829"/>
      <c r="DQ3" s="829"/>
      <c r="DR3" s="829"/>
      <c r="DS3" s="829"/>
      <c r="DT3" s="829"/>
      <c r="DU3" s="829"/>
      <c r="DV3" s="829"/>
      <c r="DW3" s="829"/>
      <c r="DX3" s="829"/>
      <c r="DY3" s="829"/>
      <c r="DZ3" s="829"/>
      <c r="EA3" s="829"/>
      <c r="EB3" s="829"/>
      <c r="EC3" s="829"/>
      <c r="ED3" s="829"/>
      <c r="EE3" s="829"/>
      <c r="EF3" s="829"/>
      <c r="EG3" s="829"/>
      <c r="EH3" s="829"/>
      <c r="EI3" s="829"/>
      <c r="EJ3" s="829"/>
      <c r="EK3" s="829"/>
      <c r="EL3" s="829"/>
      <c r="EM3" s="829"/>
      <c r="EN3" s="829"/>
      <c r="EO3" s="829"/>
      <c r="EP3" s="829"/>
      <c r="EQ3" s="829"/>
      <c r="ER3" s="829"/>
      <c r="ES3" s="829"/>
      <c r="ET3" s="829"/>
      <c r="EU3" s="829"/>
      <c r="EV3" s="829"/>
      <c r="EW3" s="829"/>
      <c r="EX3" s="829"/>
      <c r="EY3" s="829"/>
      <c r="EZ3" s="829"/>
      <c r="FA3" s="829"/>
      <c r="FB3" s="829"/>
      <c r="FC3" s="829"/>
      <c r="FD3" s="829"/>
      <c r="FE3" s="829"/>
      <c r="FF3" s="829"/>
      <c r="FG3" s="829"/>
      <c r="FH3" s="829"/>
      <c r="FI3" s="829"/>
      <c r="FJ3" s="829"/>
      <c r="FK3" s="829"/>
      <c r="FL3" s="829"/>
      <c r="FM3" s="829"/>
      <c r="FN3" s="829"/>
      <c r="FO3" s="829"/>
      <c r="FP3" s="829"/>
      <c r="FQ3" s="829"/>
      <c r="FR3" s="829"/>
      <c r="FS3" s="829"/>
      <c r="FT3" s="829"/>
      <c r="FU3" s="829"/>
      <c r="FV3" s="829"/>
      <c r="FW3" s="829"/>
      <c r="FX3" s="829"/>
      <c r="FY3" s="829"/>
      <c r="FZ3" s="829"/>
      <c r="GA3" s="829"/>
      <c r="GB3" s="829"/>
      <c r="GC3" s="829"/>
      <c r="GD3" s="829"/>
      <c r="GE3" s="829"/>
      <c r="GF3" s="829"/>
      <c r="GG3" s="829"/>
      <c r="GH3" s="829"/>
      <c r="GI3" s="829"/>
      <c r="GJ3" s="829"/>
      <c r="GK3" s="829"/>
      <c r="GL3" s="829"/>
      <c r="GM3" s="829"/>
      <c r="GN3" s="829"/>
      <c r="GO3" s="829"/>
      <c r="GP3" s="829"/>
      <c r="GQ3" s="829"/>
      <c r="GR3" s="829"/>
      <c r="GS3" s="829"/>
      <c r="GT3" s="829"/>
      <c r="GU3" s="829"/>
      <c r="GV3" s="829"/>
      <c r="GW3" s="829"/>
      <c r="GX3" s="829"/>
      <c r="GY3" s="829"/>
      <c r="GZ3" s="829"/>
      <c r="HA3" s="829"/>
      <c r="HB3" s="829"/>
      <c r="HC3" s="829"/>
      <c r="HD3" s="829"/>
      <c r="HE3" s="829"/>
      <c r="HF3" s="829"/>
      <c r="HG3" s="829"/>
      <c r="HH3" s="829"/>
      <c r="HI3" s="829"/>
      <c r="HJ3" s="829"/>
      <c r="HK3" s="829"/>
      <c r="HL3" s="829"/>
      <c r="HM3" s="829"/>
      <c r="HN3" s="829"/>
      <c r="HO3" s="829"/>
      <c r="HP3" s="829"/>
      <c r="HQ3" s="829"/>
      <c r="HR3" s="829"/>
      <c r="HS3" s="829"/>
      <c r="HT3" s="829"/>
      <c r="HU3" s="829"/>
      <c r="HV3" s="829"/>
      <c r="HW3" s="829"/>
      <c r="HX3" s="829"/>
      <c r="HY3" s="829"/>
      <c r="HZ3" s="829"/>
      <c r="IA3" s="829"/>
      <c r="IB3" s="829"/>
      <c r="IC3" s="829"/>
      <c r="ID3" s="829"/>
      <c r="IE3" s="829"/>
      <c r="IF3" s="829"/>
      <c r="IG3" s="829"/>
      <c r="IH3" s="829"/>
      <c r="II3" s="829"/>
      <c r="IJ3" s="829"/>
      <c r="IK3" s="829"/>
      <c r="IL3" s="829"/>
      <c r="IM3" s="829"/>
      <c r="IN3" s="829"/>
      <c r="IO3" s="829"/>
      <c r="IP3" s="829"/>
      <c r="IQ3" s="829"/>
      <c r="IR3" s="829"/>
      <c r="IS3" s="829"/>
      <c r="IT3" s="829"/>
      <c r="IU3" s="829"/>
      <c r="IV3" s="829"/>
      <c r="IW3" s="829"/>
    </row>
    <row r="4" customFormat="false" ht="24" hidden="false" customHeight="true" outlineLevel="0" collapsed="false">
      <c r="A4" s="818" t="inlineStr">
        <is>
          <t xml:space="preserve"> 9-K. 비상전원</t>
        </is>
      </c>
      <c r="B4" s="818"/>
      <c r="C4" s="818"/>
      <c r="D4" s="829"/>
      <c r="E4" s="829"/>
      <c r="F4" s="829"/>
      <c r="G4" s="829"/>
      <c r="H4" s="829"/>
      <c r="I4" s="829"/>
      <c r="J4" s="829"/>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829"/>
      <c r="AO4" s="829"/>
      <c r="AP4" s="829"/>
      <c r="AQ4" s="829"/>
      <c r="AR4" s="829"/>
      <c r="AS4" s="829"/>
      <c r="AT4" s="829"/>
      <c r="AU4" s="829"/>
      <c r="AV4" s="829"/>
      <c r="AW4" s="829"/>
      <c r="AX4" s="829"/>
      <c r="AY4" s="829"/>
      <c r="AZ4" s="829"/>
      <c r="BA4" s="829"/>
      <c r="BB4" s="829"/>
      <c r="BC4" s="829"/>
      <c r="BD4" s="829"/>
      <c r="BE4" s="829"/>
      <c r="BF4" s="829"/>
      <c r="BG4" s="829"/>
      <c r="BH4" s="829"/>
      <c r="BI4" s="829"/>
      <c r="BJ4" s="829"/>
      <c r="BK4" s="829"/>
      <c r="BL4" s="829"/>
      <c r="BM4" s="829"/>
      <c r="BN4" s="829"/>
      <c r="BO4" s="829"/>
      <c r="BP4" s="829"/>
      <c r="BQ4" s="829"/>
      <c r="BR4" s="829"/>
      <c r="BS4" s="829"/>
      <c r="BT4" s="829"/>
      <c r="BU4" s="829"/>
      <c r="BV4" s="829"/>
      <c r="BW4" s="829"/>
      <c r="BX4" s="829"/>
      <c r="BY4" s="829"/>
      <c r="BZ4" s="829"/>
      <c r="CA4" s="829"/>
      <c r="CB4" s="829"/>
      <c r="CC4" s="829"/>
      <c r="CD4" s="829"/>
      <c r="CE4" s="829"/>
      <c r="CF4" s="829"/>
      <c r="CG4" s="829"/>
      <c r="CH4" s="829"/>
      <c r="CI4" s="829"/>
      <c r="CJ4" s="829"/>
      <c r="CK4" s="829"/>
      <c r="CL4" s="829"/>
      <c r="CM4" s="829"/>
      <c r="CN4" s="829"/>
      <c r="CO4" s="829"/>
      <c r="CP4" s="829"/>
      <c r="CQ4" s="829"/>
      <c r="CR4" s="829"/>
      <c r="CS4" s="829"/>
      <c r="CT4" s="829"/>
      <c r="CU4" s="829"/>
      <c r="CV4" s="829"/>
      <c r="CW4" s="829"/>
      <c r="CX4" s="829"/>
      <c r="CY4" s="829"/>
      <c r="CZ4" s="829"/>
      <c r="DA4" s="829"/>
      <c r="DB4" s="829"/>
      <c r="DC4" s="829"/>
      <c r="DD4" s="829"/>
      <c r="DE4" s="829"/>
      <c r="DF4" s="829"/>
      <c r="DG4" s="829"/>
      <c r="DH4" s="829"/>
      <c r="DI4" s="829"/>
      <c r="DJ4" s="829"/>
      <c r="DK4" s="829"/>
      <c r="DL4" s="829"/>
      <c r="DM4" s="829"/>
      <c r="DN4" s="829"/>
      <c r="DO4" s="829"/>
      <c r="DP4" s="829"/>
      <c r="DQ4" s="829"/>
      <c r="DR4" s="829"/>
      <c r="DS4" s="829"/>
      <c r="DT4" s="829"/>
      <c r="DU4" s="829"/>
      <c r="DV4" s="829"/>
      <c r="DW4" s="829"/>
      <c r="DX4" s="829"/>
      <c r="DY4" s="829"/>
      <c r="DZ4" s="829"/>
      <c r="EA4" s="829"/>
      <c r="EB4" s="829"/>
      <c r="EC4" s="829"/>
      <c r="ED4" s="829"/>
      <c r="EE4" s="829"/>
      <c r="EF4" s="829"/>
      <c r="EG4" s="829"/>
      <c r="EH4" s="829"/>
      <c r="EI4" s="829"/>
      <c r="EJ4" s="829"/>
      <c r="EK4" s="829"/>
      <c r="EL4" s="829"/>
      <c r="EM4" s="829"/>
      <c r="EN4" s="829"/>
      <c r="EO4" s="829"/>
      <c r="EP4" s="829"/>
      <c r="EQ4" s="829"/>
      <c r="ER4" s="829"/>
      <c r="ES4" s="829"/>
      <c r="ET4" s="829"/>
      <c r="EU4" s="829"/>
      <c r="EV4" s="829"/>
      <c r="EW4" s="829"/>
      <c r="EX4" s="829"/>
      <c r="EY4" s="829"/>
      <c r="EZ4" s="829"/>
      <c r="FA4" s="829"/>
      <c r="FB4" s="829"/>
      <c r="FC4" s="829"/>
      <c r="FD4" s="829"/>
      <c r="FE4" s="829"/>
      <c r="FF4" s="829"/>
      <c r="FG4" s="829"/>
      <c r="FH4" s="829"/>
      <c r="FI4" s="829"/>
      <c r="FJ4" s="829"/>
      <c r="FK4" s="829"/>
      <c r="FL4" s="829"/>
      <c r="FM4" s="829"/>
      <c r="FN4" s="829"/>
      <c r="FO4" s="829"/>
      <c r="FP4" s="829"/>
      <c r="FQ4" s="829"/>
      <c r="FR4" s="829"/>
      <c r="FS4" s="829"/>
      <c r="FT4" s="829"/>
      <c r="FU4" s="829"/>
      <c r="FV4" s="829"/>
      <c r="FW4" s="829"/>
      <c r="FX4" s="829"/>
      <c r="FY4" s="829"/>
      <c r="FZ4" s="829"/>
      <c r="GA4" s="829"/>
      <c r="GB4" s="829"/>
      <c r="GC4" s="829"/>
      <c r="GD4" s="829"/>
      <c r="GE4" s="829"/>
      <c r="GF4" s="829"/>
      <c r="GG4" s="829"/>
      <c r="GH4" s="829"/>
      <c r="GI4" s="829"/>
      <c r="GJ4" s="829"/>
      <c r="GK4" s="829"/>
      <c r="GL4" s="829"/>
      <c r="GM4" s="829"/>
      <c r="GN4" s="829"/>
      <c r="GO4" s="829"/>
      <c r="GP4" s="829"/>
      <c r="GQ4" s="829"/>
      <c r="GR4" s="829"/>
      <c r="GS4" s="829"/>
      <c r="GT4" s="829"/>
      <c r="GU4" s="829"/>
      <c r="GV4" s="829"/>
      <c r="GW4" s="829"/>
      <c r="GX4" s="829"/>
      <c r="GY4" s="829"/>
      <c r="GZ4" s="829"/>
      <c r="HA4" s="829"/>
      <c r="HB4" s="829"/>
      <c r="HC4" s="829"/>
      <c r="HD4" s="829"/>
      <c r="HE4" s="829"/>
      <c r="HF4" s="829"/>
      <c r="HG4" s="829"/>
      <c r="HH4" s="829"/>
      <c r="HI4" s="829"/>
      <c r="HJ4" s="829"/>
      <c r="HK4" s="829"/>
      <c r="HL4" s="829"/>
      <c r="HM4" s="829"/>
      <c r="HN4" s="829"/>
      <c r="HO4" s="829"/>
      <c r="HP4" s="829"/>
      <c r="HQ4" s="829"/>
      <c r="HR4" s="829"/>
      <c r="HS4" s="829"/>
      <c r="HT4" s="829"/>
      <c r="HU4" s="829"/>
      <c r="HV4" s="829"/>
      <c r="HW4" s="829"/>
      <c r="HX4" s="829"/>
      <c r="HY4" s="829"/>
      <c r="HZ4" s="829"/>
      <c r="IA4" s="829"/>
      <c r="IB4" s="829"/>
      <c r="IC4" s="829"/>
      <c r="ID4" s="829"/>
      <c r="IE4" s="829"/>
      <c r="IF4" s="829"/>
      <c r="IG4" s="829"/>
      <c r="IH4" s="829"/>
      <c r="II4" s="829"/>
      <c r="IJ4" s="829"/>
      <c r="IK4" s="829"/>
      <c r="IL4" s="829"/>
      <c r="IM4" s="829"/>
      <c r="IN4" s="829"/>
      <c r="IO4" s="829"/>
      <c r="IP4" s="829"/>
      <c r="IQ4" s="829"/>
      <c r="IR4" s="829"/>
      <c r="IS4" s="829"/>
      <c r="IT4" s="829"/>
      <c r="IU4" s="829"/>
      <c r="IV4" s="829"/>
      <c r="IW4" s="829"/>
    </row>
    <row r="5" customFormat="false" ht="21.75" hidden="false" customHeight="true" outlineLevel="0" collapsed="false">
      <c r="A5" s="795" t="inlineStr">
        <is>
          <t xml:space="preserve">9-K-001</t>
        </is>
      </c>
      <c r="B5" s="796" t="inlineStr">
        <is>
          <t xml:space="preserve">● 설치장소 적정 및 관리 여부</t>
        </is>
      </c>
      <c r="C5" s="816"/>
      <c r="D5" s="829"/>
      <c r="E5" s="829"/>
      <c r="F5" s="829"/>
      <c r="G5" s="727" t="inlineStr">
        <is>
          <t xml:space="preserve">○</t>
        </is>
      </c>
      <c r="H5" s="829"/>
      <c r="I5" s="829"/>
      <c r="J5" s="829"/>
      <c r="K5" s="829"/>
      <c r="L5" s="829"/>
      <c r="M5" s="829"/>
      <c r="N5" s="829"/>
      <c r="O5" s="829"/>
      <c r="P5" s="829"/>
      <c r="Q5" s="829"/>
      <c r="R5" s="829"/>
      <c r="S5" s="829"/>
      <c r="T5" s="829"/>
      <c r="U5" s="829"/>
      <c r="V5" s="829"/>
      <c r="W5" s="829"/>
      <c r="X5" s="829"/>
      <c r="Y5" s="829"/>
      <c r="Z5" s="829"/>
      <c r="AA5" s="829"/>
      <c r="AB5" s="829"/>
      <c r="AC5" s="829"/>
      <c r="AD5" s="829"/>
      <c r="AE5" s="829"/>
      <c r="AF5" s="829"/>
      <c r="AG5" s="829"/>
      <c r="AH5" s="829"/>
      <c r="AI5" s="829"/>
      <c r="AJ5" s="829"/>
      <c r="AK5" s="829"/>
      <c r="AL5" s="829"/>
      <c r="AM5" s="829"/>
      <c r="AN5" s="829"/>
      <c r="AO5" s="829"/>
      <c r="AP5" s="829"/>
      <c r="AQ5" s="829"/>
      <c r="AR5" s="829"/>
      <c r="AS5" s="829"/>
      <c r="AT5" s="829"/>
      <c r="AU5" s="829"/>
      <c r="AV5" s="829"/>
      <c r="AW5" s="829"/>
      <c r="AX5" s="829"/>
      <c r="AY5" s="829"/>
      <c r="AZ5" s="829"/>
      <c r="BA5" s="829"/>
      <c r="BB5" s="829"/>
      <c r="BC5" s="829"/>
      <c r="BD5" s="829"/>
      <c r="BE5" s="829"/>
      <c r="BF5" s="829"/>
      <c r="BG5" s="829"/>
      <c r="BH5" s="829"/>
      <c r="BI5" s="829"/>
      <c r="BJ5" s="829"/>
      <c r="BK5" s="829"/>
      <c r="BL5" s="829"/>
      <c r="BM5" s="829"/>
      <c r="BN5" s="829"/>
      <c r="BO5" s="829"/>
      <c r="BP5" s="829"/>
      <c r="BQ5" s="829"/>
      <c r="BR5" s="829"/>
      <c r="BS5" s="829"/>
      <c r="BT5" s="829"/>
      <c r="BU5" s="829"/>
      <c r="BV5" s="829"/>
      <c r="BW5" s="829"/>
      <c r="BX5" s="829"/>
      <c r="BY5" s="829"/>
      <c r="BZ5" s="829"/>
      <c r="CA5" s="829"/>
      <c r="CB5" s="829"/>
      <c r="CC5" s="829"/>
      <c r="CD5" s="829"/>
      <c r="CE5" s="829"/>
      <c r="CF5" s="829"/>
      <c r="CG5" s="829"/>
      <c r="CH5" s="829"/>
      <c r="CI5" s="829"/>
      <c r="CJ5" s="829"/>
      <c r="CK5" s="829"/>
      <c r="CL5" s="829"/>
      <c r="CM5" s="829"/>
      <c r="CN5" s="829"/>
      <c r="CO5" s="829"/>
      <c r="CP5" s="829"/>
      <c r="CQ5" s="829"/>
      <c r="CR5" s="829"/>
      <c r="CS5" s="829"/>
      <c r="CT5" s="829"/>
      <c r="CU5" s="829"/>
      <c r="CV5" s="829"/>
      <c r="CW5" s="829"/>
      <c r="CX5" s="829"/>
      <c r="CY5" s="829"/>
      <c r="CZ5" s="829"/>
      <c r="DA5" s="829"/>
      <c r="DB5" s="829"/>
      <c r="DC5" s="829"/>
      <c r="DD5" s="829"/>
      <c r="DE5" s="829"/>
      <c r="DF5" s="829"/>
      <c r="DG5" s="829"/>
      <c r="DH5" s="829"/>
      <c r="DI5" s="829"/>
      <c r="DJ5" s="829"/>
      <c r="DK5" s="829"/>
      <c r="DL5" s="829"/>
      <c r="DM5" s="829"/>
      <c r="DN5" s="829"/>
      <c r="DO5" s="829"/>
      <c r="DP5" s="829"/>
      <c r="DQ5" s="829"/>
      <c r="DR5" s="829"/>
      <c r="DS5" s="829"/>
      <c r="DT5" s="829"/>
      <c r="DU5" s="829"/>
      <c r="DV5" s="829"/>
      <c r="DW5" s="829"/>
      <c r="DX5" s="829"/>
      <c r="DY5" s="829"/>
      <c r="DZ5" s="829"/>
      <c r="EA5" s="829"/>
      <c r="EB5" s="829"/>
      <c r="EC5" s="829"/>
      <c r="ED5" s="829"/>
      <c r="EE5" s="829"/>
      <c r="EF5" s="829"/>
      <c r="EG5" s="829"/>
      <c r="EH5" s="829"/>
      <c r="EI5" s="829"/>
      <c r="EJ5" s="829"/>
      <c r="EK5" s="829"/>
      <c r="EL5" s="829"/>
      <c r="EM5" s="829"/>
      <c r="EN5" s="829"/>
      <c r="EO5" s="829"/>
      <c r="EP5" s="829"/>
      <c r="EQ5" s="829"/>
      <c r="ER5" s="829"/>
      <c r="ES5" s="829"/>
      <c r="ET5" s="829"/>
      <c r="EU5" s="829"/>
      <c r="EV5" s="829"/>
      <c r="EW5" s="829"/>
      <c r="EX5" s="829"/>
      <c r="EY5" s="829"/>
      <c r="EZ5" s="829"/>
      <c r="FA5" s="829"/>
      <c r="FB5" s="829"/>
      <c r="FC5" s="829"/>
      <c r="FD5" s="829"/>
      <c r="FE5" s="829"/>
      <c r="FF5" s="829"/>
      <c r="FG5" s="829"/>
      <c r="FH5" s="829"/>
      <c r="FI5" s="829"/>
      <c r="FJ5" s="829"/>
      <c r="FK5" s="829"/>
      <c r="FL5" s="829"/>
      <c r="FM5" s="829"/>
      <c r="FN5" s="829"/>
      <c r="FO5" s="829"/>
      <c r="FP5" s="829"/>
      <c r="FQ5" s="829"/>
      <c r="FR5" s="829"/>
      <c r="FS5" s="829"/>
      <c r="FT5" s="829"/>
      <c r="FU5" s="829"/>
      <c r="FV5" s="829"/>
      <c r="FW5" s="829"/>
      <c r="FX5" s="829"/>
      <c r="FY5" s="829"/>
      <c r="FZ5" s="829"/>
      <c r="GA5" s="829"/>
      <c r="GB5" s="829"/>
      <c r="GC5" s="829"/>
      <c r="GD5" s="829"/>
      <c r="GE5" s="829"/>
      <c r="GF5" s="829"/>
      <c r="GG5" s="829"/>
      <c r="GH5" s="829"/>
      <c r="GI5" s="829"/>
      <c r="GJ5" s="829"/>
      <c r="GK5" s="829"/>
      <c r="GL5" s="829"/>
      <c r="GM5" s="829"/>
      <c r="GN5" s="829"/>
      <c r="GO5" s="829"/>
      <c r="GP5" s="829"/>
      <c r="GQ5" s="829"/>
      <c r="GR5" s="829"/>
      <c r="GS5" s="829"/>
      <c r="GT5" s="829"/>
      <c r="GU5" s="829"/>
      <c r="GV5" s="829"/>
      <c r="GW5" s="829"/>
      <c r="GX5" s="829"/>
      <c r="GY5" s="829"/>
      <c r="GZ5" s="829"/>
      <c r="HA5" s="829"/>
      <c r="HB5" s="829"/>
      <c r="HC5" s="829"/>
      <c r="HD5" s="829"/>
      <c r="HE5" s="829"/>
      <c r="HF5" s="829"/>
      <c r="HG5" s="829"/>
      <c r="HH5" s="829"/>
      <c r="HI5" s="829"/>
      <c r="HJ5" s="829"/>
      <c r="HK5" s="829"/>
      <c r="HL5" s="829"/>
      <c r="HM5" s="829"/>
      <c r="HN5" s="829"/>
      <c r="HO5" s="829"/>
      <c r="HP5" s="829"/>
      <c r="HQ5" s="829"/>
      <c r="HR5" s="829"/>
      <c r="HS5" s="829"/>
      <c r="HT5" s="829"/>
      <c r="HU5" s="829"/>
      <c r="HV5" s="829"/>
      <c r="HW5" s="829"/>
      <c r="HX5" s="829"/>
      <c r="HY5" s="829"/>
      <c r="HZ5" s="829"/>
      <c r="IA5" s="829"/>
      <c r="IB5" s="829"/>
      <c r="IC5" s="829"/>
      <c r="ID5" s="829"/>
      <c r="IE5" s="829"/>
      <c r="IF5" s="829"/>
      <c r="IG5" s="829"/>
      <c r="IH5" s="829"/>
      <c r="II5" s="829"/>
      <c r="IJ5" s="829"/>
      <c r="IK5" s="829"/>
      <c r="IL5" s="829"/>
      <c r="IM5" s="829"/>
      <c r="IN5" s="829"/>
      <c r="IO5" s="829"/>
      <c r="IP5" s="829"/>
      <c r="IQ5" s="829"/>
      <c r="IR5" s="829"/>
      <c r="IS5" s="829"/>
      <c r="IT5" s="829"/>
      <c r="IU5" s="829"/>
      <c r="IV5" s="829"/>
      <c r="IW5" s="829"/>
    </row>
    <row r="6" customFormat="false" ht="21.75" hidden="false" customHeight="true" outlineLevel="0" collapsed="false">
      <c r="A6" s="798" t="inlineStr">
        <is>
          <t xml:space="preserve">9-K-002</t>
        </is>
      </c>
      <c r="B6" s="746" t="inlineStr">
        <is>
          <t xml:space="preserve">○ 자가발전설비인 경우 연료 적정량 보유 여부</t>
        </is>
      </c>
      <c r="C6" s="816"/>
      <c r="D6" s="829"/>
      <c r="E6" s="829"/>
      <c r="F6" s="829"/>
      <c r="G6" s="727" t="inlineStr">
        <is>
          <t xml:space="preserve">/</t>
        </is>
      </c>
      <c r="H6" s="829"/>
      <c r="I6" s="829"/>
      <c r="J6" s="829"/>
      <c r="K6" s="829"/>
      <c r="L6" s="829"/>
      <c r="M6" s="829"/>
      <c r="N6" s="829"/>
      <c r="O6" s="829"/>
      <c r="P6" s="829"/>
      <c r="Q6" s="829"/>
      <c r="R6" s="829"/>
      <c r="S6" s="829"/>
      <c r="T6" s="829"/>
      <c r="U6" s="829"/>
      <c r="V6" s="829"/>
      <c r="W6" s="829"/>
      <c r="X6" s="829"/>
      <c r="Y6" s="829"/>
      <c r="Z6" s="829"/>
      <c r="AA6" s="829"/>
      <c r="AB6" s="829"/>
      <c r="AC6" s="829"/>
      <c r="AD6" s="829"/>
      <c r="AE6" s="829"/>
      <c r="AF6" s="829"/>
      <c r="AG6" s="829"/>
      <c r="AH6" s="829"/>
      <c r="AI6" s="829"/>
      <c r="AJ6" s="829"/>
      <c r="AK6" s="829"/>
      <c r="AL6" s="829"/>
      <c r="AM6" s="829"/>
      <c r="AN6" s="829"/>
      <c r="AO6" s="829"/>
      <c r="AP6" s="829"/>
      <c r="AQ6" s="829"/>
      <c r="AR6" s="829"/>
      <c r="AS6" s="829"/>
      <c r="AT6" s="829"/>
      <c r="AU6" s="829"/>
      <c r="AV6" s="829"/>
      <c r="AW6" s="829"/>
      <c r="AX6" s="829"/>
      <c r="AY6" s="829"/>
      <c r="AZ6" s="829"/>
      <c r="BA6" s="829"/>
      <c r="BB6" s="829"/>
      <c r="BC6" s="829"/>
      <c r="BD6" s="829"/>
      <c r="BE6" s="829"/>
      <c r="BF6" s="829"/>
      <c r="BG6" s="829"/>
      <c r="BH6" s="829"/>
      <c r="BI6" s="829"/>
      <c r="BJ6" s="829"/>
      <c r="BK6" s="829"/>
      <c r="BL6" s="829"/>
      <c r="BM6" s="829"/>
      <c r="BN6" s="829"/>
      <c r="BO6" s="829"/>
      <c r="BP6" s="829"/>
      <c r="BQ6" s="829"/>
      <c r="BR6" s="829"/>
      <c r="BS6" s="829"/>
      <c r="BT6" s="829"/>
      <c r="BU6" s="829"/>
      <c r="BV6" s="829"/>
      <c r="BW6" s="829"/>
      <c r="BX6" s="829"/>
      <c r="BY6" s="829"/>
      <c r="BZ6" s="829"/>
      <c r="CA6" s="829"/>
      <c r="CB6" s="829"/>
      <c r="CC6" s="829"/>
      <c r="CD6" s="829"/>
      <c r="CE6" s="829"/>
      <c r="CF6" s="829"/>
      <c r="CG6" s="829"/>
      <c r="CH6" s="829"/>
      <c r="CI6" s="829"/>
      <c r="CJ6" s="829"/>
      <c r="CK6" s="829"/>
      <c r="CL6" s="829"/>
      <c r="CM6" s="829"/>
      <c r="CN6" s="829"/>
      <c r="CO6" s="829"/>
      <c r="CP6" s="829"/>
      <c r="CQ6" s="829"/>
      <c r="CR6" s="829"/>
      <c r="CS6" s="829"/>
      <c r="CT6" s="829"/>
      <c r="CU6" s="829"/>
      <c r="CV6" s="829"/>
      <c r="CW6" s="829"/>
      <c r="CX6" s="829"/>
      <c r="CY6" s="829"/>
      <c r="CZ6" s="829"/>
      <c r="DA6" s="829"/>
      <c r="DB6" s="829"/>
      <c r="DC6" s="829"/>
      <c r="DD6" s="829"/>
      <c r="DE6" s="829"/>
      <c r="DF6" s="829"/>
      <c r="DG6" s="829"/>
      <c r="DH6" s="829"/>
      <c r="DI6" s="829"/>
      <c r="DJ6" s="829"/>
      <c r="DK6" s="829"/>
      <c r="DL6" s="829"/>
      <c r="DM6" s="829"/>
      <c r="DN6" s="829"/>
      <c r="DO6" s="829"/>
      <c r="DP6" s="829"/>
      <c r="DQ6" s="829"/>
      <c r="DR6" s="829"/>
      <c r="DS6" s="829"/>
      <c r="DT6" s="829"/>
      <c r="DU6" s="829"/>
      <c r="DV6" s="829"/>
      <c r="DW6" s="829"/>
      <c r="DX6" s="829"/>
      <c r="DY6" s="829"/>
      <c r="DZ6" s="829"/>
      <c r="EA6" s="829"/>
      <c r="EB6" s="829"/>
      <c r="EC6" s="829"/>
      <c r="ED6" s="829"/>
      <c r="EE6" s="829"/>
      <c r="EF6" s="829"/>
      <c r="EG6" s="829"/>
      <c r="EH6" s="829"/>
      <c r="EI6" s="829"/>
      <c r="EJ6" s="829"/>
      <c r="EK6" s="829"/>
      <c r="EL6" s="829"/>
      <c r="EM6" s="829"/>
      <c r="EN6" s="829"/>
      <c r="EO6" s="829"/>
      <c r="EP6" s="829"/>
      <c r="EQ6" s="829"/>
      <c r="ER6" s="829"/>
      <c r="ES6" s="829"/>
      <c r="ET6" s="829"/>
      <c r="EU6" s="829"/>
      <c r="EV6" s="829"/>
      <c r="EW6" s="829"/>
      <c r="EX6" s="829"/>
      <c r="EY6" s="829"/>
      <c r="EZ6" s="829"/>
      <c r="FA6" s="829"/>
      <c r="FB6" s="829"/>
      <c r="FC6" s="829"/>
      <c r="FD6" s="829"/>
      <c r="FE6" s="829"/>
      <c r="FF6" s="829"/>
      <c r="FG6" s="829"/>
      <c r="FH6" s="829"/>
      <c r="FI6" s="829"/>
      <c r="FJ6" s="829"/>
      <c r="FK6" s="829"/>
      <c r="FL6" s="829"/>
      <c r="FM6" s="829"/>
      <c r="FN6" s="829"/>
      <c r="FO6" s="829"/>
      <c r="FP6" s="829"/>
      <c r="FQ6" s="829"/>
      <c r="FR6" s="829"/>
      <c r="FS6" s="829"/>
      <c r="FT6" s="829"/>
      <c r="FU6" s="829"/>
      <c r="FV6" s="829"/>
      <c r="FW6" s="829"/>
      <c r="FX6" s="829"/>
      <c r="FY6" s="829"/>
      <c r="FZ6" s="829"/>
      <c r="GA6" s="829"/>
      <c r="GB6" s="829"/>
      <c r="GC6" s="829"/>
      <c r="GD6" s="829"/>
      <c r="GE6" s="829"/>
      <c r="GF6" s="829"/>
      <c r="GG6" s="829"/>
      <c r="GH6" s="829"/>
      <c r="GI6" s="829"/>
      <c r="GJ6" s="829"/>
      <c r="GK6" s="829"/>
      <c r="GL6" s="829"/>
      <c r="GM6" s="829"/>
      <c r="GN6" s="829"/>
      <c r="GO6" s="829"/>
      <c r="GP6" s="829"/>
      <c r="GQ6" s="829"/>
      <c r="GR6" s="829"/>
      <c r="GS6" s="829"/>
      <c r="GT6" s="829"/>
      <c r="GU6" s="829"/>
      <c r="GV6" s="829"/>
      <c r="GW6" s="829"/>
      <c r="GX6" s="829"/>
      <c r="GY6" s="829"/>
      <c r="GZ6" s="829"/>
      <c r="HA6" s="829"/>
      <c r="HB6" s="829"/>
      <c r="HC6" s="829"/>
      <c r="HD6" s="829"/>
      <c r="HE6" s="829"/>
      <c r="HF6" s="829"/>
      <c r="HG6" s="829"/>
      <c r="HH6" s="829"/>
      <c r="HI6" s="829"/>
      <c r="HJ6" s="829"/>
      <c r="HK6" s="829"/>
      <c r="HL6" s="829"/>
      <c r="HM6" s="829"/>
      <c r="HN6" s="829"/>
      <c r="HO6" s="829"/>
      <c r="HP6" s="829"/>
      <c r="HQ6" s="829"/>
      <c r="HR6" s="829"/>
      <c r="HS6" s="829"/>
      <c r="HT6" s="829"/>
      <c r="HU6" s="829"/>
      <c r="HV6" s="829"/>
      <c r="HW6" s="829"/>
      <c r="HX6" s="829"/>
      <c r="HY6" s="829"/>
      <c r="HZ6" s="829"/>
      <c r="IA6" s="829"/>
      <c r="IB6" s="829"/>
      <c r="IC6" s="829"/>
      <c r="ID6" s="829"/>
      <c r="IE6" s="829"/>
      <c r="IF6" s="829"/>
      <c r="IG6" s="829"/>
      <c r="IH6" s="829"/>
      <c r="II6" s="829"/>
      <c r="IJ6" s="829"/>
      <c r="IK6" s="829"/>
      <c r="IL6" s="829"/>
      <c r="IM6" s="829"/>
      <c r="IN6" s="829"/>
      <c r="IO6" s="829"/>
      <c r="IP6" s="829"/>
      <c r="IQ6" s="829"/>
      <c r="IR6" s="829"/>
      <c r="IS6" s="829"/>
      <c r="IT6" s="829"/>
      <c r="IU6" s="829"/>
      <c r="IV6" s="829"/>
      <c r="IW6" s="829"/>
    </row>
    <row r="7" customFormat="false" ht="21.75" hidden="false" customHeight="true" outlineLevel="0" collapsed="false">
      <c r="A7" s="799" t="inlineStr">
        <is>
          <t xml:space="preserve">9-K-003</t>
        </is>
      </c>
      <c r="B7" s="800" t="inlineStr">
        <is>
          <t xml:space="preserve">○ 자가발전설비인 경우「전기사업법」에 따른 정기점검 결과 확인</t>
        </is>
      </c>
      <c r="C7" s="816"/>
      <c r="D7" s="829"/>
      <c r="E7" s="829"/>
      <c r="F7" s="829"/>
      <c r="G7" s="727" t="inlineStr">
        <is>
          <t xml:space="preserve">×</t>
        </is>
      </c>
      <c r="H7" s="829"/>
      <c r="I7" s="829"/>
      <c r="J7" s="829"/>
      <c r="K7" s="829"/>
      <c r="L7" s="829"/>
      <c r="M7" s="829"/>
      <c r="N7" s="829"/>
      <c r="O7" s="829"/>
      <c r="P7" s="829"/>
      <c r="Q7" s="829"/>
      <c r="R7" s="829"/>
      <c r="S7" s="829"/>
      <c r="T7" s="829"/>
      <c r="U7" s="829"/>
      <c r="V7" s="829"/>
      <c r="W7" s="829"/>
      <c r="X7" s="829"/>
      <c r="Y7" s="829"/>
      <c r="Z7" s="829"/>
      <c r="AA7" s="829"/>
      <c r="AB7" s="829"/>
      <c r="AC7" s="829"/>
      <c r="AD7" s="829"/>
      <c r="AE7" s="829"/>
      <c r="AF7" s="829"/>
      <c r="AG7" s="829"/>
      <c r="AH7" s="829"/>
      <c r="AI7" s="829"/>
      <c r="AJ7" s="829"/>
      <c r="AK7" s="829"/>
      <c r="AL7" s="829"/>
      <c r="AM7" s="829"/>
      <c r="AN7" s="829"/>
      <c r="AO7" s="829"/>
      <c r="AP7" s="829"/>
      <c r="AQ7" s="829"/>
      <c r="AR7" s="829"/>
      <c r="AS7" s="829"/>
      <c r="AT7" s="829"/>
      <c r="AU7" s="829"/>
      <c r="AV7" s="829"/>
      <c r="AW7" s="829"/>
      <c r="AX7" s="829"/>
      <c r="AY7" s="829"/>
      <c r="AZ7" s="829"/>
      <c r="BA7" s="829"/>
      <c r="BB7" s="829"/>
      <c r="BC7" s="829"/>
      <c r="BD7" s="829"/>
      <c r="BE7" s="829"/>
      <c r="BF7" s="829"/>
      <c r="BG7" s="829"/>
      <c r="BH7" s="829"/>
      <c r="BI7" s="829"/>
      <c r="BJ7" s="829"/>
      <c r="BK7" s="829"/>
      <c r="BL7" s="829"/>
      <c r="BM7" s="829"/>
      <c r="BN7" s="829"/>
      <c r="BO7" s="829"/>
      <c r="BP7" s="829"/>
      <c r="BQ7" s="829"/>
      <c r="BR7" s="829"/>
      <c r="BS7" s="829"/>
      <c r="BT7" s="829"/>
      <c r="BU7" s="829"/>
      <c r="BV7" s="829"/>
      <c r="BW7" s="829"/>
      <c r="BX7" s="829"/>
      <c r="BY7" s="829"/>
      <c r="BZ7" s="829"/>
      <c r="CA7" s="829"/>
      <c r="CB7" s="829"/>
      <c r="CC7" s="829"/>
      <c r="CD7" s="829"/>
      <c r="CE7" s="829"/>
      <c r="CF7" s="829"/>
      <c r="CG7" s="829"/>
      <c r="CH7" s="829"/>
      <c r="CI7" s="829"/>
      <c r="CJ7" s="829"/>
      <c r="CK7" s="829"/>
      <c r="CL7" s="829"/>
      <c r="CM7" s="829"/>
      <c r="CN7" s="829"/>
      <c r="CO7" s="829"/>
      <c r="CP7" s="829"/>
      <c r="CQ7" s="829"/>
      <c r="CR7" s="829"/>
      <c r="CS7" s="829"/>
      <c r="CT7" s="829"/>
      <c r="CU7" s="829"/>
      <c r="CV7" s="829"/>
      <c r="CW7" s="829"/>
      <c r="CX7" s="829"/>
      <c r="CY7" s="829"/>
      <c r="CZ7" s="829"/>
      <c r="DA7" s="829"/>
      <c r="DB7" s="829"/>
      <c r="DC7" s="829"/>
      <c r="DD7" s="829"/>
      <c r="DE7" s="829"/>
      <c r="DF7" s="829"/>
      <c r="DG7" s="829"/>
      <c r="DH7" s="829"/>
      <c r="DI7" s="829"/>
      <c r="DJ7" s="829"/>
      <c r="DK7" s="829"/>
      <c r="DL7" s="829"/>
      <c r="DM7" s="829"/>
      <c r="DN7" s="829"/>
      <c r="DO7" s="829"/>
      <c r="DP7" s="829"/>
      <c r="DQ7" s="829"/>
      <c r="DR7" s="829"/>
      <c r="DS7" s="829"/>
      <c r="DT7" s="829"/>
      <c r="DU7" s="829"/>
      <c r="DV7" s="829"/>
      <c r="DW7" s="829"/>
      <c r="DX7" s="829"/>
      <c r="DY7" s="829"/>
      <c r="DZ7" s="829"/>
      <c r="EA7" s="829"/>
      <c r="EB7" s="829"/>
      <c r="EC7" s="829"/>
      <c r="ED7" s="829"/>
      <c r="EE7" s="829"/>
      <c r="EF7" s="829"/>
      <c r="EG7" s="829"/>
      <c r="EH7" s="829"/>
      <c r="EI7" s="829"/>
      <c r="EJ7" s="829"/>
      <c r="EK7" s="829"/>
      <c r="EL7" s="829"/>
      <c r="EM7" s="829"/>
      <c r="EN7" s="829"/>
      <c r="EO7" s="829"/>
      <c r="EP7" s="829"/>
      <c r="EQ7" s="829"/>
      <c r="ER7" s="829"/>
      <c r="ES7" s="829"/>
      <c r="ET7" s="829"/>
      <c r="EU7" s="829"/>
      <c r="EV7" s="829"/>
      <c r="EW7" s="829"/>
      <c r="EX7" s="829"/>
      <c r="EY7" s="829"/>
      <c r="EZ7" s="829"/>
      <c r="FA7" s="829"/>
      <c r="FB7" s="829"/>
      <c r="FC7" s="829"/>
      <c r="FD7" s="829"/>
      <c r="FE7" s="829"/>
      <c r="FF7" s="829"/>
      <c r="FG7" s="829"/>
      <c r="FH7" s="829"/>
      <c r="FI7" s="829"/>
      <c r="FJ7" s="829"/>
      <c r="FK7" s="829"/>
      <c r="FL7" s="829"/>
      <c r="FM7" s="829"/>
      <c r="FN7" s="829"/>
      <c r="FO7" s="829"/>
      <c r="FP7" s="829"/>
      <c r="FQ7" s="829"/>
      <c r="FR7" s="829"/>
      <c r="FS7" s="829"/>
      <c r="FT7" s="829"/>
      <c r="FU7" s="829"/>
      <c r="FV7" s="829"/>
      <c r="FW7" s="829"/>
      <c r="FX7" s="829"/>
      <c r="FY7" s="829"/>
      <c r="FZ7" s="829"/>
      <c r="GA7" s="829"/>
      <c r="GB7" s="829"/>
      <c r="GC7" s="829"/>
      <c r="GD7" s="829"/>
      <c r="GE7" s="829"/>
      <c r="GF7" s="829"/>
      <c r="GG7" s="829"/>
      <c r="GH7" s="829"/>
      <c r="GI7" s="829"/>
      <c r="GJ7" s="829"/>
      <c r="GK7" s="829"/>
      <c r="GL7" s="829"/>
      <c r="GM7" s="829"/>
      <c r="GN7" s="829"/>
      <c r="GO7" s="829"/>
      <c r="GP7" s="829"/>
      <c r="GQ7" s="829"/>
      <c r="GR7" s="829"/>
      <c r="GS7" s="829"/>
      <c r="GT7" s="829"/>
      <c r="GU7" s="829"/>
      <c r="GV7" s="829"/>
      <c r="GW7" s="829"/>
      <c r="GX7" s="829"/>
      <c r="GY7" s="829"/>
      <c r="GZ7" s="829"/>
      <c r="HA7" s="829"/>
      <c r="HB7" s="829"/>
      <c r="HC7" s="829"/>
      <c r="HD7" s="829"/>
      <c r="HE7" s="829"/>
      <c r="HF7" s="829"/>
      <c r="HG7" s="829"/>
      <c r="HH7" s="829"/>
      <c r="HI7" s="829"/>
      <c r="HJ7" s="829"/>
      <c r="HK7" s="829"/>
      <c r="HL7" s="829"/>
      <c r="HM7" s="829"/>
      <c r="HN7" s="829"/>
      <c r="HO7" s="829"/>
      <c r="HP7" s="829"/>
      <c r="HQ7" s="829"/>
      <c r="HR7" s="829"/>
      <c r="HS7" s="829"/>
      <c r="HT7" s="829"/>
      <c r="HU7" s="829"/>
      <c r="HV7" s="829"/>
      <c r="HW7" s="829"/>
      <c r="HX7" s="829"/>
      <c r="HY7" s="829"/>
      <c r="HZ7" s="829"/>
      <c r="IA7" s="829"/>
      <c r="IB7" s="829"/>
      <c r="IC7" s="829"/>
      <c r="ID7" s="829"/>
      <c r="IE7" s="829"/>
      <c r="IF7" s="829"/>
      <c r="IG7" s="829"/>
      <c r="IH7" s="829"/>
      <c r="II7" s="829"/>
      <c r="IJ7" s="829"/>
      <c r="IK7" s="829"/>
      <c r="IL7" s="829"/>
      <c r="IM7" s="829"/>
      <c r="IN7" s="829"/>
      <c r="IO7" s="829"/>
      <c r="IP7" s="829"/>
      <c r="IQ7" s="829"/>
      <c r="IR7" s="829"/>
      <c r="IS7" s="829"/>
      <c r="IT7" s="829"/>
      <c r="IU7" s="829"/>
      <c r="IV7" s="829"/>
      <c r="IW7" s="829"/>
    </row>
    <row r="8" customFormat="false" ht="24" hidden="false" customHeight="true" outlineLevel="0" collapsed="false">
      <c r="A8" s="818" t="inlineStr">
        <is>
          <t xml:space="preserve"> 9-L. 배출설비</t>
        </is>
      </c>
      <c r="B8" s="818"/>
      <c r="C8" s="818"/>
    </row>
    <row r="9" customFormat="false" ht="21.75" hidden="false" customHeight="true" outlineLevel="0" collapsed="false">
      <c r="A9" s="760" t="inlineStr">
        <is>
          <t xml:space="preserve">9-L-001</t>
        </is>
      </c>
      <c r="B9" s="761" t="inlineStr">
        <is>
          <t xml:space="preserve">● 배출설비 설치상태 및 관리 여부</t>
        </is>
      </c>
      <c r="C9" s="816"/>
      <c r="D9" s="829"/>
      <c r="E9" s="829"/>
      <c r="F9" s="829"/>
      <c r="G9" s="829"/>
      <c r="H9" s="829"/>
      <c r="I9" s="829"/>
      <c r="J9" s="829"/>
      <c r="K9" s="829"/>
      <c r="L9" s="829"/>
      <c r="M9" s="829"/>
      <c r="N9" s="829"/>
      <c r="O9" s="829"/>
      <c r="P9" s="829"/>
      <c r="Q9" s="829"/>
      <c r="R9" s="829"/>
      <c r="S9" s="829"/>
      <c r="T9" s="829"/>
      <c r="U9" s="829"/>
      <c r="V9" s="829"/>
      <c r="W9" s="829"/>
      <c r="X9" s="829"/>
      <c r="Y9" s="829"/>
      <c r="Z9" s="829"/>
      <c r="AA9" s="829"/>
      <c r="AB9" s="829"/>
      <c r="AC9" s="829"/>
      <c r="AD9" s="829"/>
      <c r="AE9" s="829"/>
      <c r="AF9" s="829"/>
      <c r="AG9" s="829"/>
      <c r="AH9" s="829"/>
      <c r="AI9" s="829"/>
      <c r="AJ9" s="829"/>
      <c r="AK9" s="829"/>
      <c r="AL9" s="829"/>
      <c r="AM9" s="829"/>
      <c r="AN9" s="829"/>
      <c r="AO9" s="829"/>
      <c r="AP9" s="829"/>
      <c r="AQ9" s="829"/>
      <c r="AR9" s="829"/>
      <c r="AS9" s="829"/>
      <c r="AT9" s="829"/>
      <c r="AU9" s="829"/>
      <c r="AV9" s="829"/>
      <c r="AW9" s="829"/>
      <c r="AX9" s="829"/>
      <c r="AY9" s="829"/>
      <c r="AZ9" s="829"/>
      <c r="BA9" s="829"/>
      <c r="BB9" s="829"/>
      <c r="BC9" s="829"/>
      <c r="BD9" s="829"/>
      <c r="BE9" s="829"/>
      <c r="BF9" s="829"/>
      <c r="BG9" s="829"/>
      <c r="BH9" s="829"/>
      <c r="BI9" s="829"/>
      <c r="BJ9" s="829"/>
      <c r="BK9" s="829"/>
      <c r="BL9" s="829"/>
      <c r="BM9" s="829"/>
      <c r="BN9" s="829"/>
      <c r="BO9" s="829"/>
      <c r="BP9" s="829"/>
      <c r="BQ9" s="829"/>
      <c r="BR9" s="829"/>
      <c r="BS9" s="829"/>
      <c r="BT9" s="829"/>
      <c r="BU9" s="829"/>
      <c r="BV9" s="829"/>
      <c r="BW9" s="829"/>
      <c r="BX9" s="829"/>
      <c r="BY9" s="829"/>
      <c r="BZ9" s="829"/>
      <c r="CA9" s="829"/>
      <c r="CB9" s="829"/>
      <c r="CC9" s="829"/>
      <c r="CD9" s="829"/>
      <c r="CE9" s="829"/>
      <c r="CF9" s="829"/>
      <c r="CG9" s="829"/>
      <c r="CH9" s="829"/>
      <c r="CI9" s="829"/>
      <c r="CJ9" s="829"/>
      <c r="CK9" s="829"/>
      <c r="CL9" s="829"/>
      <c r="CM9" s="829"/>
      <c r="CN9" s="829"/>
      <c r="CO9" s="829"/>
      <c r="CP9" s="829"/>
      <c r="CQ9" s="829"/>
      <c r="CR9" s="829"/>
      <c r="CS9" s="829"/>
      <c r="CT9" s="829"/>
      <c r="CU9" s="829"/>
      <c r="CV9" s="829"/>
      <c r="CW9" s="829"/>
      <c r="CX9" s="829"/>
      <c r="CY9" s="829"/>
      <c r="CZ9" s="829"/>
      <c r="DA9" s="829"/>
      <c r="DB9" s="829"/>
      <c r="DC9" s="829"/>
      <c r="DD9" s="829"/>
      <c r="DE9" s="829"/>
      <c r="DF9" s="829"/>
      <c r="DG9" s="829"/>
      <c r="DH9" s="829"/>
      <c r="DI9" s="829"/>
      <c r="DJ9" s="829"/>
      <c r="DK9" s="829"/>
      <c r="DL9" s="829"/>
      <c r="DM9" s="829"/>
      <c r="DN9" s="829"/>
      <c r="DO9" s="829"/>
      <c r="DP9" s="829"/>
      <c r="DQ9" s="829"/>
      <c r="DR9" s="829"/>
      <c r="DS9" s="829"/>
      <c r="DT9" s="829"/>
      <c r="DU9" s="829"/>
      <c r="DV9" s="829"/>
      <c r="DW9" s="829"/>
      <c r="DX9" s="829"/>
      <c r="DY9" s="829"/>
      <c r="DZ9" s="829"/>
      <c r="EA9" s="829"/>
      <c r="EB9" s="829"/>
      <c r="EC9" s="829"/>
      <c r="ED9" s="829"/>
      <c r="EE9" s="829"/>
      <c r="EF9" s="829"/>
      <c r="EG9" s="829"/>
      <c r="EH9" s="829"/>
      <c r="EI9" s="829"/>
      <c r="EJ9" s="829"/>
      <c r="EK9" s="829"/>
      <c r="EL9" s="829"/>
      <c r="EM9" s="829"/>
      <c r="EN9" s="829"/>
      <c r="EO9" s="829"/>
      <c r="EP9" s="829"/>
      <c r="EQ9" s="829"/>
      <c r="ER9" s="829"/>
      <c r="ES9" s="829"/>
      <c r="ET9" s="829"/>
      <c r="EU9" s="829"/>
      <c r="EV9" s="829"/>
      <c r="EW9" s="829"/>
      <c r="EX9" s="829"/>
      <c r="EY9" s="829"/>
      <c r="EZ9" s="829"/>
      <c r="FA9" s="829"/>
      <c r="FB9" s="829"/>
      <c r="FC9" s="829"/>
      <c r="FD9" s="829"/>
      <c r="FE9" s="829"/>
      <c r="FF9" s="829"/>
      <c r="FG9" s="829"/>
      <c r="FH9" s="829"/>
      <c r="FI9" s="829"/>
      <c r="FJ9" s="829"/>
      <c r="FK9" s="829"/>
      <c r="FL9" s="829"/>
      <c r="FM9" s="829"/>
      <c r="FN9" s="829"/>
      <c r="FO9" s="829"/>
      <c r="FP9" s="829"/>
      <c r="FQ9" s="829"/>
      <c r="FR9" s="829"/>
      <c r="FS9" s="829"/>
      <c r="FT9" s="829"/>
      <c r="FU9" s="829"/>
      <c r="FV9" s="829"/>
      <c r="FW9" s="829"/>
      <c r="FX9" s="829"/>
      <c r="FY9" s="829"/>
      <c r="FZ9" s="829"/>
      <c r="GA9" s="829"/>
      <c r="GB9" s="829"/>
      <c r="GC9" s="829"/>
      <c r="GD9" s="829"/>
      <c r="GE9" s="829"/>
      <c r="GF9" s="829"/>
      <c r="GG9" s="829"/>
      <c r="GH9" s="829"/>
      <c r="GI9" s="829"/>
      <c r="GJ9" s="829"/>
      <c r="GK9" s="829"/>
      <c r="GL9" s="829"/>
      <c r="GM9" s="829"/>
      <c r="GN9" s="829"/>
      <c r="GO9" s="829"/>
      <c r="GP9" s="829"/>
      <c r="GQ9" s="829"/>
      <c r="GR9" s="829"/>
      <c r="GS9" s="829"/>
      <c r="GT9" s="829"/>
      <c r="GU9" s="829"/>
      <c r="GV9" s="829"/>
      <c r="GW9" s="829"/>
      <c r="GX9" s="829"/>
      <c r="GY9" s="829"/>
      <c r="GZ9" s="829"/>
      <c r="HA9" s="829"/>
      <c r="HB9" s="829"/>
      <c r="HC9" s="829"/>
      <c r="HD9" s="829"/>
      <c r="HE9" s="829"/>
      <c r="HF9" s="829"/>
      <c r="HG9" s="829"/>
      <c r="HH9" s="829"/>
      <c r="HI9" s="829"/>
      <c r="HJ9" s="829"/>
      <c r="HK9" s="829"/>
      <c r="HL9" s="829"/>
      <c r="HM9" s="829"/>
      <c r="HN9" s="829"/>
      <c r="HO9" s="829"/>
      <c r="HP9" s="829"/>
      <c r="HQ9" s="829"/>
      <c r="HR9" s="829"/>
      <c r="HS9" s="829"/>
      <c r="HT9" s="829"/>
      <c r="HU9" s="829"/>
      <c r="HV9" s="829"/>
      <c r="HW9" s="829"/>
      <c r="HX9" s="829"/>
      <c r="HY9" s="829"/>
      <c r="HZ9" s="829"/>
      <c r="IA9" s="829"/>
      <c r="IB9" s="829"/>
      <c r="IC9" s="829"/>
      <c r="ID9" s="829"/>
      <c r="IE9" s="829"/>
      <c r="IF9" s="829"/>
      <c r="IG9" s="829"/>
      <c r="IH9" s="829"/>
      <c r="II9" s="829"/>
      <c r="IJ9" s="829"/>
      <c r="IK9" s="829"/>
      <c r="IL9" s="829"/>
      <c r="IM9" s="829"/>
      <c r="IN9" s="829"/>
      <c r="IO9" s="829"/>
      <c r="IP9" s="829"/>
      <c r="IQ9" s="829"/>
      <c r="IR9" s="829"/>
      <c r="IS9" s="829"/>
      <c r="IT9" s="829"/>
      <c r="IU9" s="829"/>
      <c r="IV9" s="829"/>
      <c r="IW9" s="829"/>
    </row>
    <row r="10" customFormat="false" ht="24" hidden="false" customHeight="true" outlineLevel="0" collapsed="false">
      <c r="A10" s="818" t="inlineStr">
        <is>
          <t xml:space="preserve"> 9-M. 과압배출구</t>
        </is>
      </c>
      <c r="B10" s="818"/>
      <c r="C10" s="818"/>
      <c r="D10" s="829"/>
      <c r="E10" s="829"/>
      <c r="F10" s="829"/>
      <c r="G10" s="829"/>
      <c r="H10" s="829"/>
      <c r="I10" s="829"/>
      <c r="J10" s="829"/>
      <c r="K10" s="829"/>
      <c r="L10" s="829"/>
      <c r="M10" s="829"/>
      <c r="N10" s="829"/>
      <c r="O10" s="829"/>
      <c r="P10" s="829"/>
      <c r="Q10" s="829"/>
      <c r="R10" s="829"/>
      <c r="S10" s="829"/>
      <c r="T10" s="829"/>
      <c r="U10" s="829"/>
      <c r="V10" s="829"/>
      <c r="W10" s="829"/>
      <c r="X10" s="829"/>
      <c r="Y10" s="829"/>
      <c r="Z10" s="829"/>
      <c r="AA10" s="829"/>
      <c r="AB10" s="829"/>
      <c r="AC10" s="829"/>
      <c r="AD10" s="829"/>
      <c r="AE10" s="829"/>
      <c r="AF10" s="829"/>
      <c r="AG10" s="829"/>
      <c r="AH10" s="829"/>
      <c r="AI10" s="829"/>
      <c r="AJ10" s="829"/>
      <c r="AK10" s="829"/>
      <c r="AL10" s="829"/>
      <c r="AM10" s="829"/>
      <c r="AN10" s="829"/>
      <c r="AO10" s="829"/>
      <c r="AP10" s="829"/>
      <c r="AQ10" s="829"/>
      <c r="AR10" s="829"/>
      <c r="AS10" s="829"/>
      <c r="AT10" s="829"/>
      <c r="AU10" s="829"/>
      <c r="AV10" s="829"/>
      <c r="AW10" s="829"/>
      <c r="AX10" s="829"/>
      <c r="AY10" s="829"/>
      <c r="AZ10" s="829"/>
      <c r="BA10" s="829"/>
      <c r="BB10" s="829"/>
      <c r="BC10" s="829"/>
      <c r="BD10" s="829"/>
      <c r="BE10" s="829"/>
      <c r="BF10" s="829"/>
      <c r="BG10" s="829"/>
      <c r="BH10" s="829"/>
      <c r="BI10" s="829"/>
      <c r="BJ10" s="829"/>
      <c r="BK10" s="829"/>
      <c r="BL10" s="829"/>
      <c r="BM10" s="829"/>
      <c r="BN10" s="829"/>
      <c r="BO10" s="829"/>
      <c r="BP10" s="829"/>
      <c r="BQ10" s="829"/>
      <c r="BR10" s="829"/>
      <c r="BS10" s="829"/>
      <c r="BT10" s="829"/>
      <c r="BU10" s="829"/>
      <c r="BV10" s="829"/>
      <c r="BW10" s="829"/>
      <c r="BX10" s="829"/>
      <c r="BY10" s="829"/>
      <c r="BZ10" s="829"/>
      <c r="CA10" s="829"/>
      <c r="CB10" s="829"/>
      <c r="CC10" s="829"/>
      <c r="CD10" s="829"/>
      <c r="CE10" s="829"/>
      <c r="CF10" s="829"/>
      <c r="CG10" s="829"/>
      <c r="CH10" s="829"/>
      <c r="CI10" s="829"/>
      <c r="CJ10" s="829"/>
      <c r="CK10" s="829"/>
      <c r="CL10" s="829"/>
      <c r="CM10" s="829"/>
      <c r="CN10" s="829"/>
      <c r="CO10" s="829"/>
      <c r="CP10" s="829"/>
      <c r="CQ10" s="829"/>
      <c r="CR10" s="829"/>
      <c r="CS10" s="829"/>
      <c r="CT10" s="829"/>
      <c r="CU10" s="829"/>
      <c r="CV10" s="829"/>
      <c r="CW10" s="829"/>
      <c r="CX10" s="829"/>
      <c r="CY10" s="829"/>
      <c r="CZ10" s="829"/>
      <c r="DA10" s="829"/>
      <c r="DB10" s="829"/>
      <c r="DC10" s="829"/>
      <c r="DD10" s="829"/>
      <c r="DE10" s="829"/>
      <c r="DF10" s="829"/>
      <c r="DG10" s="829"/>
      <c r="DH10" s="829"/>
      <c r="DI10" s="829"/>
      <c r="DJ10" s="829"/>
      <c r="DK10" s="829"/>
      <c r="DL10" s="829"/>
      <c r="DM10" s="829"/>
      <c r="DN10" s="829"/>
      <c r="DO10" s="829"/>
      <c r="DP10" s="829"/>
      <c r="DQ10" s="829"/>
      <c r="DR10" s="829"/>
      <c r="DS10" s="829"/>
      <c r="DT10" s="829"/>
      <c r="DU10" s="829"/>
      <c r="DV10" s="829"/>
      <c r="DW10" s="829"/>
      <c r="DX10" s="829"/>
      <c r="DY10" s="829"/>
      <c r="DZ10" s="829"/>
      <c r="EA10" s="829"/>
      <c r="EB10" s="829"/>
      <c r="EC10" s="829"/>
      <c r="ED10" s="829"/>
      <c r="EE10" s="829"/>
      <c r="EF10" s="829"/>
      <c r="EG10" s="829"/>
      <c r="EH10" s="829"/>
      <c r="EI10" s="829"/>
      <c r="EJ10" s="829"/>
      <c r="EK10" s="829"/>
      <c r="EL10" s="829"/>
      <c r="EM10" s="829"/>
      <c r="EN10" s="829"/>
      <c r="EO10" s="829"/>
      <c r="EP10" s="829"/>
      <c r="EQ10" s="829"/>
      <c r="ER10" s="829"/>
      <c r="ES10" s="829"/>
      <c r="ET10" s="829"/>
      <c r="EU10" s="829"/>
      <c r="EV10" s="829"/>
      <c r="EW10" s="829"/>
      <c r="EX10" s="829"/>
      <c r="EY10" s="829"/>
      <c r="EZ10" s="829"/>
      <c r="FA10" s="829"/>
      <c r="FB10" s="829"/>
      <c r="FC10" s="829"/>
      <c r="FD10" s="829"/>
      <c r="FE10" s="829"/>
      <c r="FF10" s="829"/>
      <c r="FG10" s="829"/>
      <c r="FH10" s="829"/>
      <c r="FI10" s="829"/>
      <c r="FJ10" s="829"/>
      <c r="FK10" s="829"/>
      <c r="FL10" s="829"/>
      <c r="FM10" s="829"/>
      <c r="FN10" s="829"/>
      <c r="FO10" s="829"/>
      <c r="FP10" s="829"/>
      <c r="FQ10" s="829"/>
      <c r="FR10" s="829"/>
      <c r="FS10" s="829"/>
      <c r="FT10" s="829"/>
      <c r="FU10" s="829"/>
      <c r="FV10" s="829"/>
      <c r="FW10" s="829"/>
      <c r="FX10" s="829"/>
      <c r="FY10" s="829"/>
      <c r="FZ10" s="829"/>
      <c r="GA10" s="829"/>
      <c r="GB10" s="829"/>
      <c r="GC10" s="829"/>
      <c r="GD10" s="829"/>
      <c r="GE10" s="829"/>
      <c r="GF10" s="829"/>
      <c r="GG10" s="829"/>
      <c r="GH10" s="829"/>
      <c r="GI10" s="829"/>
      <c r="GJ10" s="829"/>
      <c r="GK10" s="829"/>
      <c r="GL10" s="829"/>
      <c r="GM10" s="829"/>
      <c r="GN10" s="829"/>
      <c r="GO10" s="829"/>
      <c r="GP10" s="829"/>
      <c r="GQ10" s="829"/>
      <c r="GR10" s="829"/>
      <c r="GS10" s="829"/>
      <c r="GT10" s="829"/>
      <c r="GU10" s="829"/>
      <c r="GV10" s="829"/>
      <c r="GW10" s="829"/>
      <c r="GX10" s="829"/>
      <c r="GY10" s="829"/>
      <c r="GZ10" s="829"/>
      <c r="HA10" s="829"/>
      <c r="HB10" s="829"/>
      <c r="HC10" s="829"/>
      <c r="HD10" s="829"/>
      <c r="HE10" s="829"/>
      <c r="HF10" s="829"/>
      <c r="HG10" s="829"/>
      <c r="HH10" s="829"/>
      <c r="HI10" s="829"/>
      <c r="HJ10" s="829"/>
      <c r="HK10" s="829"/>
      <c r="HL10" s="829"/>
      <c r="HM10" s="829"/>
      <c r="HN10" s="829"/>
      <c r="HO10" s="829"/>
      <c r="HP10" s="829"/>
      <c r="HQ10" s="829"/>
      <c r="HR10" s="829"/>
      <c r="HS10" s="829"/>
      <c r="HT10" s="829"/>
      <c r="HU10" s="829"/>
      <c r="HV10" s="829"/>
      <c r="HW10" s="829"/>
      <c r="HX10" s="829"/>
      <c r="HY10" s="829"/>
      <c r="HZ10" s="829"/>
      <c r="IA10" s="829"/>
      <c r="IB10" s="829"/>
      <c r="IC10" s="829"/>
      <c r="ID10" s="829"/>
      <c r="IE10" s="829"/>
      <c r="IF10" s="829"/>
      <c r="IG10" s="829"/>
      <c r="IH10" s="829"/>
      <c r="II10" s="829"/>
      <c r="IJ10" s="829"/>
      <c r="IK10" s="829"/>
      <c r="IL10" s="829"/>
      <c r="IM10" s="829"/>
      <c r="IN10" s="829"/>
      <c r="IO10" s="829"/>
      <c r="IP10" s="829"/>
      <c r="IQ10" s="829"/>
      <c r="IR10" s="829"/>
      <c r="IS10" s="829"/>
      <c r="IT10" s="829"/>
      <c r="IU10" s="829"/>
      <c r="IV10" s="829"/>
      <c r="IW10" s="829"/>
    </row>
    <row r="11" customFormat="false" ht="21.75" hidden="false" customHeight="true" outlineLevel="0" collapsed="false">
      <c r="A11" s="760" t="inlineStr">
        <is>
          <t xml:space="preserve">9-M-001</t>
        </is>
      </c>
      <c r="B11" s="761" t="inlineStr">
        <is>
          <t xml:space="preserve">● 과압배출구 설치상태 및 관리 여부</t>
        </is>
      </c>
      <c r="C11" s="816"/>
      <c r="D11" s="829"/>
      <c r="E11" s="829"/>
      <c r="F11" s="829"/>
      <c r="G11" s="829"/>
      <c r="H11" s="829"/>
      <c r="I11" s="829"/>
      <c r="J11" s="829"/>
      <c r="K11" s="829"/>
      <c r="L11" s="829"/>
      <c r="M11" s="829"/>
      <c r="N11" s="829"/>
      <c r="O11" s="829"/>
      <c r="P11" s="829"/>
      <c r="Q11" s="829"/>
      <c r="R11" s="829"/>
      <c r="S11" s="829"/>
      <c r="T11" s="829"/>
      <c r="U11" s="829"/>
      <c r="V11" s="829"/>
      <c r="W11" s="829"/>
      <c r="X11" s="829"/>
      <c r="Y11" s="829"/>
      <c r="Z11" s="829"/>
      <c r="AA11" s="829"/>
      <c r="AB11" s="829"/>
      <c r="AC11" s="829"/>
      <c r="AD11" s="829"/>
      <c r="AE11" s="829"/>
      <c r="AF11" s="829"/>
      <c r="AG11" s="829"/>
      <c r="AH11" s="829"/>
      <c r="AI11" s="829"/>
      <c r="AJ11" s="829"/>
      <c r="AK11" s="829"/>
      <c r="AL11" s="829"/>
      <c r="AM11" s="829"/>
      <c r="AN11" s="829"/>
      <c r="AO11" s="829"/>
      <c r="AP11" s="829"/>
      <c r="AQ11" s="829"/>
      <c r="AR11" s="829"/>
      <c r="AS11" s="829"/>
      <c r="AT11" s="829"/>
      <c r="AU11" s="829"/>
      <c r="AV11" s="829"/>
      <c r="AW11" s="829"/>
      <c r="AX11" s="829"/>
      <c r="AY11" s="829"/>
      <c r="AZ11" s="829"/>
      <c r="BA11" s="829"/>
      <c r="BB11" s="829"/>
      <c r="BC11" s="829"/>
      <c r="BD11" s="829"/>
      <c r="BE11" s="829"/>
      <c r="BF11" s="829"/>
      <c r="BG11" s="829"/>
      <c r="BH11" s="829"/>
      <c r="BI11" s="829"/>
      <c r="BJ11" s="829"/>
      <c r="BK11" s="829"/>
      <c r="BL11" s="829"/>
      <c r="BM11" s="829"/>
      <c r="BN11" s="829"/>
      <c r="BO11" s="829"/>
      <c r="BP11" s="829"/>
      <c r="BQ11" s="829"/>
      <c r="BR11" s="829"/>
      <c r="BS11" s="829"/>
      <c r="BT11" s="829"/>
      <c r="BU11" s="829"/>
      <c r="BV11" s="829"/>
      <c r="BW11" s="829"/>
      <c r="BX11" s="829"/>
      <c r="BY11" s="829"/>
      <c r="BZ11" s="829"/>
      <c r="CA11" s="829"/>
      <c r="CB11" s="829"/>
      <c r="CC11" s="829"/>
      <c r="CD11" s="829"/>
      <c r="CE11" s="829"/>
      <c r="CF11" s="829"/>
      <c r="CG11" s="829"/>
      <c r="CH11" s="829"/>
      <c r="CI11" s="829"/>
      <c r="CJ11" s="829"/>
      <c r="CK11" s="829"/>
      <c r="CL11" s="829"/>
      <c r="CM11" s="829"/>
      <c r="CN11" s="829"/>
      <c r="CO11" s="829"/>
      <c r="CP11" s="829"/>
      <c r="CQ11" s="829"/>
      <c r="CR11" s="829"/>
      <c r="CS11" s="829"/>
      <c r="CT11" s="829"/>
      <c r="CU11" s="829"/>
      <c r="CV11" s="829"/>
      <c r="CW11" s="829"/>
      <c r="CX11" s="829"/>
      <c r="CY11" s="829"/>
      <c r="CZ11" s="829"/>
      <c r="DA11" s="829"/>
      <c r="DB11" s="829"/>
      <c r="DC11" s="829"/>
      <c r="DD11" s="829"/>
      <c r="DE11" s="829"/>
      <c r="DF11" s="829"/>
      <c r="DG11" s="829"/>
      <c r="DH11" s="829"/>
      <c r="DI11" s="829"/>
      <c r="DJ11" s="829"/>
      <c r="DK11" s="829"/>
      <c r="DL11" s="829"/>
      <c r="DM11" s="829"/>
      <c r="DN11" s="829"/>
      <c r="DO11" s="829"/>
      <c r="DP11" s="829"/>
      <c r="DQ11" s="829"/>
      <c r="DR11" s="829"/>
      <c r="DS11" s="829"/>
      <c r="DT11" s="829"/>
      <c r="DU11" s="829"/>
      <c r="DV11" s="829"/>
      <c r="DW11" s="829"/>
      <c r="DX11" s="829"/>
      <c r="DY11" s="829"/>
      <c r="DZ11" s="829"/>
      <c r="EA11" s="829"/>
      <c r="EB11" s="829"/>
      <c r="EC11" s="829"/>
      <c r="ED11" s="829"/>
      <c r="EE11" s="829"/>
      <c r="EF11" s="829"/>
      <c r="EG11" s="829"/>
      <c r="EH11" s="829"/>
      <c r="EI11" s="829"/>
      <c r="EJ11" s="829"/>
      <c r="EK11" s="829"/>
      <c r="EL11" s="829"/>
      <c r="EM11" s="829"/>
      <c r="EN11" s="829"/>
      <c r="EO11" s="829"/>
      <c r="EP11" s="829"/>
      <c r="EQ11" s="829"/>
      <c r="ER11" s="829"/>
      <c r="ES11" s="829"/>
      <c r="ET11" s="829"/>
      <c r="EU11" s="829"/>
      <c r="EV11" s="829"/>
      <c r="EW11" s="829"/>
      <c r="EX11" s="829"/>
      <c r="EY11" s="829"/>
      <c r="EZ11" s="829"/>
      <c r="FA11" s="829"/>
      <c r="FB11" s="829"/>
      <c r="FC11" s="829"/>
      <c r="FD11" s="829"/>
      <c r="FE11" s="829"/>
      <c r="FF11" s="829"/>
      <c r="FG11" s="829"/>
      <c r="FH11" s="829"/>
      <c r="FI11" s="829"/>
      <c r="FJ11" s="829"/>
      <c r="FK11" s="829"/>
      <c r="FL11" s="829"/>
      <c r="FM11" s="829"/>
      <c r="FN11" s="829"/>
      <c r="FO11" s="829"/>
      <c r="FP11" s="829"/>
      <c r="FQ11" s="829"/>
      <c r="FR11" s="829"/>
      <c r="FS11" s="829"/>
      <c r="FT11" s="829"/>
      <c r="FU11" s="829"/>
      <c r="FV11" s="829"/>
      <c r="FW11" s="829"/>
      <c r="FX11" s="829"/>
      <c r="FY11" s="829"/>
      <c r="FZ11" s="829"/>
      <c r="GA11" s="829"/>
      <c r="GB11" s="829"/>
      <c r="GC11" s="829"/>
      <c r="GD11" s="829"/>
      <c r="GE11" s="829"/>
      <c r="GF11" s="829"/>
      <c r="GG11" s="829"/>
      <c r="GH11" s="829"/>
      <c r="GI11" s="829"/>
      <c r="GJ11" s="829"/>
      <c r="GK11" s="829"/>
      <c r="GL11" s="829"/>
      <c r="GM11" s="829"/>
      <c r="GN11" s="829"/>
      <c r="GO11" s="829"/>
      <c r="GP11" s="829"/>
      <c r="GQ11" s="829"/>
      <c r="GR11" s="829"/>
      <c r="GS11" s="829"/>
      <c r="GT11" s="829"/>
      <c r="GU11" s="829"/>
      <c r="GV11" s="829"/>
      <c r="GW11" s="829"/>
      <c r="GX11" s="829"/>
      <c r="GY11" s="829"/>
      <c r="GZ11" s="829"/>
      <c r="HA11" s="829"/>
      <c r="HB11" s="829"/>
      <c r="HC11" s="829"/>
      <c r="HD11" s="829"/>
      <c r="HE11" s="829"/>
      <c r="HF11" s="829"/>
      <c r="HG11" s="829"/>
      <c r="HH11" s="829"/>
      <c r="HI11" s="829"/>
      <c r="HJ11" s="829"/>
      <c r="HK11" s="829"/>
      <c r="HL11" s="829"/>
      <c r="HM11" s="829"/>
      <c r="HN11" s="829"/>
      <c r="HO11" s="829"/>
      <c r="HP11" s="829"/>
      <c r="HQ11" s="829"/>
      <c r="HR11" s="829"/>
      <c r="HS11" s="829"/>
      <c r="HT11" s="829"/>
      <c r="HU11" s="829"/>
      <c r="HV11" s="829"/>
      <c r="HW11" s="829"/>
      <c r="HX11" s="829"/>
      <c r="HY11" s="829"/>
      <c r="HZ11" s="829"/>
      <c r="IA11" s="829"/>
      <c r="IB11" s="829"/>
      <c r="IC11" s="829"/>
      <c r="ID11" s="829"/>
      <c r="IE11" s="829"/>
      <c r="IF11" s="829"/>
      <c r="IG11" s="829"/>
      <c r="IH11" s="829"/>
      <c r="II11" s="829"/>
      <c r="IJ11" s="829"/>
      <c r="IK11" s="829"/>
      <c r="IL11" s="829"/>
      <c r="IM11" s="829"/>
      <c r="IN11" s="829"/>
      <c r="IO11" s="829"/>
      <c r="IP11" s="829"/>
      <c r="IQ11" s="829"/>
      <c r="IR11" s="829"/>
      <c r="IS11" s="829"/>
      <c r="IT11" s="829"/>
      <c r="IU11" s="829"/>
      <c r="IV11" s="829"/>
      <c r="IW11" s="829"/>
    </row>
    <row r="12" customFormat="false" ht="24" hidden="false" customHeight="true" outlineLevel="0" collapsed="false">
      <c r="A12" s="818" t="inlineStr">
        <is>
          <t xml:space="preserve"> 9-N. 안전시설 등</t>
        </is>
      </c>
      <c r="B12" s="818"/>
      <c r="C12" s="818"/>
      <c r="D12" s="829"/>
      <c r="E12" s="829"/>
      <c r="F12" s="829"/>
      <c r="G12" s="829"/>
      <c r="H12" s="829"/>
      <c r="I12" s="829"/>
      <c r="J12" s="829"/>
      <c r="K12" s="829"/>
      <c r="L12" s="829"/>
      <c r="M12" s="829"/>
      <c r="N12" s="829"/>
      <c r="O12" s="829"/>
      <c r="P12" s="829"/>
      <c r="Q12" s="829"/>
      <c r="R12" s="829"/>
      <c r="S12" s="829"/>
      <c r="T12" s="829"/>
      <c r="U12" s="829"/>
      <c r="V12" s="829"/>
      <c r="W12" s="829"/>
      <c r="X12" s="829"/>
      <c r="Y12" s="829"/>
      <c r="Z12" s="829"/>
      <c r="AA12" s="829"/>
      <c r="AB12" s="829"/>
      <c r="AC12" s="829"/>
      <c r="AD12" s="829"/>
      <c r="AE12" s="829"/>
      <c r="AF12" s="829"/>
      <c r="AG12" s="829"/>
      <c r="AH12" s="829"/>
      <c r="AI12" s="829"/>
      <c r="AJ12" s="829"/>
      <c r="AK12" s="829"/>
      <c r="AL12" s="829"/>
      <c r="AM12" s="829"/>
      <c r="AN12" s="829"/>
      <c r="AO12" s="829"/>
      <c r="AP12" s="829"/>
      <c r="AQ12" s="829"/>
      <c r="AR12" s="829"/>
      <c r="AS12" s="829"/>
      <c r="AT12" s="829"/>
      <c r="AU12" s="829"/>
      <c r="AV12" s="829"/>
      <c r="AW12" s="829"/>
      <c r="AX12" s="829"/>
      <c r="AY12" s="829"/>
      <c r="AZ12" s="829"/>
      <c r="BA12" s="829"/>
      <c r="BB12" s="829"/>
      <c r="BC12" s="829"/>
      <c r="BD12" s="829"/>
      <c r="BE12" s="829"/>
      <c r="BF12" s="829"/>
      <c r="BG12" s="829"/>
      <c r="BH12" s="829"/>
      <c r="BI12" s="829"/>
      <c r="BJ12" s="829"/>
      <c r="BK12" s="829"/>
      <c r="BL12" s="829"/>
      <c r="BM12" s="829"/>
      <c r="BN12" s="829"/>
      <c r="BO12" s="829"/>
      <c r="BP12" s="829"/>
      <c r="BQ12" s="829"/>
      <c r="BR12" s="829"/>
      <c r="BS12" s="829"/>
      <c r="BT12" s="829"/>
      <c r="BU12" s="829"/>
      <c r="BV12" s="829"/>
      <c r="BW12" s="829"/>
      <c r="BX12" s="829"/>
      <c r="BY12" s="829"/>
      <c r="BZ12" s="829"/>
      <c r="CA12" s="829"/>
      <c r="CB12" s="829"/>
      <c r="CC12" s="829"/>
      <c r="CD12" s="829"/>
      <c r="CE12" s="829"/>
      <c r="CF12" s="829"/>
      <c r="CG12" s="829"/>
      <c r="CH12" s="829"/>
      <c r="CI12" s="829"/>
      <c r="CJ12" s="829"/>
      <c r="CK12" s="829"/>
      <c r="CL12" s="829"/>
      <c r="CM12" s="829"/>
      <c r="CN12" s="829"/>
      <c r="CO12" s="829"/>
      <c r="CP12" s="829"/>
      <c r="CQ12" s="829"/>
      <c r="CR12" s="829"/>
      <c r="CS12" s="829"/>
      <c r="CT12" s="829"/>
      <c r="CU12" s="829"/>
      <c r="CV12" s="829"/>
      <c r="CW12" s="829"/>
      <c r="CX12" s="829"/>
      <c r="CY12" s="829"/>
      <c r="CZ12" s="829"/>
      <c r="DA12" s="829"/>
      <c r="DB12" s="829"/>
      <c r="DC12" s="829"/>
      <c r="DD12" s="829"/>
      <c r="DE12" s="829"/>
      <c r="DF12" s="829"/>
      <c r="DG12" s="829"/>
      <c r="DH12" s="829"/>
      <c r="DI12" s="829"/>
      <c r="DJ12" s="829"/>
      <c r="DK12" s="829"/>
      <c r="DL12" s="829"/>
      <c r="DM12" s="829"/>
      <c r="DN12" s="829"/>
      <c r="DO12" s="829"/>
      <c r="DP12" s="829"/>
      <c r="DQ12" s="829"/>
      <c r="DR12" s="829"/>
      <c r="DS12" s="829"/>
      <c r="DT12" s="829"/>
      <c r="DU12" s="829"/>
      <c r="DV12" s="829"/>
      <c r="DW12" s="829"/>
      <c r="DX12" s="829"/>
      <c r="DY12" s="829"/>
      <c r="DZ12" s="829"/>
      <c r="EA12" s="829"/>
      <c r="EB12" s="829"/>
      <c r="EC12" s="829"/>
      <c r="ED12" s="829"/>
      <c r="EE12" s="829"/>
      <c r="EF12" s="829"/>
      <c r="EG12" s="829"/>
      <c r="EH12" s="829"/>
      <c r="EI12" s="829"/>
      <c r="EJ12" s="829"/>
      <c r="EK12" s="829"/>
      <c r="EL12" s="829"/>
      <c r="EM12" s="829"/>
      <c r="EN12" s="829"/>
      <c r="EO12" s="829"/>
      <c r="EP12" s="829"/>
      <c r="EQ12" s="829"/>
      <c r="ER12" s="829"/>
      <c r="ES12" s="829"/>
      <c r="ET12" s="829"/>
      <c r="EU12" s="829"/>
      <c r="EV12" s="829"/>
      <c r="EW12" s="829"/>
      <c r="EX12" s="829"/>
      <c r="EY12" s="829"/>
      <c r="EZ12" s="829"/>
      <c r="FA12" s="829"/>
      <c r="FB12" s="829"/>
      <c r="FC12" s="829"/>
      <c r="FD12" s="829"/>
      <c r="FE12" s="829"/>
      <c r="FF12" s="829"/>
      <c r="FG12" s="829"/>
      <c r="FH12" s="829"/>
      <c r="FI12" s="829"/>
      <c r="FJ12" s="829"/>
      <c r="FK12" s="829"/>
      <c r="FL12" s="829"/>
      <c r="FM12" s="829"/>
      <c r="FN12" s="829"/>
      <c r="FO12" s="829"/>
      <c r="FP12" s="829"/>
      <c r="FQ12" s="829"/>
      <c r="FR12" s="829"/>
      <c r="FS12" s="829"/>
      <c r="FT12" s="829"/>
      <c r="FU12" s="829"/>
      <c r="FV12" s="829"/>
      <c r="FW12" s="829"/>
      <c r="FX12" s="829"/>
      <c r="FY12" s="829"/>
      <c r="FZ12" s="829"/>
      <c r="GA12" s="829"/>
      <c r="GB12" s="829"/>
      <c r="GC12" s="829"/>
      <c r="GD12" s="829"/>
      <c r="GE12" s="829"/>
      <c r="GF12" s="829"/>
      <c r="GG12" s="829"/>
      <c r="GH12" s="829"/>
      <c r="GI12" s="829"/>
      <c r="GJ12" s="829"/>
      <c r="GK12" s="829"/>
      <c r="GL12" s="829"/>
      <c r="GM12" s="829"/>
      <c r="GN12" s="829"/>
      <c r="GO12" s="829"/>
      <c r="GP12" s="829"/>
      <c r="GQ12" s="829"/>
      <c r="GR12" s="829"/>
      <c r="GS12" s="829"/>
      <c r="GT12" s="829"/>
      <c r="GU12" s="829"/>
      <c r="GV12" s="829"/>
      <c r="GW12" s="829"/>
      <c r="GX12" s="829"/>
      <c r="GY12" s="829"/>
      <c r="GZ12" s="829"/>
      <c r="HA12" s="829"/>
      <c r="HB12" s="829"/>
      <c r="HC12" s="829"/>
      <c r="HD12" s="829"/>
      <c r="HE12" s="829"/>
      <c r="HF12" s="829"/>
      <c r="HG12" s="829"/>
      <c r="HH12" s="829"/>
      <c r="HI12" s="829"/>
      <c r="HJ12" s="829"/>
      <c r="HK12" s="829"/>
      <c r="HL12" s="829"/>
      <c r="HM12" s="829"/>
      <c r="HN12" s="829"/>
      <c r="HO12" s="829"/>
      <c r="HP12" s="829"/>
      <c r="HQ12" s="829"/>
      <c r="HR12" s="829"/>
      <c r="HS12" s="829"/>
      <c r="HT12" s="829"/>
      <c r="HU12" s="829"/>
      <c r="HV12" s="829"/>
      <c r="HW12" s="829"/>
      <c r="HX12" s="829"/>
      <c r="HY12" s="829"/>
      <c r="HZ12" s="829"/>
      <c r="IA12" s="829"/>
      <c r="IB12" s="829"/>
      <c r="IC12" s="829"/>
      <c r="ID12" s="829"/>
      <c r="IE12" s="829"/>
      <c r="IF12" s="829"/>
      <c r="IG12" s="829"/>
      <c r="IH12" s="829"/>
      <c r="II12" s="829"/>
      <c r="IJ12" s="829"/>
      <c r="IK12" s="829"/>
      <c r="IL12" s="829"/>
      <c r="IM12" s="829"/>
      <c r="IN12" s="829"/>
      <c r="IO12" s="829"/>
      <c r="IP12" s="829"/>
      <c r="IQ12" s="829"/>
      <c r="IR12" s="829"/>
      <c r="IS12" s="829"/>
      <c r="IT12" s="829"/>
      <c r="IU12" s="829"/>
      <c r="IV12" s="829"/>
      <c r="IW12" s="829"/>
    </row>
    <row r="13" customFormat="false" ht="21.75" hidden="false" customHeight="true" outlineLevel="0" collapsed="false">
      <c r="A13" s="795" t="inlineStr">
        <is>
          <t xml:space="preserve">9-N-001</t>
        </is>
      </c>
      <c r="B13" s="796" t="inlineStr">
        <is>
          <t xml:space="preserve">○ 소화약제 방출알림 시각경보장치 설치기준 적합 및 정상 작동 여부</t>
        </is>
      </c>
      <c r="C13" s="816"/>
      <c r="D13" s="829"/>
      <c r="E13" s="829"/>
      <c r="F13" s="829"/>
      <c r="G13" s="829"/>
      <c r="H13" s="829"/>
      <c r="I13" s="829"/>
      <c r="J13" s="829"/>
      <c r="K13" s="829"/>
      <c r="L13" s="829"/>
      <c r="M13" s="829"/>
      <c r="N13" s="829"/>
      <c r="O13" s="829"/>
      <c r="P13" s="829"/>
      <c r="Q13" s="829"/>
      <c r="R13" s="829"/>
      <c r="S13" s="829"/>
      <c r="T13" s="829"/>
      <c r="U13" s="829"/>
      <c r="V13" s="829"/>
      <c r="W13" s="829"/>
      <c r="X13" s="829"/>
      <c r="Y13" s="829"/>
      <c r="Z13" s="829"/>
      <c r="AA13" s="829"/>
      <c r="AB13" s="829"/>
      <c r="AC13" s="829"/>
      <c r="AD13" s="829"/>
      <c r="AE13" s="829"/>
      <c r="AF13" s="829"/>
      <c r="AG13" s="829"/>
      <c r="AH13" s="829"/>
      <c r="AI13" s="829"/>
      <c r="AJ13" s="829"/>
      <c r="AK13" s="829"/>
      <c r="AL13" s="829"/>
      <c r="AM13" s="829"/>
      <c r="AN13" s="829"/>
      <c r="AO13" s="829"/>
      <c r="AP13" s="829"/>
      <c r="AQ13" s="829"/>
      <c r="AR13" s="829"/>
      <c r="AS13" s="829"/>
      <c r="AT13" s="829"/>
      <c r="AU13" s="829"/>
      <c r="AV13" s="829"/>
      <c r="AW13" s="829"/>
      <c r="AX13" s="829"/>
      <c r="AY13" s="829"/>
      <c r="AZ13" s="829"/>
      <c r="BA13" s="829"/>
      <c r="BB13" s="829"/>
      <c r="BC13" s="829"/>
      <c r="BD13" s="829"/>
      <c r="BE13" s="829"/>
      <c r="BF13" s="829"/>
      <c r="BG13" s="829"/>
      <c r="BH13" s="829"/>
      <c r="BI13" s="829"/>
      <c r="BJ13" s="829"/>
      <c r="BK13" s="829"/>
      <c r="BL13" s="829"/>
      <c r="BM13" s="829"/>
      <c r="BN13" s="829"/>
      <c r="BO13" s="829"/>
      <c r="BP13" s="829"/>
      <c r="BQ13" s="829"/>
      <c r="BR13" s="829"/>
      <c r="BS13" s="829"/>
      <c r="BT13" s="829"/>
      <c r="BU13" s="829"/>
      <c r="BV13" s="829"/>
      <c r="BW13" s="829"/>
      <c r="BX13" s="829"/>
      <c r="BY13" s="829"/>
      <c r="BZ13" s="829"/>
      <c r="CA13" s="829"/>
      <c r="CB13" s="829"/>
      <c r="CC13" s="829"/>
      <c r="CD13" s="829"/>
      <c r="CE13" s="829"/>
      <c r="CF13" s="829"/>
      <c r="CG13" s="829"/>
      <c r="CH13" s="829"/>
      <c r="CI13" s="829"/>
      <c r="CJ13" s="829"/>
      <c r="CK13" s="829"/>
      <c r="CL13" s="829"/>
      <c r="CM13" s="829"/>
      <c r="CN13" s="829"/>
      <c r="CO13" s="829"/>
      <c r="CP13" s="829"/>
      <c r="CQ13" s="829"/>
      <c r="CR13" s="829"/>
      <c r="CS13" s="829"/>
      <c r="CT13" s="829"/>
      <c r="CU13" s="829"/>
      <c r="CV13" s="829"/>
      <c r="CW13" s="829"/>
      <c r="CX13" s="829"/>
      <c r="CY13" s="829"/>
      <c r="CZ13" s="829"/>
      <c r="DA13" s="829"/>
      <c r="DB13" s="829"/>
      <c r="DC13" s="829"/>
      <c r="DD13" s="829"/>
      <c r="DE13" s="829"/>
      <c r="DF13" s="829"/>
      <c r="DG13" s="829"/>
      <c r="DH13" s="829"/>
      <c r="DI13" s="829"/>
      <c r="DJ13" s="829"/>
      <c r="DK13" s="829"/>
      <c r="DL13" s="829"/>
      <c r="DM13" s="829"/>
      <c r="DN13" s="829"/>
      <c r="DO13" s="829"/>
      <c r="DP13" s="829"/>
      <c r="DQ13" s="829"/>
      <c r="DR13" s="829"/>
      <c r="DS13" s="829"/>
      <c r="DT13" s="829"/>
      <c r="DU13" s="829"/>
      <c r="DV13" s="829"/>
      <c r="DW13" s="829"/>
      <c r="DX13" s="829"/>
      <c r="DY13" s="829"/>
      <c r="DZ13" s="829"/>
      <c r="EA13" s="829"/>
      <c r="EB13" s="829"/>
      <c r="EC13" s="829"/>
      <c r="ED13" s="829"/>
      <c r="EE13" s="829"/>
      <c r="EF13" s="829"/>
      <c r="EG13" s="829"/>
      <c r="EH13" s="829"/>
      <c r="EI13" s="829"/>
      <c r="EJ13" s="829"/>
      <c r="EK13" s="829"/>
      <c r="EL13" s="829"/>
      <c r="EM13" s="829"/>
      <c r="EN13" s="829"/>
      <c r="EO13" s="829"/>
      <c r="EP13" s="829"/>
      <c r="EQ13" s="829"/>
      <c r="ER13" s="829"/>
      <c r="ES13" s="829"/>
      <c r="ET13" s="829"/>
      <c r="EU13" s="829"/>
      <c r="EV13" s="829"/>
      <c r="EW13" s="829"/>
      <c r="EX13" s="829"/>
      <c r="EY13" s="829"/>
      <c r="EZ13" s="829"/>
      <c r="FA13" s="829"/>
      <c r="FB13" s="829"/>
      <c r="FC13" s="829"/>
      <c r="FD13" s="829"/>
      <c r="FE13" s="829"/>
      <c r="FF13" s="829"/>
      <c r="FG13" s="829"/>
      <c r="FH13" s="829"/>
      <c r="FI13" s="829"/>
      <c r="FJ13" s="829"/>
      <c r="FK13" s="829"/>
      <c r="FL13" s="829"/>
      <c r="FM13" s="829"/>
      <c r="FN13" s="829"/>
      <c r="FO13" s="829"/>
      <c r="FP13" s="829"/>
      <c r="FQ13" s="829"/>
      <c r="FR13" s="829"/>
      <c r="FS13" s="829"/>
      <c r="FT13" s="829"/>
      <c r="FU13" s="829"/>
      <c r="FV13" s="829"/>
      <c r="FW13" s="829"/>
      <c r="FX13" s="829"/>
      <c r="FY13" s="829"/>
      <c r="FZ13" s="829"/>
      <c r="GA13" s="829"/>
      <c r="GB13" s="829"/>
      <c r="GC13" s="829"/>
      <c r="GD13" s="829"/>
      <c r="GE13" s="829"/>
      <c r="GF13" s="829"/>
      <c r="GG13" s="829"/>
      <c r="GH13" s="829"/>
      <c r="GI13" s="829"/>
      <c r="GJ13" s="829"/>
      <c r="GK13" s="829"/>
      <c r="GL13" s="829"/>
      <c r="GM13" s="829"/>
      <c r="GN13" s="829"/>
      <c r="GO13" s="829"/>
      <c r="GP13" s="829"/>
      <c r="GQ13" s="829"/>
      <c r="GR13" s="829"/>
      <c r="GS13" s="829"/>
      <c r="GT13" s="829"/>
      <c r="GU13" s="829"/>
      <c r="GV13" s="829"/>
      <c r="GW13" s="829"/>
      <c r="GX13" s="829"/>
      <c r="GY13" s="829"/>
      <c r="GZ13" s="829"/>
      <c r="HA13" s="829"/>
      <c r="HB13" s="829"/>
      <c r="HC13" s="829"/>
      <c r="HD13" s="829"/>
      <c r="HE13" s="829"/>
      <c r="HF13" s="829"/>
      <c r="HG13" s="829"/>
      <c r="HH13" s="829"/>
      <c r="HI13" s="829"/>
      <c r="HJ13" s="829"/>
      <c r="HK13" s="829"/>
      <c r="HL13" s="829"/>
      <c r="HM13" s="829"/>
      <c r="HN13" s="829"/>
      <c r="HO13" s="829"/>
      <c r="HP13" s="829"/>
      <c r="HQ13" s="829"/>
      <c r="HR13" s="829"/>
      <c r="HS13" s="829"/>
      <c r="HT13" s="829"/>
      <c r="HU13" s="829"/>
      <c r="HV13" s="829"/>
      <c r="HW13" s="829"/>
      <c r="HX13" s="829"/>
      <c r="HY13" s="829"/>
      <c r="HZ13" s="829"/>
      <c r="IA13" s="829"/>
      <c r="IB13" s="829"/>
      <c r="IC13" s="829"/>
      <c r="ID13" s="829"/>
      <c r="IE13" s="829"/>
      <c r="IF13" s="829"/>
      <c r="IG13" s="829"/>
      <c r="IH13" s="829"/>
      <c r="II13" s="829"/>
      <c r="IJ13" s="829"/>
      <c r="IK13" s="829"/>
      <c r="IL13" s="829"/>
      <c r="IM13" s="829"/>
      <c r="IN13" s="829"/>
      <c r="IO13" s="829"/>
      <c r="IP13" s="829"/>
      <c r="IQ13" s="829"/>
      <c r="IR13" s="829"/>
      <c r="IS13" s="829"/>
      <c r="IT13" s="829"/>
      <c r="IU13" s="829"/>
      <c r="IV13" s="829"/>
      <c r="IW13" s="829"/>
    </row>
    <row r="14" customFormat="false" ht="21.75" hidden="false" customHeight="true" outlineLevel="0" collapsed="false">
      <c r="A14" s="798" t="inlineStr">
        <is>
          <t xml:space="preserve">9-N-002</t>
        </is>
      </c>
      <c r="B14" s="746" t="inlineStr">
        <is>
          <t xml:space="preserve">○ 방호구역 출입구 부근 잘 보이는 장소에 소화약제 방출 위험경고표지 부착 여부</t>
        </is>
      </c>
      <c r="C14" s="816"/>
      <c r="D14" s="829"/>
      <c r="E14" s="829"/>
      <c r="F14" s="829"/>
      <c r="G14" s="829"/>
      <c r="H14" s="829"/>
      <c r="I14" s="829"/>
      <c r="J14" s="829"/>
      <c r="K14" s="829"/>
      <c r="L14" s="829"/>
      <c r="M14" s="829"/>
      <c r="N14" s="829"/>
      <c r="O14" s="829"/>
      <c r="P14" s="829"/>
      <c r="Q14" s="829"/>
      <c r="R14" s="829"/>
      <c r="S14" s="829"/>
      <c r="T14" s="829"/>
      <c r="U14" s="829"/>
      <c r="V14" s="829"/>
      <c r="W14" s="829"/>
      <c r="X14" s="829"/>
      <c r="Y14" s="829"/>
      <c r="Z14" s="829"/>
      <c r="AA14" s="829"/>
      <c r="AB14" s="829"/>
      <c r="AC14" s="829"/>
      <c r="AD14" s="829"/>
      <c r="AE14" s="829"/>
      <c r="AF14" s="829"/>
      <c r="AG14" s="829"/>
      <c r="AH14" s="829"/>
      <c r="AI14" s="829"/>
      <c r="AJ14" s="829"/>
      <c r="AK14" s="829"/>
      <c r="AL14" s="829"/>
      <c r="AM14" s="829"/>
      <c r="AN14" s="829"/>
      <c r="AO14" s="829"/>
      <c r="AP14" s="829"/>
      <c r="AQ14" s="829"/>
      <c r="AR14" s="829"/>
      <c r="AS14" s="829"/>
      <c r="AT14" s="829"/>
      <c r="AU14" s="829"/>
      <c r="AV14" s="829"/>
      <c r="AW14" s="829"/>
      <c r="AX14" s="829"/>
      <c r="AY14" s="829"/>
      <c r="AZ14" s="829"/>
      <c r="BA14" s="829"/>
      <c r="BB14" s="829"/>
      <c r="BC14" s="829"/>
      <c r="BD14" s="829"/>
      <c r="BE14" s="829"/>
      <c r="BF14" s="829"/>
      <c r="BG14" s="829"/>
      <c r="BH14" s="829"/>
      <c r="BI14" s="829"/>
      <c r="BJ14" s="829"/>
      <c r="BK14" s="829"/>
      <c r="BL14" s="829"/>
      <c r="BM14" s="829"/>
      <c r="BN14" s="829"/>
      <c r="BO14" s="829"/>
      <c r="BP14" s="829"/>
      <c r="BQ14" s="829"/>
      <c r="BR14" s="829"/>
      <c r="BS14" s="829"/>
      <c r="BT14" s="829"/>
      <c r="BU14" s="829"/>
      <c r="BV14" s="829"/>
      <c r="BW14" s="829"/>
      <c r="BX14" s="829"/>
      <c r="BY14" s="829"/>
      <c r="BZ14" s="829"/>
      <c r="CA14" s="829"/>
      <c r="CB14" s="829"/>
      <c r="CC14" s="829"/>
      <c r="CD14" s="829"/>
      <c r="CE14" s="829"/>
      <c r="CF14" s="829"/>
      <c r="CG14" s="829"/>
      <c r="CH14" s="829"/>
      <c r="CI14" s="829"/>
      <c r="CJ14" s="829"/>
      <c r="CK14" s="829"/>
      <c r="CL14" s="829"/>
      <c r="CM14" s="829"/>
      <c r="CN14" s="829"/>
      <c r="CO14" s="829"/>
      <c r="CP14" s="829"/>
      <c r="CQ14" s="829"/>
      <c r="CR14" s="829"/>
      <c r="CS14" s="829"/>
      <c r="CT14" s="829"/>
      <c r="CU14" s="829"/>
      <c r="CV14" s="829"/>
      <c r="CW14" s="829"/>
      <c r="CX14" s="829"/>
      <c r="CY14" s="829"/>
      <c r="CZ14" s="829"/>
      <c r="DA14" s="829"/>
      <c r="DB14" s="829"/>
      <c r="DC14" s="829"/>
      <c r="DD14" s="829"/>
      <c r="DE14" s="829"/>
      <c r="DF14" s="829"/>
      <c r="DG14" s="829"/>
      <c r="DH14" s="829"/>
      <c r="DI14" s="829"/>
      <c r="DJ14" s="829"/>
      <c r="DK14" s="829"/>
      <c r="DL14" s="829"/>
      <c r="DM14" s="829"/>
      <c r="DN14" s="829"/>
      <c r="DO14" s="829"/>
      <c r="DP14" s="829"/>
      <c r="DQ14" s="829"/>
      <c r="DR14" s="829"/>
      <c r="DS14" s="829"/>
      <c r="DT14" s="829"/>
      <c r="DU14" s="829"/>
      <c r="DV14" s="829"/>
      <c r="DW14" s="829"/>
      <c r="DX14" s="829"/>
      <c r="DY14" s="829"/>
      <c r="DZ14" s="829"/>
      <c r="EA14" s="829"/>
      <c r="EB14" s="829"/>
      <c r="EC14" s="829"/>
      <c r="ED14" s="829"/>
      <c r="EE14" s="829"/>
      <c r="EF14" s="829"/>
      <c r="EG14" s="829"/>
      <c r="EH14" s="829"/>
      <c r="EI14" s="829"/>
      <c r="EJ14" s="829"/>
      <c r="EK14" s="829"/>
      <c r="EL14" s="829"/>
      <c r="EM14" s="829"/>
      <c r="EN14" s="829"/>
      <c r="EO14" s="829"/>
      <c r="EP14" s="829"/>
      <c r="EQ14" s="829"/>
      <c r="ER14" s="829"/>
      <c r="ES14" s="829"/>
      <c r="ET14" s="829"/>
      <c r="EU14" s="829"/>
      <c r="EV14" s="829"/>
      <c r="EW14" s="829"/>
      <c r="EX14" s="829"/>
      <c r="EY14" s="829"/>
      <c r="EZ14" s="829"/>
      <c r="FA14" s="829"/>
      <c r="FB14" s="829"/>
      <c r="FC14" s="829"/>
      <c r="FD14" s="829"/>
      <c r="FE14" s="829"/>
      <c r="FF14" s="829"/>
      <c r="FG14" s="829"/>
      <c r="FH14" s="829"/>
      <c r="FI14" s="829"/>
      <c r="FJ14" s="829"/>
      <c r="FK14" s="829"/>
      <c r="FL14" s="829"/>
      <c r="FM14" s="829"/>
      <c r="FN14" s="829"/>
      <c r="FO14" s="829"/>
      <c r="FP14" s="829"/>
      <c r="FQ14" s="829"/>
      <c r="FR14" s="829"/>
      <c r="FS14" s="829"/>
      <c r="FT14" s="829"/>
      <c r="FU14" s="829"/>
      <c r="FV14" s="829"/>
      <c r="FW14" s="829"/>
      <c r="FX14" s="829"/>
      <c r="FY14" s="829"/>
      <c r="FZ14" s="829"/>
      <c r="GA14" s="829"/>
      <c r="GB14" s="829"/>
      <c r="GC14" s="829"/>
      <c r="GD14" s="829"/>
      <c r="GE14" s="829"/>
      <c r="GF14" s="829"/>
      <c r="GG14" s="829"/>
      <c r="GH14" s="829"/>
      <c r="GI14" s="829"/>
      <c r="GJ14" s="829"/>
      <c r="GK14" s="829"/>
      <c r="GL14" s="829"/>
      <c r="GM14" s="829"/>
      <c r="GN14" s="829"/>
      <c r="GO14" s="829"/>
      <c r="GP14" s="829"/>
      <c r="GQ14" s="829"/>
      <c r="GR14" s="829"/>
      <c r="GS14" s="829"/>
      <c r="GT14" s="829"/>
      <c r="GU14" s="829"/>
      <c r="GV14" s="829"/>
      <c r="GW14" s="829"/>
      <c r="GX14" s="829"/>
      <c r="GY14" s="829"/>
      <c r="GZ14" s="829"/>
      <c r="HA14" s="829"/>
      <c r="HB14" s="829"/>
      <c r="HC14" s="829"/>
      <c r="HD14" s="829"/>
      <c r="HE14" s="829"/>
      <c r="HF14" s="829"/>
      <c r="HG14" s="829"/>
      <c r="HH14" s="829"/>
      <c r="HI14" s="829"/>
      <c r="HJ14" s="829"/>
      <c r="HK14" s="829"/>
      <c r="HL14" s="829"/>
      <c r="HM14" s="829"/>
      <c r="HN14" s="829"/>
      <c r="HO14" s="829"/>
      <c r="HP14" s="829"/>
      <c r="HQ14" s="829"/>
      <c r="HR14" s="829"/>
      <c r="HS14" s="829"/>
      <c r="HT14" s="829"/>
      <c r="HU14" s="829"/>
      <c r="HV14" s="829"/>
      <c r="HW14" s="829"/>
      <c r="HX14" s="829"/>
      <c r="HY14" s="829"/>
      <c r="HZ14" s="829"/>
      <c r="IA14" s="829"/>
      <c r="IB14" s="829"/>
      <c r="IC14" s="829"/>
      <c r="ID14" s="829"/>
      <c r="IE14" s="829"/>
      <c r="IF14" s="829"/>
      <c r="IG14" s="829"/>
      <c r="IH14" s="829"/>
      <c r="II14" s="829"/>
      <c r="IJ14" s="829"/>
      <c r="IK14" s="829"/>
      <c r="IL14" s="829"/>
      <c r="IM14" s="829"/>
      <c r="IN14" s="829"/>
      <c r="IO14" s="829"/>
      <c r="IP14" s="829"/>
      <c r="IQ14" s="829"/>
      <c r="IR14" s="829"/>
      <c r="IS14" s="829"/>
      <c r="IT14" s="829"/>
      <c r="IU14" s="829"/>
      <c r="IV14" s="829"/>
      <c r="IW14" s="829"/>
    </row>
    <row r="15" customFormat="false" ht="21.75" hidden="false" customHeight="true" outlineLevel="0" collapsed="false">
      <c r="A15" s="799" t="inlineStr">
        <is>
          <t xml:space="preserve">9-N-003</t>
        </is>
      </c>
      <c r="B15" s="800" t="inlineStr">
        <is>
          <t xml:space="preserve">○ 방호구역 출입구 외부 인근에 공기호흡기 설치 여부</t>
        </is>
      </c>
      <c r="C15" s="816"/>
      <c r="D15" s="829"/>
      <c r="E15" s="829"/>
      <c r="F15" s="829"/>
      <c r="G15" s="829"/>
      <c r="H15" s="829"/>
      <c r="I15" s="829"/>
      <c r="J15" s="829"/>
      <c r="K15" s="829"/>
      <c r="L15" s="829"/>
      <c r="M15" s="829"/>
      <c r="N15" s="829"/>
      <c r="O15" s="829"/>
      <c r="P15" s="829"/>
      <c r="Q15" s="829"/>
      <c r="R15" s="829"/>
      <c r="S15" s="829"/>
      <c r="T15" s="829"/>
      <c r="U15" s="829"/>
      <c r="V15" s="829"/>
      <c r="W15" s="829"/>
      <c r="X15" s="829"/>
      <c r="Y15" s="829"/>
      <c r="Z15" s="829"/>
      <c r="AA15" s="829"/>
      <c r="AB15" s="829"/>
      <c r="AC15" s="829"/>
      <c r="AD15" s="829"/>
      <c r="AE15" s="829"/>
      <c r="AF15" s="829"/>
      <c r="AG15" s="829"/>
      <c r="AH15" s="829"/>
      <c r="AI15" s="829"/>
      <c r="AJ15" s="829"/>
      <c r="AK15" s="829"/>
      <c r="AL15" s="829"/>
      <c r="AM15" s="829"/>
      <c r="AN15" s="829"/>
      <c r="AO15" s="829"/>
      <c r="AP15" s="829"/>
      <c r="AQ15" s="829"/>
      <c r="AR15" s="829"/>
      <c r="AS15" s="829"/>
      <c r="AT15" s="829"/>
      <c r="AU15" s="829"/>
      <c r="AV15" s="829"/>
      <c r="AW15" s="829"/>
      <c r="AX15" s="829"/>
      <c r="AY15" s="829"/>
      <c r="AZ15" s="829"/>
      <c r="BA15" s="829"/>
      <c r="BB15" s="829"/>
      <c r="BC15" s="829"/>
      <c r="BD15" s="829"/>
      <c r="BE15" s="829"/>
      <c r="BF15" s="829"/>
      <c r="BG15" s="829"/>
      <c r="BH15" s="829"/>
      <c r="BI15" s="829"/>
      <c r="BJ15" s="829"/>
      <c r="BK15" s="829"/>
      <c r="BL15" s="829"/>
      <c r="BM15" s="829"/>
      <c r="BN15" s="829"/>
      <c r="BO15" s="829"/>
      <c r="BP15" s="829"/>
      <c r="BQ15" s="829"/>
      <c r="BR15" s="829"/>
      <c r="BS15" s="829"/>
      <c r="BT15" s="829"/>
      <c r="BU15" s="829"/>
      <c r="BV15" s="829"/>
      <c r="BW15" s="829"/>
      <c r="BX15" s="829"/>
      <c r="BY15" s="829"/>
      <c r="BZ15" s="829"/>
      <c r="CA15" s="829"/>
      <c r="CB15" s="829"/>
      <c r="CC15" s="829"/>
      <c r="CD15" s="829"/>
      <c r="CE15" s="829"/>
      <c r="CF15" s="829"/>
      <c r="CG15" s="829"/>
      <c r="CH15" s="829"/>
      <c r="CI15" s="829"/>
      <c r="CJ15" s="829"/>
      <c r="CK15" s="829"/>
      <c r="CL15" s="829"/>
      <c r="CM15" s="829"/>
      <c r="CN15" s="829"/>
      <c r="CO15" s="829"/>
      <c r="CP15" s="829"/>
      <c r="CQ15" s="829"/>
      <c r="CR15" s="829"/>
      <c r="CS15" s="829"/>
      <c r="CT15" s="829"/>
      <c r="CU15" s="829"/>
      <c r="CV15" s="829"/>
      <c r="CW15" s="829"/>
      <c r="CX15" s="829"/>
      <c r="CY15" s="829"/>
      <c r="CZ15" s="829"/>
      <c r="DA15" s="829"/>
      <c r="DB15" s="829"/>
      <c r="DC15" s="829"/>
      <c r="DD15" s="829"/>
      <c r="DE15" s="829"/>
      <c r="DF15" s="829"/>
      <c r="DG15" s="829"/>
      <c r="DH15" s="829"/>
      <c r="DI15" s="829"/>
      <c r="DJ15" s="829"/>
      <c r="DK15" s="829"/>
      <c r="DL15" s="829"/>
      <c r="DM15" s="829"/>
      <c r="DN15" s="829"/>
      <c r="DO15" s="829"/>
      <c r="DP15" s="829"/>
      <c r="DQ15" s="829"/>
      <c r="DR15" s="829"/>
      <c r="DS15" s="829"/>
      <c r="DT15" s="829"/>
      <c r="DU15" s="829"/>
      <c r="DV15" s="829"/>
      <c r="DW15" s="829"/>
      <c r="DX15" s="829"/>
      <c r="DY15" s="829"/>
      <c r="DZ15" s="829"/>
      <c r="EA15" s="829"/>
      <c r="EB15" s="829"/>
      <c r="EC15" s="829"/>
      <c r="ED15" s="829"/>
      <c r="EE15" s="829"/>
      <c r="EF15" s="829"/>
      <c r="EG15" s="829"/>
      <c r="EH15" s="829"/>
      <c r="EI15" s="829"/>
      <c r="EJ15" s="829"/>
      <c r="EK15" s="829"/>
      <c r="EL15" s="829"/>
      <c r="EM15" s="829"/>
      <c r="EN15" s="829"/>
      <c r="EO15" s="829"/>
      <c r="EP15" s="829"/>
      <c r="EQ15" s="829"/>
      <c r="ER15" s="829"/>
      <c r="ES15" s="829"/>
      <c r="ET15" s="829"/>
      <c r="EU15" s="829"/>
      <c r="EV15" s="829"/>
      <c r="EW15" s="829"/>
      <c r="EX15" s="829"/>
      <c r="EY15" s="829"/>
      <c r="EZ15" s="829"/>
      <c r="FA15" s="829"/>
      <c r="FB15" s="829"/>
      <c r="FC15" s="829"/>
      <c r="FD15" s="829"/>
      <c r="FE15" s="829"/>
      <c r="FF15" s="829"/>
      <c r="FG15" s="829"/>
      <c r="FH15" s="829"/>
      <c r="FI15" s="829"/>
      <c r="FJ15" s="829"/>
      <c r="FK15" s="829"/>
      <c r="FL15" s="829"/>
      <c r="FM15" s="829"/>
      <c r="FN15" s="829"/>
      <c r="FO15" s="829"/>
      <c r="FP15" s="829"/>
      <c r="FQ15" s="829"/>
      <c r="FR15" s="829"/>
      <c r="FS15" s="829"/>
      <c r="FT15" s="829"/>
      <c r="FU15" s="829"/>
      <c r="FV15" s="829"/>
      <c r="FW15" s="829"/>
      <c r="FX15" s="829"/>
      <c r="FY15" s="829"/>
      <c r="FZ15" s="829"/>
      <c r="GA15" s="829"/>
      <c r="GB15" s="829"/>
      <c r="GC15" s="829"/>
      <c r="GD15" s="829"/>
      <c r="GE15" s="829"/>
      <c r="GF15" s="829"/>
      <c r="GG15" s="829"/>
      <c r="GH15" s="829"/>
      <c r="GI15" s="829"/>
      <c r="GJ15" s="829"/>
      <c r="GK15" s="829"/>
      <c r="GL15" s="829"/>
      <c r="GM15" s="829"/>
      <c r="GN15" s="829"/>
      <c r="GO15" s="829"/>
      <c r="GP15" s="829"/>
      <c r="GQ15" s="829"/>
      <c r="GR15" s="829"/>
      <c r="GS15" s="829"/>
      <c r="GT15" s="829"/>
      <c r="GU15" s="829"/>
      <c r="GV15" s="829"/>
      <c r="GW15" s="829"/>
      <c r="GX15" s="829"/>
      <c r="GY15" s="829"/>
      <c r="GZ15" s="829"/>
      <c r="HA15" s="829"/>
      <c r="HB15" s="829"/>
      <c r="HC15" s="829"/>
      <c r="HD15" s="829"/>
      <c r="HE15" s="829"/>
      <c r="HF15" s="829"/>
      <c r="HG15" s="829"/>
      <c r="HH15" s="829"/>
      <c r="HI15" s="829"/>
      <c r="HJ15" s="829"/>
      <c r="HK15" s="829"/>
      <c r="HL15" s="829"/>
      <c r="HM15" s="829"/>
      <c r="HN15" s="829"/>
      <c r="HO15" s="829"/>
      <c r="HP15" s="829"/>
      <c r="HQ15" s="829"/>
      <c r="HR15" s="829"/>
      <c r="HS15" s="829"/>
      <c r="HT15" s="829"/>
      <c r="HU15" s="829"/>
      <c r="HV15" s="829"/>
      <c r="HW15" s="829"/>
      <c r="HX15" s="829"/>
      <c r="HY15" s="829"/>
      <c r="HZ15" s="829"/>
      <c r="IA15" s="829"/>
      <c r="IB15" s="829"/>
      <c r="IC15" s="829"/>
      <c r="ID15" s="829"/>
      <c r="IE15" s="829"/>
      <c r="IF15" s="829"/>
      <c r="IG15" s="829"/>
      <c r="IH15" s="829"/>
      <c r="II15" s="829"/>
      <c r="IJ15" s="829"/>
      <c r="IK15" s="829"/>
      <c r="IL15" s="829"/>
      <c r="IM15" s="829"/>
      <c r="IN15" s="829"/>
      <c r="IO15" s="829"/>
      <c r="IP15" s="829"/>
      <c r="IQ15" s="829"/>
      <c r="IR15" s="829"/>
      <c r="IS15" s="829"/>
      <c r="IT15" s="829"/>
      <c r="IU15" s="829"/>
      <c r="IV15" s="829"/>
      <c r="IW15" s="829"/>
    </row>
    <row r="16" customFormat="false" ht="30.75" hidden="false" customHeight="true" outlineLevel="0" collapsed="false">
      <c r="A16" s="764" t="inlineStr">
        <is>
          <t xml:space="preserve">비고</t>
        </is>
      </c>
      <c r="B16" s="820"/>
      <c r="C16" s="820"/>
    </row>
  </sheetData>
  <mergeCells count="6">
    <mergeCell ref="A1:C1"/>
    <mergeCell ref="A4:C4"/>
    <mergeCell ref="A8:C8"/>
    <mergeCell ref="A10:C10"/>
    <mergeCell ref="A12:C12"/>
    <mergeCell ref="B16:C16"/>
  </mergeCells>
  <dataValidations count="1">
    <dataValidation allowBlank="true" errorStyle="stop" operator="between" showDropDown="false" showErrorMessage="true" showInputMessage="false" sqref="C3 C5:C7 C9 C11 C13:C15" type="list">
      <formula1>$G$5:$G$7</formula1>
      <formula2>0</formula2>
    </dataValidation>
  </dataValidations>
  <printOptions headings="false" gridLines="false" gridLinesSet="true" horizontalCentered="false" verticalCentered="false"/>
  <pageMargins left="0.38" right="0.17" top="0.27" bottom="0.2" header="0.2362204724409449" footer="0.2"/>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7" activeCellId="0" sqref="G17"/>
    </sheetView>
  </sheetViews>
  <sheetFormatPr defaultColWidth="8.88671875" defaultRowHeight="13.5" customHeight="false" zeroHeight="false" outlineLevelRow="0" outlineLevelCol="0"/>
  <cols>
    <col collapsed="false" customWidth="true" hidden="false" outlineLevel="0" max="1" min="1" style="830" width="12.44"/>
    <col collapsed="false" customWidth="false" hidden="false" outlineLevel="0" max="7" min="2" style="830" width="8.88"/>
    <col collapsed="false" customWidth="true" hidden="false" outlineLevel="0" max="8" min="8" style="830" width="14.33"/>
    <col collapsed="false" customWidth="false" hidden="false" outlineLevel="0" max="257" min="9" style="830" width="8.88"/>
  </cols>
  <sheetData>
    <row r="1" customFormat="false" ht="18" hidden="false" customHeight="true" outlineLevel="0" collapsed="false">
      <c r="A1" s="831" t="inlineStr">
        <is>
          <t xml:space="preserve">                      (4면)</t>
        </is>
      </c>
      <c r="B1" s="831"/>
      <c r="C1" s="831"/>
      <c r="D1" s="831"/>
      <c r="E1" s="831"/>
      <c r="F1" s="831"/>
      <c r="G1" s="831"/>
      <c r="H1" s="831"/>
      <c r="I1" s="766"/>
      <c r="J1" s="766"/>
      <c r="K1" s="766"/>
      <c r="L1" s="766"/>
      <c r="M1" s="766"/>
      <c r="N1" s="766"/>
      <c r="O1" s="766"/>
      <c r="P1" s="766"/>
      <c r="Q1" s="766"/>
      <c r="R1" s="766"/>
      <c r="S1" s="766"/>
      <c r="T1" s="766"/>
      <c r="U1" s="766"/>
      <c r="V1" s="766"/>
      <c r="W1" s="766"/>
      <c r="X1" s="766"/>
      <c r="Y1" s="766"/>
      <c r="Z1" s="766"/>
      <c r="AA1" s="766"/>
      <c r="AB1" s="766"/>
      <c r="AC1" s="766"/>
      <c r="AD1" s="766"/>
      <c r="AE1" s="766"/>
      <c r="AF1" s="766"/>
      <c r="AG1" s="766"/>
      <c r="AH1" s="766"/>
      <c r="AI1" s="766"/>
      <c r="AJ1" s="766"/>
      <c r="AK1" s="766"/>
      <c r="AL1" s="766"/>
      <c r="AM1" s="766"/>
      <c r="AN1" s="766"/>
      <c r="AO1" s="766"/>
      <c r="AP1" s="766"/>
      <c r="AQ1" s="766"/>
      <c r="AR1" s="766"/>
      <c r="AS1" s="766"/>
      <c r="AT1" s="766"/>
      <c r="AU1" s="766"/>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766"/>
      <c r="CG1" s="766"/>
      <c r="CH1" s="766"/>
      <c r="CI1" s="766"/>
      <c r="CJ1" s="766"/>
      <c r="CK1" s="766"/>
      <c r="CL1" s="766"/>
      <c r="CM1" s="766"/>
      <c r="CN1" s="766"/>
      <c r="CO1" s="766"/>
      <c r="CP1" s="766"/>
      <c r="CQ1" s="766"/>
      <c r="CR1" s="766"/>
      <c r="CS1" s="766"/>
      <c r="CT1" s="766"/>
      <c r="CU1" s="766"/>
      <c r="CV1" s="766"/>
      <c r="CW1" s="766"/>
      <c r="CX1" s="766"/>
      <c r="CY1" s="766"/>
      <c r="CZ1" s="766"/>
      <c r="DA1" s="766"/>
      <c r="DB1" s="766"/>
      <c r="DC1" s="766"/>
      <c r="DD1" s="766"/>
      <c r="DE1" s="766"/>
      <c r="DF1" s="766"/>
      <c r="DG1" s="766"/>
      <c r="DH1" s="766"/>
      <c r="DI1" s="766"/>
      <c r="DJ1" s="766"/>
      <c r="DK1" s="766"/>
      <c r="DL1" s="766"/>
      <c r="DM1" s="766"/>
      <c r="DN1" s="766"/>
      <c r="DO1" s="766"/>
      <c r="DP1" s="766"/>
      <c r="DQ1" s="766"/>
      <c r="DR1" s="766"/>
      <c r="DS1" s="766"/>
      <c r="DT1" s="766"/>
      <c r="DU1" s="766"/>
      <c r="DV1" s="766"/>
      <c r="DW1" s="766"/>
      <c r="DX1" s="766"/>
      <c r="DY1" s="766"/>
      <c r="DZ1" s="766"/>
      <c r="EA1" s="766"/>
      <c r="EB1" s="766"/>
      <c r="EC1" s="766"/>
      <c r="ED1" s="766"/>
      <c r="EE1" s="766"/>
      <c r="EF1" s="766"/>
      <c r="EG1" s="766"/>
      <c r="EH1" s="766"/>
      <c r="EI1" s="766"/>
      <c r="EJ1" s="766"/>
      <c r="EK1" s="766"/>
      <c r="EL1" s="766"/>
      <c r="EM1" s="766"/>
      <c r="EN1" s="766"/>
      <c r="EO1" s="766"/>
      <c r="EP1" s="766"/>
      <c r="EQ1" s="766"/>
      <c r="ER1" s="766"/>
      <c r="ES1" s="766"/>
      <c r="ET1" s="766"/>
      <c r="EU1" s="766"/>
      <c r="EV1" s="766"/>
      <c r="EW1" s="766"/>
      <c r="EX1" s="766"/>
      <c r="EY1" s="766"/>
      <c r="EZ1" s="766"/>
      <c r="FA1" s="766"/>
      <c r="FB1" s="766"/>
      <c r="FC1" s="766"/>
      <c r="FD1" s="766"/>
      <c r="FE1" s="766"/>
      <c r="FF1" s="766"/>
      <c r="FG1" s="766"/>
      <c r="FH1" s="766"/>
      <c r="FI1" s="766"/>
      <c r="FJ1" s="766"/>
      <c r="FK1" s="766"/>
      <c r="FL1" s="766"/>
      <c r="FM1" s="766"/>
      <c r="FN1" s="766"/>
      <c r="FO1" s="766"/>
      <c r="FP1" s="766"/>
      <c r="FQ1" s="766"/>
      <c r="FR1" s="766"/>
      <c r="FS1" s="766"/>
      <c r="FT1" s="766"/>
      <c r="FU1" s="766"/>
      <c r="FV1" s="766"/>
      <c r="FW1" s="766"/>
      <c r="FX1" s="766"/>
      <c r="FY1" s="766"/>
      <c r="FZ1" s="766"/>
      <c r="GA1" s="766"/>
      <c r="GB1" s="766"/>
      <c r="GC1" s="766"/>
      <c r="GD1" s="766"/>
      <c r="GE1" s="766"/>
      <c r="GF1" s="766"/>
      <c r="GG1" s="766"/>
      <c r="GH1" s="766"/>
      <c r="GI1" s="766"/>
      <c r="GJ1" s="766"/>
      <c r="GK1" s="766"/>
      <c r="GL1" s="766"/>
      <c r="GM1" s="766"/>
      <c r="GN1" s="766"/>
      <c r="GO1" s="766"/>
      <c r="GP1" s="766"/>
      <c r="GQ1" s="766"/>
      <c r="GR1" s="766"/>
      <c r="GS1" s="766"/>
      <c r="GT1" s="766"/>
      <c r="GU1" s="766"/>
      <c r="GV1" s="766"/>
      <c r="GW1" s="766"/>
      <c r="GX1" s="766"/>
      <c r="GY1" s="766"/>
      <c r="GZ1" s="766"/>
      <c r="HA1" s="766"/>
      <c r="HB1" s="766"/>
      <c r="HC1" s="766"/>
      <c r="HD1" s="766"/>
      <c r="HE1" s="766"/>
      <c r="HF1" s="766"/>
      <c r="HG1" s="766"/>
      <c r="HH1" s="766"/>
      <c r="HI1" s="766"/>
      <c r="HJ1" s="766"/>
      <c r="HK1" s="766"/>
      <c r="HL1" s="766"/>
      <c r="HM1" s="766"/>
      <c r="HN1" s="766"/>
      <c r="HO1" s="766"/>
      <c r="HP1" s="766"/>
      <c r="HQ1" s="766"/>
      <c r="HR1" s="766"/>
      <c r="HS1" s="766"/>
      <c r="HT1" s="766"/>
      <c r="HU1" s="766"/>
      <c r="HV1" s="766"/>
      <c r="HW1" s="766"/>
      <c r="HX1" s="766"/>
      <c r="HY1" s="766"/>
      <c r="HZ1" s="766"/>
      <c r="IA1" s="766"/>
      <c r="IB1" s="766"/>
      <c r="IC1" s="766"/>
      <c r="ID1" s="766"/>
      <c r="IE1" s="766"/>
      <c r="IF1" s="766"/>
      <c r="IG1" s="766"/>
      <c r="IH1" s="766"/>
      <c r="II1" s="766"/>
      <c r="IJ1" s="766"/>
      <c r="IK1" s="766"/>
      <c r="IL1" s="766"/>
      <c r="IM1" s="766"/>
      <c r="IN1" s="766"/>
      <c r="IO1" s="766"/>
      <c r="IP1" s="766"/>
      <c r="IQ1" s="766"/>
      <c r="IR1" s="766"/>
      <c r="IS1" s="766"/>
      <c r="IT1" s="766"/>
      <c r="IU1" s="766"/>
      <c r="IV1" s="766"/>
      <c r="IW1" s="766"/>
    </row>
    <row r="2" customFormat="false" ht="26.25" hidden="false" customHeight="true" outlineLevel="0" collapsed="false">
      <c r="A2" s="832" t="inlineStr">
        <is>
          <t xml:space="preserve">※ 약제저장량 점검리스트</t>
        </is>
      </c>
    </row>
    <row r="3" customFormat="false" ht="13.5" hidden="false" customHeight="false" outlineLevel="0" collapsed="false">
      <c r="H3" s="833"/>
    </row>
    <row r="4" customFormat="false" ht="43.5" hidden="false" customHeight="true" outlineLevel="0" collapsed="false">
      <c r="A4" s="834" t="inlineStr">
        <is>
          <t xml:space="preserve">설치위치</t>
        </is>
      </c>
      <c r="B4" s="835" t="inlineStr">
        <is>
          <t xml:space="preserve">용기 No.</t>
        </is>
      </c>
      <c r="C4" s="835" t="inlineStr">
        <is>
          <t xml:space="preserve">실내
온도(℃)</t>
        </is>
      </c>
      <c r="D4" s="835" t="inlineStr">
        <is>
          <t xml:space="preserve">약제높이
(cm)</t>
        </is>
      </c>
      <c r="E4" s="835" t="inlineStr">
        <is>
          <t xml:space="preserve">충전량
(kg)</t>
        </is>
      </c>
      <c r="F4" s="835" t="inlineStr">
        <is>
          <t xml:space="preserve">손실량
(kg)</t>
        </is>
      </c>
      <c r="G4" s="835" t="inlineStr">
        <is>
          <t xml:space="preserve">점검
결과 </t>
        </is>
      </c>
      <c r="H4" s="836" t="inlineStr">
        <is>
          <t xml:space="preserve">비고</t>
        </is>
      </c>
    </row>
    <row r="5" customFormat="false" ht="25.5" hidden="false" customHeight="true" outlineLevel="0" collapsed="false">
      <c r="A5" s="837"/>
      <c r="B5" s="838"/>
      <c r="C5" s="838"/>
      <c r="D5" s="838"/>
      <c r="E5" s="838"/>
      <c r="F5" s="838"/>
      <c r="G5" s="838"/>
      <c r="H5" s="839" t="inlineStr">
        <is>
          <t xml:space="preserve">※ 약제량 손실 5% 초과 시 불량으로 판정합니다.</t>
        </is>
      </c>
    </row>
    <row r="6" customFormat="false" ht="25.5" hidden="false" customHeight="true" outlineLevel="0" collapsed="false">
      <c r="A6" s="837"/>
      <c r="B6" s="838"/>
      <c r="C6" s="838"/>
      <c r="D6" s="838"/>
      <c r="E6" s="838"/>
      <c r="F6" s="838"/>
      <c r="G6" s="838"/>
      <c r="H6" s="839"/>
    </row>
    <row r="7" customFormat="false" ht="25.5" hidden="false" customHeight="true" outlineLevel="0" collapsed="false">
      <c r="A7" s="837"/>
      <c r="B7" s="838"/>
      <c r="C7" s="838"/>
      <c r="D7" s="838"/>
      <c r="E7" s="838"/>
      <c r="F7" s="838"/>
      <c r="G7" s="838"/>
      <c r="H7" s="839"/>
    </row>
    <row r="8" customFormat="false" ht="25.5" hidden="false" customHeight="true" outlineLevel="0" collapsed="false">
      <c r="A8" s="837"/>
      <c r="B8" s="838"/>
      <c r="C8" s="838"/>
      <c r="D8" s="838"/>
      <c r="E8" s="838"/>
      <c r="F8" s="838"/>
      <c r="G8" s="838"/>
      <c r="H8" s="839"/>
    </row>
    <row r="9" customFormat="false" ht="25.5" hidden="false" customHeight="true" outlineLevel="0" collapsed="false">
      <c r="A9" s="837"/>
      <c r="B9" s="838"/>
      <c r="C9" s="838"/>
      <c r="D9" s="838"/>
      <c r="E9" s="838"/>
      <c r="F9" s="838"/>
      <c r="G9" s="838"/>
      <c r="H9" s="839"/>
    </row>
    <row r="10" customFormat="false" ht="25.5" hidden="false" customHeight="true" outlineLevel="0" collapsed="false">
      <c r="A10" s="837"/>
      <c r="B10" s="838"/>
      <c r="C10" s="838"/>
      <c r="D10" s="838"/>
      <c r="E10" s="838"/>
      <c r="F10" s="838"/>
      <c r="G10" s="838"/>
      <c r="H10" s="839"/>
    </row>
    <row r="11" customFormat="false" ht="25.5" hidden="false" customHeight="true" outlineLevel="0" collapsed="false">
      <c r="A11" s="837"/>
      <c r="B11" s="838"/>
      <c r="C11" s="838"/>
      <c r="D11" s="838"/>
      <c r="E11" s="838"/>
      <c r="F11" s="838"/>
      <c r="G11" s="838"/>
      <c r="H11" s="839"/>
    </row>
    <row r="12" customFormat="false" ht="25.5" hidden="false" customHeight="true" outlineLevel="0" collapsed="false">
      <c r="A12" s="837"/>
      <c r="B12" s="838"/>
      <c r="C12" s="838"/>
      <c r="D12" s="838"/>
      <c r="E12" s="838"/>
      <c r="F12" s="838"/>
      <c r="G12" s="838"/>
      <c r="H12" s="839"/>
    </row>
    <row r="13" customFormat="false" ht="25.5" hidden="false" customHeight="true" outlineLevel="0" collapsed="false">
      <c r="A13" s="837"/>
      <c r="B13" s="838"/>
      <c r="C13" s="838"/>
      <c r="D13" s="838"/>
      <c r="E13" s="838"/>
      <c r="F13" s="838"/>
      <c r="G13" s="838"/>
      <c r="H13" s="839"/>
    </row>
    <row r="14" customFormat="false" ht="25.5" hidden="false" customHeight="true" outlineLevel="0" collapsed="false">
      <c r="A14" s="837"/>
      <c r="B14" s="838"/>
      <c r="C14" s="838"/>
      <c r="D14" s="838"/>
      <c r="E14" s="838"/>
      <c r="F14" s="838"/>
      <c r="G14" s="838"/>
      <c r="H14" s="839"/>
    </row>
    <row r="15" customFormat="false" ht="25.5" hidden="false" customHeight="true" outlineLevel="0" collapsed="false">
      <c r="A15" s="837"/>
      <c r="B15" s="838"/>
      <c r="C15" s="838"/>
      <c r="D15" s="838"/>
      <c r="E15" s="838"/>
      <c r="F15" s="838"/>
      <c r="G15" s="838"/>
      <c r="H15" s="839"/>
    </row>
    <row r="16" customFormat="false" ht="25.5" hidden="false" customHeight="true" outlineLevel="0" collapsed="false">
      <c r="A16" s="837"/>
      <c r="B16" s="838"/>
      <c r="C16" s="838"/>
      <c r="D16" s="838"/>
      <c r="E16" s="838"/>
      <c r="F16" s="838"/>
      <c r="G16" s="838"/>
      <c r="H16" s="839"/>
    </row>
    <row r="17" customFormat="false" ht="25.5" hidden="false" customHeight="true" outlineLevel="0" collapsed="false">
      <c r="A17" s="837"/>
      <c r="B17" s="838"/>
      <c r="C17" s="838"/>
      <c r="D17" s="838"/>
      <c r="E17" s="838"/>
      <c r="F17" s="838"/>
      <c r="G17" s="838"/>
      <c r="H17" s="839"/>
    </row>
    <row r="18" customFormat="false" ht="25.5" hidden="false" customHeight="true" outlineLevel="0" collapsed="false">
      <c r="A18" s="837"/>
      <c r="B18" s="838"/>
      <c r="C18" s="838"/>
      <c r="D18" s="838"/>
      <c r="E18" s="838"/>
      <c r="F18" s="838"/>
      <c r="G18" s="838"/>
      <c r="H18" s="839"/>
    </row>
    <row r="19" customFormat="false" ht="25.5" hidden="false" customHeight="true" outlineLevel="0" collapsed="false">
      <c r="A19" s="837"/>
      <c r="B19" s="838"/>
      <c r="C19" s="838"/>
      <c r="D19" s="838"/>
      <c r="E19" s="838"/>
      <c r="F19" s="838"/>
      <c r="G19" s="838"/>
      <c r="H19" s="839"/>
    </row>
    <row r="20" customFormat="false" ht="25.5" hidden="false" customHeight="true" outlineLevel="0" collapsed="false">
      <c r="A20" s="837"/>
      <c r="B20" s="838"/>
      <c r="C20" s="838"/>
      <c r="D20" s="838"/>
      <c r="E20" s="838"/>
      <c r="F20" s="838"/>
      <c r="G20" s="838"/>
      <c r="H20" s="839"/>
    </row>
    <row r="21" customFormat="false" ht="25.5" hidden="false" customHeight="true" outlineLevel="0" collapsed="false">
      <c r="A21" s="837"/>
      <c r="B21" s="838"/>
      <c r="C21" s="838"/>
      <c r="D21" s="838"/>
      <c r="E21" s="838"/>
      <c r="F21" s="838"/>
      <c r="G21" s="838"/>
      <c r="H21" s="839"/>
    </row>
    <row r="22" customFormat="false" ht="25.5" hidden="false" customHeight="true" outlineLevel="0" collapsed="false">
      <c r="A22" s="837"/>
      <c r="B22" s="838"/>
      <c r="C22" s="838"/>
      <c r="D22" s="838"/>
      <c r="E22" s="838"/>
      <c r="F22" s="838"/>
      <c r="G22" s="838"/>
      <c r="H22" s="839"/>
    </row>
    <row r="23" customFormat="false" ht="25.5" hidden="false" customHeight="true" outlineLevel="0" collapsed="false">
      <c r="A23" s="837"/>
      <c r="B23" s="838"/>
      <c r="C23" s="838"/>
      <c r="D23" s="838"/>
      <c r="E23" s="838"/>
      <c r="F23" s="838"/>
      <c r="G23" s="838"/>
      <c r="H23" s="839"/>
    </row>
    <row r="24" customFormat="false" ht="25.5" hidden="false" customHeight="true" outlineLevel="0" collapsed="false">
      <c r="A24" s="837"/>
      <c r="B24" s="838"/>
      <c r="C24" s="838"/>
      <c r="D24" s="838"/>
      <c r="E24" s="838"/>
      <c r="F24" s="838"/>
      <c r="G24" s="838"/>
      <c r="H24" s="839"/>
    </row>
    <row r="25" customFormat="false" ht="25.5" hidden="false" customHeight="true" outlineLevel="0" collapsed="false">
      <c r="A25" s="837"/>
      <c r="B25" s="838"/>
      <c r="C25" s="838"/>
      <c r="D25" s="838"/>
      <c r="E25" s="838"/>
      <c r="F25" s="838"/>
      <c r="G25" s="838"/>
      <c r="H25" s="839"/>
    </row>
    <row r="26" customFormat="false" ht="25.5" hidden="false" customHeight="true" outlineLevel="0" collapsed="false">
      <c r="A26" s="837"/>
      <c r="B26" s="838"/>
      <c r="C26" s="838"/>
      <c r="D26" s="838"/>
      <c r="E26" s="838"/>
      <c r="F26" s="838"/>
      <c r="G26" s="838"/>
      <c r="H26" s="839"/>
    </row>
    <row r="27" customFormat="false" ht="25.5" hidden="false" customHeight="true" outlineLevel="0" collapsed="false">
      <c r="A27" s="837"/>
      <c r="B27" s="838"/>
      <c r="C27" s="838"/>
      <c r="D27" s="838"/>
      <c r="E27" s="838"/>
      <c r="F27" s="838"/>
      <c r="G27" s="838"/>
      <c r="H27" s="839"/>
    </row>
    <row r="28" customFormat="false" ht="25.5" hidden="false" customHeight="true" outlineLevel="0" collapsed="false">
      <c r="A28" s="840"/>
      <c r="B28" s="841"/>
      <c r="C28" s="841"/>
      <c r="D28" s="841"/>
      <c r="E28" s="841"/>
      <c r="F28" s="841"/>
      <c r="G28" s="841"/>
      <c r="H28" s="839"/>
    </row>
  </sheetData>
  <mergeCells count="2">
    <mergeCell ref="A1:H1"/>
    <mergeCell ref="H5:H28"/>
  </mergeCells>
  <printOptions headings="false" gridLines="false" gridLinesSet="true" horizontalCentered="false" verticalCentered="false"/>
  <pageMargins left="0.3937007874015748" right="0.1968503937007874" top="0.5118110236220472" bottom="0.4724409448818898" header="0.31496062992125984" footer="0.31496062992125984"/>
  <pageSetup paperSize="9" scale="10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7" activeCellId="0" sqref="G7:G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11. 할로겐화합물 및 불활성기체소화설비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11-A. 저장용기</t>
        </is>
      </c>
      <c r="B3" s="759"/>
      <c r="C3" s="759"/>
    </row>
    <row r="4" customFormat="false" ht="21" hidden="false" customHeight="true" outlineLevel="0" collapsed="false">
      <c r="A4" s="795" t="inlineStr">
        <is>
          <t xml:space="preserve">11-A-001</t>
        </is>
      </c>
      <c r="B4" s="796" t="inlineStr">
        <is>
          <t xml:space="preserve">● 설치장소 적정 및 관리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 hidden="false" customHeight="true" outlineLevel="0" collapsed="false">
      <c r="A5" s="798" t="inlineStr">
        <is>
          <t xml:space="preserve">11-A-002</t>
        </is>
      </c>
      <c r="B5" s="746" t="inlineStr">
        <is>
          <t xml:space="preserve">○ 저장용기 설치장소 표지 설치 여부</t>
        </is>
      </c>
      <c r="C5" s="737"/>
    </row>
    <row r="6" customFormat="false" ht="21" hidden="false" customHeight="true" outlineLevel="0" collapsed="false">
      <c r="A6" s="798" t="inlineStr">
        <is>
          <t xml:space="preserve">11-A-003</t>
        </is>
      </c>
      <c r="B6" s="746" t="inlineStr">
        <is>
          <t xml:space="preserve">● 저장용기 설치 간격 적정 여부</t>
        </is>
      </c>
      <c r="C6" s="734"/>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 hidden="false" customHeight="true" outlineLevel="0" collapsed="false">
      <c r="A7" s="798" t="inlineStr">
        <is>
          <t xml:space="preserve">11-A-004</t>
        </is>
      </c>
      <c r="B7" s="746" t="inlineStr">
        <is>
          <t xml:space="preserve">○ 저장용기 개방밸브 자동·수동 개방 및 안전장치 부착 여부</t>
        </is>
      </c>
      <c r="C7" s="737"/>
      <c r="G7" s="727" t="inlineStr">
        <is>
          <t xml:space="preserve">○</t>
        </is>
      </c>
    </row>
    <row r="8" customFormat="false" ht="21" hidden="false" customHeight="true" outlineLevel="0" collapsed="false">
      <c r="A8" s="799" t="inlineStr">
        <is>
          <t xml:space="preserve">11-A-005</t>
        </is>
      </c>
      <c r="B8" s="800" t="inlineStr">
        <is>
          <t xml:space="preserve">● 저장용기와 집합관 연결배관 상 체크밸브 설치 여부</t>
        </is>
      </c>
      <c r="C8" s="734"/>
      <c r="D8" s="728"/>
      <c r="E8" s="728"/>
      <c r="F8" s="728"/>
      <c r="G8" s="727" t="inlineStr">
        <is>
          <t xml:space="preserve">/</t>
        </is>
      </c>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4" hidden="false" customHeight="true" outlineLevel="0" collapsed="false">
      <c r="A9" s="842" t="inlineStr">
        <is>
          <t xml:space="preserve"> 11-B. 소화약제</t>
        </is>
      </c>
      <c r="B9" s="842"/>
      <c r="C9" s="842"/>
      <c r="G9" s="727" t="inlineStr">
        <is>
          <t xml:space="preserve">×</t>
        </is>
      </c>
    </row>
    <row r="10" customFormat="false" ht="21" hidden="false" customHeight="true" outlineLevel="0" collapsed="false">
      <c r="A10" s="760" t="inlineStr">
        <is>
          <t xml:space="preserve">11-B-001</t>
        </is>
      </c>
      <c r="B10" s="761" t="inlineStr">
        <is>
          <t xml:space="preserve">○ 소화약제 저장량 적정 여부</t>
        </is>
      </c>
      <c r="C10" s="734"/>
    </row>
    <row r="11" customFormat="false" ht="24" hidden="false" customHeight="true" outlineLevel="0" collapsed="false">
      <c r="A11" s="842" t="inlineStr">
        <is>
          <t xml:space="preserve"> 11-C. 기동장치</t>
        </is>
      </c>
      <c r="B11" s="842"/>
      <c r="C11" s="842"/>
    </row>
    <row r="12" customFormat="false" ht="21" hidden="false" customHeight="true" outlineLevel="0" collapsed="false">
      <c r="A12" s="760" t="inlineStr">
        <is>
          <t xml:space="preserve">11-C-001</t>
        </is>
      </c>
      <c r="B12" s="761" t="inlineStr">
        <is>
          <t xml:space="preserve">○ 방호구역별 출입구 부근 소화약제 방출표시등 설치 및 정상 작동 여부</t>
        </is>
      </c>
      <c r="C12" s="734"/>
    </row>
    <row r="13" customFormat="false" ht="21" hidden="false" customHeight="true" outlineLevel="0" collapsed="false">
      <c r="A13" s="795" t="inlineStr">
        <is>
          <t xml:space="preserve">  </t>
        </is>
      </c>
      <c r="B13" s="817" t="inlineStr">
        <is>
          <t xml:space="preserve"> [수동식 기동장치]</t>
        </is>
      </c>
      <c r="C13" s="734"/>
    </row>
    <row r="14" customFormat="false" ht="21" hidden="false" customHeight="true" outlineLevel="0" collapsed="false">
      <c r="A14" s="798" t="inlineStr">
        <is>
          <t xml:space="preserve">11-C-011</t>
        </is>
      </c>
      <c r="B14" s="746" t="inlineStr">
        <is>
          <t xml:space="preserve">○ 기동장치 부근에 비상스위치 설치 여부</t>
        </is>
      </c>
      <c r="C14" s="734"/>
    </row>
    <row r="15" customFormat="false" ht="21" hidden="false" customHeight="true" outlineLevel="0" collapsed="false">
      <c r="A15" s="798" t="inlineStr">
        <is>
          <t xml:space="preserve">11-C-012</t>
        </is>
      </c>
      <c r="B15" s="746" t="inlineStr">
        <is>
          <t xml:space="preserve">● 방호구역별 또는 방호대상별 기동장치 설치 여부</t>
        </is>
      </c>
      <c r="C15" s="734"/>
    </row>
    <row r="16" customFormat="false" ht="21" hidden="false" customHeight="true" outlineLevel="0" collapsed="false">
      <c r="A16" s="798" t="inlineStr">
        <is>
          <t xml:space="preserve">11-C-013</t>
        </is>
      </c>
      <c r="B16" s="746" t="inlineStr">
        <is>
          <t xml:space="preserve">○ 기동장치 설치 적정(출입구 부근 등, 높이, 보호장치, 표지, 전원표시등) 여부</t>
        </is>
      </c>
      <c r="C16" s="734"/>
    </row>
    <row r="17" customFormat="false" ht="21" hidden="false" customHeight="true" outlineLevel="0" collapsed="false">
      <c r="A17" s="799" t="inlineStr">
        <is>
          <t xml:space="preserve">11-C-014</t>
        </is>
      </c>
      <c r="B17" s="800" t="inlineStr">
        <is>
          <t xml:space="preserve">○ 방출용 스위치 음향경보장치 연동 여부</t>
        </is>
      </c>
      <c r="C17" s="734"/>
    </row>
    <row r="18" customFormat="false" ht="21" hidden="false" customHeight="true" outlineLevel="0" collapsed="false">
      <c r="A18" s="795" t="inlineStr">
        <is>
          <t xml:space="preserve">  </t>
        </is>
      </c>
      <c r="B18" s="817" t="inlineStr">
        <is>
          <t xml:space="preserve"> [자동식 기동장치]</t>
        </is>
      </c>
      <c r="C18" s="734"/>
    </row>
    <row r="19" customFormat="false" ht="21" hidden="false" customHeight="true" outlineLevel="0" collapsed="false">
      <c r="A19" s="798" t="inlineStr">
        <is>
          <t xml:space="preserve">11-C-021</t>
        </is>
      </c>
      <c r="B19" s="746" t="inlineStr">
        <is>
          <t xml:space="preserve">○ 감지기 작동과의 연동 및 수동기동 가능 여부</t>
        </is>
      </c>
      <c r="C19" s="734"/>
    </row>
    <row r="20" customFormat="false" ht="21" hidden="false" customHeight="true" outlineLevel="0" collapsed="false">
      <c r="A20" s="798" t="inlineStr">
        <is>
          <t xml:space="preserve">11-C-022</t>
        </is>
      </c>
      <c r="B20" s="746" t="inlineStr">
        <is>
          <t xml:space="preserve">● 저장용기 수량에 따른 전자 개방밸브 수량 적정 여부(전기식 기동장치의 경우)</t>
        </is>
      </c>
      <c r="C20" s="734"/>
    </row>
    <row r="21" customFormat="false" ht="21" hidden="false" customHeight="true" outlineLevel="0" collapsed="false">
      <c r="A21" s="798" t="inlineStr">
        <is>
          <t xml:space="preserve">11-C-023</t>
        </is>
      </c>
      <c r="B21" s="746" t="inlineStr">
        <is>
          <t xml:space="preserve">○ 기동용 가스용기의 용적, 충전압력 적정 여부(가스압력식 기동장치의 경우)</t>
        </is>
      </c>
      <c r="C21" s="734"/>
    </row>
    <row r="22" customFormat="false" ht="21" hidden="false" customHeight="true" outlineLevel="0" collapsed="false">
      <c r="A22" s="798" t="inlineStr">
        <is>
          <t xml:space="preserve">11-C-024</t>
        </is>
      </c>
      <c r="B22" s="746" t="inlineStr">
        <is>
          <t xml:space="preserve">● 기동용 가스용기의 안전장치, 압력게이지 설치 여부(가스압력식 기동장치의 경우)</t>
        </is>
      </c>
      <c r="C22" s="734"/>
    </row>
    <row r="23" customFormat="false" ht="21" hidden="false" customHeight="true" outlineLevel="0" collapsed="false">
      <c r="A23" s="799" t="inlineStr">
        <is>
          <t xml:space="preserve">11-C-025</t>
        </is>
      </c>
      <c r="B23" s="800" t="inlineStr">
        <is>
          <t xml:space="preserve">● 저장용기 개방구조 적정 여부(기계식 기동장치의 경우)</t>
        </is>
      </c>
      <c r="C23" s="734"/>
    </row>
    <row r="24" customFormat="false" ht="24" hidden="false" customHeight="true" outlineLevel="0" collapsed="false">
      <c r="A24" s="842" t="inlineStr">
        <is>
          <t xml:space="preserve"> 11-D. 제어반 및 화재표시반</t>
        </is>
      </c>
      <c r="B24" s="842"/>
      <c r="C24" s="842"/>
    </row>
    <row r="25" customFormat="false" ht="21" hidden="false" customHeight="true" outlineLevel="0" collapsed="false">
      <c r="A25" s="795" t="inlineStr">
        <is>
          <t xml:space="preserve">11-D-001</t>
        </is>
      </c>
      <c r="B25" s="796" t="inlineStr">
        <is>
          <t xml:space="preserve">○ 설치장소 적정 및 관리 여부</t>
        </is>
      </c>
      <c r="C25" s="734"/>
    </row>
    <row r="26" customFormat="false" ht="21" hidden="false" customHeight="true" outlineLevel="0" collapsed="false">
      <c r="A26" s="799" t="inlineStr">
        <is>
          <t xml:space="preserve">11-D-002</t>
        </is>
      </c>
      <c r="B26" s="800" t="inlineStr">
        <is>
          <t xml:space="preserve">○ 회로도 및 취급설명서 비치 여부</t>
        </is>
      </c>
      <c r="C26" s="734"/>
    </row>
    <row r="27" customFormat="false" ht="21" hidden="false" customHeight="true" outlineLevel="0" collapsed="false">
      <c r="A27" s="795" t="inlineStr">
        <is>
          <t xml:space="preserve">  </t>
        </is>
      </c>
      <c r="B27" s="817" t="inlineStr">
        <is>
          <t xml:space="preserve"> [제어반]</t>
        </is>
      </c>
      <c r="C27" s="734"/>
    </row>
    <row r="28" customFormat="false" ht="21" hidden="false" customHeight="true" outlineLevel="0" collapsed="false">
      <c r="A28" s="798" t="inlineStr">
        <is>
          <t xml:space="preserve">11-D-011</t>
        </is>
      </c>
      <c r="B28" s="746" t="inlineStr">
        <is>
          <t xml:space="preserve">○ 수동기동장치 또는 감지기 신호 수신 시 음향경보장치 작동 기능 정상 여부</t>
        </is>
      </c>
      <c r="C28" s="843"/>
    </row>
    <row r="29" customFormat="false" ht="21" hidden="false" customHeight="true" outlineLevel="0" collapsed="false">
      <c r="A29" s="798" t="inlineStr">
        <is>
          <t xml:space="preserve">11-D-012</t>
        </is>
      </c>
      <c r="B29" s="746" t="inlineStr">
        <is>
          <t xml:space="preserve">○ 소화약제 방출·지연 및 기타 제어 기능 적정 여부</t>
        </is>
      </c>
      <c r="C29" s="734"/>
    </row>
    <row r="30" customFormat="false" ht="21" hidden="false" customHeight="true" outlineLevel="0" collapsed="false">
      <c r="A30" s="799" t="inlineStr">
        <is>
          <t xml:space="preserve">11-D-013</t>
        </is>
      </c>
      <c r="B30" s="800" t="inlineStr">
        <is>
          <t xml:space="preserve">○ 전원표시등 설치 및 정상 점등 여부</t>
        </is>
      </c>
      <c r="C30" s="734"/>
    </row>
    <row r="31" customFormat="false" ht="21" hidden="false" customHeight="true" outlineLevel="0" collapsed="false">
      <c r="A31" s="795" t="inlineStr">
        <is>
          <t xml:space="preserve">  </t>
        </is>
      </c>
      <c r="B31" s="817" t="inlineStr">
        <is>
          <t xml:space="preserve"> [화재표시반]</t>
        </is>
      </c>
      <c r="C31" s="734"/>
    </row>
    <row r="32" customFormat="false" ht="21" hidden="false" customHeight="true" outlineLevel="0" collapsed="false">
      <c r="A32" s="798" t="inlineStr">
        <is>
          <t xml:space="preserve">11-D-021</t>
        </is>
      </c>
      <c r="B32" s="746" t="inlineStr">
        <is>
          <t xml:space="preserve">○ 방호구역별 표시등(음향경보장치 조작, 감지기 작동), 경보기 설치 및 작동 여부</t>
        </is>
      </c>
      <c r="C32" s="734"/>
    </row>
    <row r="33" customFormat="false" ht="21" hidden="false" customHeight="true" outlineLevel="0" collapsed="false">
      <c r="A33" s="798" t="inlineStr">
        <is>
          <t xml:space="preserve">11-D-022</t>
        </is>
      </c>
      <c r="B33" s="746" t="inlineStr">
        <is>
          <t xml:space="preserve">○ 수동식 기동장치 작동표시 표시등 설치 및 정상 작동 여부</t>
        </is>
      </c>
      <c r="C33" s="734"/>
    </row>
    <row r="34" customFormat="false" ht="21" hidden="false" customHeight="true" outlineLevel="0" collapsed="false">
      <c r="A34" s="798" t="inlineStr">
        <is>
          <t xml:space="preserve">11-D-023</t>
        </is>
      </c>
      <c r="B34" s="746" t="inlineStr">
        <is>
          <t xml:space="preserve">○ 소화약제 방출표시등 설치 및 정상 작동 여부</t>
        </is>
      </c>
      <c r="C34" s="734"/>
    </row>
    <row r="35" customFormat="false" ht="21" hidden="false" customHeight="true" outlineLevel="0" collapsed="false">
      <c r="A35" s="799" t="inlineStr">
        <is>
          <t xml:space="preserve">11-D-024</t>
        </is>
      </c>
      <c r="B35" s="800" t="inlineStr">
        <is>
          <t xml:space="preserve">● 자동식기동장치 자동·수동 절환 및 절환표시등 설치 및 정상 작동 여부</t>
        </is>
      </c>
      <c r="C35" s="737"/>
    </row>
    <row r="36" customFormat="false" ht="21" hidden="false" customHeight="true" outlineLevel="0" collapsed="false">
      <c r="A36" s="842" t="inlineStr">
        <is>
          <t xml:space="preserve"> 11-E. 배관 등</t>
        </is>
      </c>
      <c r="B36" s="842"/>
      <c r="C36" s="842"/>
    </row>
    <row r="37" customFormat="false" ht="21" hidden="false" customHeight="true" outlineLevel="0" collapsed="false">
      <c r="A37" s="791" t="inlineStr">
        <is>
          <t xml:space="preserve">11-E-001</t>
        </is>
      </c>
      <c r="B37" s="844" t="inlineStr">
        <is>
          <t xml:space="preserve">○ 배관의 변형·손상 유무</t>
        </is>
      </c>
      <c r="C37" s="754"/>
    </row>
  </sheetData>
  <mergeCells count="6">
    <mergeCell ref="A1:C1"/>
    <mergeCell ref="A3:C3"/>
    <mergeCell ref="A9:C9"/>
    <mergeCell ref="A11:C11"/>
    <mergeCell ref="A24:C24"/>
    <mergeCell ref="A36:C36"/>
  </mergeCells>
  <dataValidations count="1">
    <dataValidation allowBlank="true" errorStyle="stop" operator="between" showDropDown="false" showErrorMessage="true" showInputMessage="false" sqref="C4:C8 C10 C12 C14:C17 C19:C23 C25:C26 C28:C30 C32:C35 C37" type="list">
      <formula1>$G$7:$G$9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7" activeCellId="0" sqref="G7:G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842" t="inlineStr">
        <is>
          <t xml:space="preserve"> 11-F. 선택밸브</t>
        </is>
      </c>
      <c r="B3" s="842"/>
      <c r="C3" s="842"/>
    </row>
    <row r="4" customFormat="false" ht="22.5" hidden="false" customHeight="true" outlineLevel="0" collapsed="false">
      <c r="A4" s="760" t="inlineStr">
        <is>
          <t xml:space="preserve">11-F-001</t>
        </is>
      </c>
      <c r="B4" s="761" t="inlineStr">
        <is>
          <t xml:space="preserve">○ 선택밸브 설치 기준 적합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4" hidden="false" customHeight="true" outlineLevel="0" collapsed="false">
      <c r="A5" s="842" t="inlineStr">
        <is>
          <t xml:space="preserve"> 11-G. 분사헤드</t>
        </is>
      </c>
      <c r="B5" s="842"/>
      <c r="C5" s="842"/>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2.5" hidden="false" customHeight="true" outlineLevel="0" collapsed="false">
      <c r="A6" s="795" t="inlineStr">
        <is>
          <t xml:space="preserve">11-G-001</t>
        </is>
      </c>
      <c r="B6" s="796" t="inlineStr">
        <is>
          <t xml:space="preserve">○ 분사헤드의 변형․손상 유무</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2.5" hidden="false" customHeight="true" outlineLevel="0" collapsed="false">
      <c r="A7" s="799" t="inlineStr">
        <is>
          <t xml:space="preserve">11-G-002</t>
        </is>
      </c>
      <c r="B7" s="800" t="inlineStr">
        <is>
          <t xml:space="preserve">● 분사헤드의 설치높이 적정 여부</t>
        </is>
      </c>
      <c r="C7" s="737"/>
      <c r="D7" s="728"/>
      <c r="E7" s="728"/>
      <c r="F7" s="728"/>
      <c r="G7" s="727" t="inlineStr">
        <is>
          <t xml:space="preserve">○</t>
        </is>
      </c>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 hidden="false" customHeight="true" outlineLevel="0" collapsed="false">
      <c r="A8" s="842" t="inlineStr">
        <is>
          <t xml:space="preserve"> 11-H. 화재감지기</t>
        </is>
      </c>
      <c r="B8" s="842"/>
      <c r="C8" s="842"/>
      <c r="G8" s="727" t="inlineStr">
        <is>
          <t xml:space="preserve">/</t>
        </is>
      </c>
    </row>
    <row r="9" customFormat="false" ht="22.5" hidden="false" customHeight="true" outlineLevel="0" collapsed="false">
      <c r="A9" s="795" t="inlineStr">
        <is>
          <t xml:space="preserve">11-H-001</t>
        </is>
      </c>
      <c r="B9" s="796" t="inlineStr">
        <is>
          <t xml:space="preserve">○ 방호구역별 화재감지기 감지에 의한 기동장치 작동 여부</t>
        </is>
      </c>
      <c r="C9" s="737"/>
      <c r="D9" s="728"/>
      <c r="E9" s="728"/>
      <c r="F9" s="728"/>
      <c r="G9" s="727" t="inlineStr">
        <is>
          <t xml:space="preserve">×</t>
        </is>
      </c>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2.5" hidden="false" customHeight="true" outlineLevel="0" collapsed="false">
      <c r="A10" s="798" t="inlineStr">
        <is>
          <t xml:space="preserve">11-H-002</t>
        </is>
      </c>
      <c r="B10" s="746" t="inlineStr">
        <is>
          <t xml:space="preserve">● 교차회로(또는 NFSC 203 제7조제1항 단서 감지기) 설치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2.5" hidden="false" customHeight="true" outlineLevel="0" collapsed="false">
      <c r="A11" s="799" t="inlineStr">
        <is>
          <t xml:space="preserve">11-H-003</t>
        </is>
      </c>
      <c r="B11" s="800" t="inlineStr">
        <is>
          <t xml:space="preserve">● 화재감지기별 유효 바닥면적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4" hidden="false" customHeight="true" outlineLevel="0" collapsed="false">
      <c r="A12" s="842" t="inlineStr">
        <is>
          <t xml:space="preserve"> 11-I. 음향경보장치</t>
        </is>
      </c>
      <c r="B12" s="842"/>
      <c r="C12" s="842"/>
    </row>
    <row r="13" customFormat="false" ht="22.5" hidden="false" customHeight="true" outlineLevel="0" collapsed="false">
      <c r="A13" s="795" t="inlineStr">
        <is>
          <t xml:space="preserve">11-I-001</t>
        </is>
      </c>
      <c r="B13" s="796" t="inlineStr">
        <is>
          <t xml:space="preserve">○ 기동장치 조작 시(수동식-방출용스위치, 자동식-화재감지기) 경보 여부</t>
        </is>
      </c>
      <c r="C13" s="734"/>
    </row>
    <row r="14" customFormat="false" ht="22.5" hidden="false" customHeight="true" outlineLevel="0" collapsed="false">
      <c r="A14" s="798" t="inlineStr">
        <is>
          <t xml:space="preserve">11-I-002</t>
        </is>
      </c>
      <c r="B14" s="746" t="inlineStr">
        <is>
          <t xml:space="preserve">○ 약제 방사 개시(또는 방출 압력스위치 작동) 후 경보 적정 여부</t>
        </is>
      </c>
      <c r="C14" s="734"/>
    </row>
    <row r="15" customFormat="false" ht="22.5" hidden="false" customHeight="true" outlineLevel="0" collapsed="false">
      <c r="A15" s="799" t="inlineStr">
        <is>
          <t xml:space="preserve">11-I-003</t>
        </is>
      </c>
      <c r="B15" s="800" t="inlineStr">
        <is>
          <t xml:space="preserve">● 방호구역 또는 방호대상물 구획 안에서 유효한 경보 가능 여부</t>
        </is>
      </c>
      <c r="C15" s="737"/>
    </row>
    <row r="16" customFormat="false" ht="21" hidden="false" customHeight="true" outlineLevel="0" collapsed="false">
      <c r="A16" s="795" t="inlineStr">
        <is>
          <t xml:space="preserve">  </t>
        </is>
      </c>
      <c r="B16" s="817" t="inlineStr">
        <is>
          <t xml:space="preserve"> [방송에 따른 경보장치]</t>
        </is>
      </c>
      <c r="C16" s="734"/>
    </row>
    <row r="17" customFormat="false" ht="22.5" hidden="false" customHeight="true" outlineLevel="0" collapsed="false">
      <c r="A17" s="798" t="inlineStr">
        <is>
          <t xml:space="preserve">11-I-011</t>
        </is>
      </c>
      <c r="B17" s="746" t="inlineStr">
        <is>
          <t xml:space="preserve">● 증폭기 재생장치의 설치장소 적정 여부</t>
        </is>
      </c>
      <c r="C17" s="737"/>
    </row>
    <row r="18" customFormat="false" ht="22.5" hidden="false" customHeight="true" outlineLevel="0" collapsed="false">
      <c r="A18" s="798" t="inlineStr">
        <is>
          <t xml:space="preserve">11-I-012</t>
        </is>
      </c>
      <c r="B18" s="746" t="inlineStr">
        <is>
          <t xml:space="preserve">● 방호구역·방호대상물에서 확성기 간 수평거리 적정 여부</t>
        </is>
      </c>
      <c r="C18" s="737"/>
    </row>
    <row r="19" customFormat="false" ht="22.5" hidden="false" customHeight="true" outlineLevel="0" collapsed="false">
      <c r="A19" s="799" t="inlineStr">
        <is>
          <t xml:space="preserve">11-I-013</t>
        </is>
      </c>
      <c r="B19" s="800" t="inlineStr">
        <is>
          <t xml:space="preserve">● 제어반 복구스위치 조작 시 경보 지속 여부</t>
        </is>
      </c>
      <c r="C19" s="737"/>
    </row>
    <row r="20" customFormat="false" ht="24" hidden="false" customHeight="true" outlineLevel="0" collapsed="false">
      <c r="A20" s="842" t="inlineStr">
        <is>
          <t xml:space="preserve"> 11-J. 자동폐쇄장치</t>
        </is>
      </c>
      <c r="B20" s="842"/>
      <c r="C20" s="842"/>
    </row>
    <row r="21" customFormat="false" ht="22.5" hidden="false" customHeight="true" outlineLevel="0" collapsed="false">
      <c r="A21" s="795" t="inlineStr">
        <is>
          <t xml:space="preserve">  </t>
        </is>
      </c>
      <c r="B21" s="817" t="inlineStr">
        <is>
          <t xml:space="preserve"> [화재표시반]</t>
        </is>
      </c>
      <c r="C21" s="737"/>
    </row>
    <row r="22" customFormat="false" ht="22.5" hidden="false" customHeight="true" outlineLevel="0" collapsed="false">
      <c r="A22" s="798" t="inlineStr">
        <is>
          <t xml:space="preserve">11-J-001</t>
        </is>
      </c>
      <c r="B22" s="746" t="inlineStr">
        <is>
          <t xml:space="preserve">○ 환기장치 자동정지 기능 적정 여부</t>
        </is>
      </c>
      <c r="C22" s="737"/>
    </row>
    <row r="23" customFormat="false" ht="22.5" hidden="false" customHeight="true" outlineLevel="0" collapsed="false">
      <c r="A23" s="798" t="inlineStr">
        <is>
          <t xml:space="preserve">11-J-002</t>
        </is>
      </c>
      <c r="B23" s="746" t="inlineStr">
        <is>
          <t xml:space="preserve">○ 개구부 및 통기구 자동폐쇄장치 설치 장소 및 기능 적합 여부</t>
        </is>
      </c>
      <c r="C23" s="737"/>
    </row>
    <row r="24" customFormat="false" ht="22.5" hidden="false" customHeight="true" outlineLevel="0" collapsed="false">
      <c r="A24" s="799" t="inlineStr">
        <is>
          <t xml:space="preserve">11-J-003</t>
        </is>
      </c>
      <c r="B24" s="800" t="inlineStr">
        <is>
          <t xml:space="preserve">● 자동폐쇄장치 복구장치 설치기준 적합 및 위치표지 적합 여부</t>
        </is>
      </c>
      <c r="C24" s="737"/>
    </row>
    <row r="25" customFormat="false" ht="24" hidden="false" customHeight="true" outlineLevel="0" collapsed="false">
      <c r="A25" s="842" t="inlineStr">
        <is>
          <t xml:space="preserve"> 11-K. 비상전원</t>
        </is>
      </c>
      <c r="B25" s="842"/>
      <c r="C25" s="842"/>
    </row>
    <row r="26" customFormat="false" ht="22.5" hidden="false" customHeight="true" outlineLevel="0" collapsed="false">
      <c r="A26" s="795" t="inlineStr">
        <is>
          <t xml:space="preserve">11-K-001</t>
        </is>
      </c>
      <c r="B26" s="796" t="inlineStr">
        <is>
          <t xml:space="preserve">● 설치장소 적정 및 관리 여부</t>
        </is>
      </c>
      <c r="C26" s="737"/>
    </row>
    <row r="27" customFormat="false" ht="22.5" hidden="false" customHeight="true" outlineLevel="0" collapsed="false">
      <c r="A27" s="798" t="inlineStr">
        <is>
          <t xml:space="preserve">11-K-002</t>
        </is>
      </c>
      <c r="B27" s="746" t="inlineStr">
        <is>
          <t xml:space="preserve">○ 자가발전설비인 경우 연료 적정량 보유 여부</t>
        </is>
      </c>
      <c r="C27" s="737"/>
    </row>
    <row r="28" customFormat="false" ht="22.5" hidden="false" customHeight="true" outlineLevel="0" collapsed="false">
      <c r="A28" s="799" t="inlineStr">
        <is>
          <t xml:space="preserve">11-K-003</t>
        </is>
      </c>
      <c r="B28" s="800" t="inlineStr">
        <is>
          <t xml:space="preserve">○ 자가발전설비인 경우「전기사업법」에 따른 정기점검 결과 확인</t>
        </is>
      </c>
      <c r="C28" s="737"/>
    </row>
    <row r="29" customFormat="false" ht="24" hidden="false" customHeight="true" outlineLevel="0" collapsed="false">
      <c r="A29" s="842" t="inlineStr">
        <is>
          <t xml:space="preserve"> 11-L. 과압배출구</t>
        </is>
      </c>
      <c r="B29" s="842"/>
      <c r="C29" s="842"/>
    </row>
    <row r="30" customFormat="false" ht="22.5" hidden="false" customHeight="true" outlineLevel="0" collapsed="false">
      <c r="A30" s="760" t="inlineStr">
        <is>
          <t xml:space="preserve">11-L-001</t>
        </is>
      </c>
      <c r="B30" s="761" t="inlineStr">
        <is>
          <t xml:space="preserve">● 과압배출구 설치상태 및 관리 여부</t>
        </is>
      </c>
      <c r="C30" s="744"/>
    </row>
    <row r="31" customFormat="false" ht="36" hidden="false" customHeight="true" outlineLevel="0" collapsed="false">
      <c r="A31" s="791" t="inlineStr">
        <is>
          <t xml:space="preserve">비고</t>
        </is>
      </c>
      <c r="B31" s="844"/>
      <c r="C31" s="845"/>
    </row>
  </sheetData>
  <mergeCells count="8">
    <mergeCell ref="A1:C1"/>
    <mergeCell ref="A3:C3"/>
    <mergeCell ref="A5:C5"/>
    <mergeCell ref="A8:C8"/>
    <mergeCell ref="A12:C12"/>
    <mergeCell ref="A20:C20"/>
    <mergeCell ref="A25:C25"/>
    <mergeCell ref="A29:C29"/>
  </mergeCells>
  <dataValidations count="1">
    <dataValidation allowBlank="true" errorStyle="stop" operator="between" showDropDown="false" showErrorMessage="true" showInputMessage="false" sqref="C4 C6:C7 C9:C11 C13:C19 C22:C24 C26:C28 C30" type="list">
      <formula1>$G$7:$G$9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88671875" defaultRowHeight="13.5" customHeight="false" zeroHeight="false" outlineLevelRow="0" outlineLevelCol="0"/>
  <cols>
    <col collapsed="false" customWidth="true" hidden="false" outlineLevel="0" max="1" min="1" style="830" width="11.99"/>
    <col collapsed="false" customWidth="false" hidden="false" outlineLevel="0" max="4" min="2" style="830" width="8.88"/>
    <col collapsed="false" customWidth="true" hidden="false" outlineLevel="0" max="5" min="5" style="830" width="10.44"/>
    <col collapsed="false" customWidth="false" hidden="false" outlineLevel="0" max="7" min="6" style="830" width="8.88"/>
    <col collapsed="false" customWidth="true" hidden="false" outlineLevel="0" max="8" min="8" style="830" width="13.55"/>
    <col collapsed="false" customWidth="false" hidden="false" outlineLevel="0" max="257" min="9" style="830" width="8.88"/>
  </cols>
  <sheetData>
    <row r="1" customFormat="false" ht="18" hidden="false" customHeight="true" outlineLevel="0" collapsed="false">
      <c r="A1" s="846" t="inlineStr">
        <is>
          <t xml:space="preserve">                      (3면)</t>
        </is>
      </c>
      <c r="B1" s="846"/>
      <c r="C1" s="846"/>
      <c r="D1" s="846"/>
      <c r="E1" s="846"/>
      <c r="F1" s="846"/>
      <c r="G1" s="846"/>
      <c r="H1" s="846"/>
      <c r="I1" s="719"/>
      <c r="J1" s="719"/>
      <c r="K1" s="719"/>
      <c r="L1" s="719"/>
      <c r="M1" s="719"/>
      <c r="N1" s="719"/>
      <c r="O1" s="719"/>
      <c r="P1" s="719"/>
      <c r="Q1" s="719"/>
      <c r="R1" s="719"/>
      <c r="S1" s="719"/>
      <c r="T1" s="719"/>
      <c r="U1" s="719"/>
      <c r="V1" s="719"/>
      <c r="W1" s="719"/>
      <c r="X1" s="719"/>
      <c r="Y1" s="719"/>
      <c r="Z1" s="719"/>
      <c r="AA1" s="719"/>
      <c r="AB1" s="719"/>
      <c r="AC1" s="719"/>
      <c r="AD1" s="719"/>
      <c r="AE1" s="719"/>
      <c r="AF1" s="719"/>
      <c r="AG1" s="719"/>
      <c r="AH1" s="719"/>
      <c r="AI1" s="719"/>
      <c r="AJ1" s="719"/>
      <c r="AK1" s="719"/>
      <c r="AL1" s="719"/>
      <c r="AM1" s="719"/>
      <c r="AN1" s="719"/>
      <c r="AO1" s="719"/>
      <c r="AP1" s="719"/>
      <c r="AQ1" s="719"/>
      <c r="AR1" s="719"/>
      <c r="AS1" s="719"/>
      <c r="AT1" s="719"/>
      <c r="AU1" s="719"/>
      <c r="AV1" s="719"/>
      <c r="AW1" s="719"/>
      <c r="AX1" s="719"/>
      <c r="AY1" s="719"/>
      <c r="AZ1" s="719"/>
      <c r="BA1" s="719"/>
      <c r="BB1" s="719"/>
      <c r="BC1" s="719"/>
      <c r="BD1" s="719"/>
      <c r="BE1" s="719"/>
      <c r="BF1" s="719"/>
      <c r="BG1" s="719"/>
      <c r="BH1" s="719"/>
      <c r="BI1" s="719"/>
      <c r="BJ1" s="719"/>
      <c r="BK1" s="719"/>
      <c r="BL1" s="719"/>
      <c r="BM1" s="719"/>
      <c r="BN1" s="719"/>
      <c r="BO1" s="719"/>
      <c r="BP1" s="719"/>
      <c r="BQ1" s="719"/>
      <c r="BR1" s="719"/>
      <c r="BS1" s="719"/>
      <c r="BT1" s="719"/>
      <c r="BU1" s="719"/>
      <c r="BV1" s="719"/>
      <c r="BW1" s="719"/>
      <c r="BX1" s="719"/>
      <c r="BY1" s="719"/>
      <c r="BZ1" s="719"/>
      <c r="CA1" s="719"/>
      <c r="CB1" s="719"/>
      <c r="CC1" s="719"/>
      <c r="CD1" s="719"/>
      <c r="CE1" s="719"/>
      <c r="CF1" s="719"/>
      <c r="CG1" s="719"/>
      <c r="CH1" s="719"/>
      <c r="CI1" s="719"/>
      <c r="CJ1" s="719"/>
      <c r="CK1" s="719"/>
      <c r="CL1" s="719"/>
      <c r="CM1" s="719"/>
      <c r="CN1" s="719"/>
      <c r="CO1" s="719"/>
      <c r="CP1" s="719"/>
      <c r="CQ1" s="719"/>
      <c r="CR1" s="719"/>
      <c r="CS1" s="719"/>
      <c r="CT1" s="719"/>
      <c r="CU1" s="719"/>
      <c r="CV1" s="719"/>
      <c r="CW1" s="719"/>
      <c r="CX1" s="719"/>
      <c r="CY1" s="719"/>
      <c r="CZ1" s="719"/>
      <c r="DA1" s="719"/>
      <c r="DB1" s="719"/>
      <c r="DC1" s="719"/>
      <c r="DD1" s="719"/>
      <c r="DE1" s="719"/>
      <c r="DF1" s="719"/>
      <c r="DG1" s="719"/>
      <c r="DH1" s="719"/>
      <c r="DI1" s="719"/>
      <c r="DJ1" s="719"/>
      <c r="DK1" s="719"/>
      <c r="DL1" s="719"/>
      <c r="DM1" s="719"/>
      <c r="DN1" s="719"/>
      <c r="DO1" s="719"/>
      <c r="DP1" s="719"/>
      <c r="DQ1" s="719"/>
      <c r="DR1" s="719"/>
      <c r="DS1" s="719"/>
      <c r="DT1" s="719"/>
      <c r="DU1" s="719"/>
      <c r="DV1" s="719"/>
      <c r="DW1" s="719"/>
      <c r="DX1" s="719"/>
      <c r="DY1" s="719"/>
      <c r="DZ1" s="719"/>
      <c r="EA1" s="719"/>
      <c r="EB1" s="719"/>
      <c r="EC1" s="719"/>
      <c r="ED1" s="719"/>
      <c r="EE1" s="719"/>
      <c r="EF1" s="719"/>
      <c r="EG1" s="719"/>
      <c r="EH1" s="719"/>
      <c r="EI1" s="719"/>
      <c r="EJ1" s="719"/>
      <c r="EK1" s="719"/>
      <c r="EL1" s="719"/>
      <c r="EM1" s="719"/>
      <c r="EN1" s="719"/>
      <c r="EO1" s="719"/>
      <c r="EP1" s="719"/>
      <c r="EQ1" s="719"/>
      <c r="ER1" s="719"/>
      <c r="ES1" s="719"/>
      <c r="ET1" s="719"/>
      <c r="EU1" s="719"/>
      <c r="EV1" s="719"/>
      <c r="EW1" s="719"/>
      <c r="EX1" s="719"/>
      <c r="EY1" s="719"/>
      <c r="EZ1" s="719"/>
      <c r="FA1" s="719"/>
      <c r="FB1" s="719"/>
      <c r="FC1" s="719"/>
      <c r="FD1" s="719"/>
      <c r="FE1" s="719"/>
      <c r="FF1" s="719"/>
      <c r="FG1" s="719"/>
      <c r="FH1" s="719"/>
      <c r="FI1" s="719"/>
      <c r="FJ1" s="719"/>
      <c r="FK1" s="719"/>
      <c r="FL1" s="719"/>
      <c r="FM1" s="719"/>
      <c r="FN1" s="719"/>
      <c r="FO1" s="719"/>
      <c r="FP1" s="719"/>
      <c r="FQ1" s="719"/>
      <c r="FR1" s="719"/>
      <c r="FS1" s="719"/>
      <c r="FT1" s="719"/>
      <c r="FU1" s="719"/>
      <c r="FV1" s="719"/>
      <c r="FW1" s="719"/>
      <c r="FX1" s="719"/>
      <c r="FY1" s="719"/>
      <c r="FZ1" s="719"/>
      <c r="GA1" s="719"/>
      <c r="GB1" s="719"/>
      <c r="GC1" s="719"/>
      <c r="GD1" s="719"/>
      <c r="GE1" s="719"/>
      <c r="GF1" s="719"/>
      <c r="GG1" s="719"/>
      <c r="GH1" s="719"/>
      <c r="GI1" s="719"/>
      <c r="GJ1" s="719"/>
      <c r="GK1" s="719"/>
      <c r="GL1" s="719"/>
      <c r="GM1" s="719"/>
      <c r="GN1" s="719"/>
      <c r="GO1" s="719"/>
      <c r="GP1" s="719"/>
      <c r="GQ1" s="719"/>
      <c r="GR1" s="719"/>
      <c r="GS1" s="719"/>
      <c r="GT1" s="719"/>
      <c r="GU1" s="719"/>
      <c r="GV1" s="719"/>
      <c r="GW1" s="719"/>
      <c r="GX1" s="719"/>
      <c r="GY1" s="719"/>
      <c r="GZ1" s="719"/>
      <c r="HA1" s="719"/>
      <c r="HB1" s="719"/>
      <c r="HC1" s="719"/>
      <c r="HD1" s="719"/>
      <c r="HE1" s="719"/>
      <c r="HF1" s="719"/>
      <c r="HG1" s="719"/>
      <c r="HH1" s="719"/>
      <c r="HI1" s="719"/>
      <c r="HJ1" s="719"/>
      <c r="HK1" s="719"/>
      <c r="HL1" s="719"/>
      <c r="HM1" s="719"/>
      <c r="HN1" s="719"/>
      <c r="HO1" s="719"/>
      <c r="HP1" s="719"/>
      <c r="HQ1" s="719"/>
      <c r="HR1" s="719"/>
      <c r="HS1" s="719"/>
      <c r="HT1" s="719"/>
      <c r="HU1" s="719"/>
      <c r="HV1" s="719"/>
      <c r="HW1" s="719"/>
      <c r="HX1" s="719"/>
      <c r="HY1" s="719"/>
      <c r="HZ1" s="719"/>
      <c r="IA1" s="719"/>
      <c r="IB1" s="719"/>
      <c r="IC1" s="719"/>
      <c r="ID1" s="719"/>
      <c r="IE1" s="719"/>
      <c r="IF1" s="719"/>
      <c r="IG1" s="719"/>
      <c r="IH1" s="719"/>
      <c r="II1" s="719"/>
      <c r="IJ1" s="719"/>
      <c r="IK1" s="719"/>
      <c r="IL1" s="719"/>
      <c r="IM1" s="719"/>
      <c r="IN1" s="719"/>
      <c r="IO1" s="719"/>
      <c r="IP1" s="719"/>
      <c r="IQ1" s="719"/>
      <c r="IR1" s="719"/>
      <c r="IS1" s="719"/>
      <c r="IT1" s="719"/>
      <c r="IU1" s="719"/>
      <c r="IV1" s="719"/>
      <c r="IW1" s="719"/>
    </row>
    <row r="2" customFormat="false" ht="26.25" hidden="false" customHeight="true" outlineLevel="0" collapsed="false">
      <c r="A2" s="832" t="inlineStr">
        <is>
          <t xml:space="preserve">※ 약제저장량 점검리스트</t>
        </is>
      </c>
    </row>
    <row r="3" customFormat="false" ht="13.5" hidden="false" customHeight="false" outlineLevel="0" collapsed="false">
      <c r="H3" s="833"/>
    </row>
    <row r="4" customFormat="false" ht="43.5" hidden="false" customHeight="true" outlineLevel="0" collapsed="false">
      <c r="A4" s="834" t="inlineStr">
        <is>
          <t xml:space="preserve">설치위치</t>
        </is>
      </c>
      <c r="B4" s="835" t="inlineStr">
        <is>
          <t xml:space="preserve">용기 No.</t>
        </is>
      </c>
      <c r="C4" s="835" t="inlineStr">
        <is>
          <t xml:space="preserve">실내온도(℃)</t>
        </is>
      </c>
      <c r="D4" s="835" t="inlineStr">
        <is>
          <t xml:space="preserve">약제높이
(cm)</t>
        </is>
      </c>
      <c r="E4" s="835" t="inlineStr">
        <is>
          <t xml:space="preserve">충전량(압) 
(㎏)(㎏/㎠)</t>
        </is>
      </c>
      <c r="F4" s="835" t="inlineStr">
        <is>
          <t xml:space="preserve">손실량
(kg)</t>
        </is>
      </c>
      <c r="G4" s="835" t="inlineStr">
        <is>
          <t xml:space="preserve">점검
결과 </t>
        </is>
      </c>
      <c r="H4" s="836" t="inlineStr">
        <is>
          <t xml:space="preserve">비고
(손실5%초과)</t>
        </is>
      </c>
    </row>
    <row r="5" customFormat="false" ht="25.5" hidden="false" customHeight="true" outlineLevel="0" collapsed="false">
      <c r="A5" s="837"/>
      <c r="B5" s="838"/>
      <c r="C5" s="838"/>
      <c r="D5" s="838"/>
      <c r="E5" s="838"/>
      <c r="F5" s="838"/>
      <c r="G5" s="838"/>
      <c r="H5" s="839" t="inlineStr">
        <is>
          <t xml:space="preserve">※ 약제량 손실 (불활성기체는 압력손실) 5% 초과 시 불량으로 판정합니다.
※ 불활성기체는 손실량에 압력게이지 값을 기록합니다.</t>
        </is>
      </c>
    </row>
    <row r="6" customFormat="false" ht="25.5" hidden="false" customHeight="true" outlineLevel="0" collapsed="false">
      <c r="A6" s="837"/>
      <c r="B6" s="838"/>
      <c r="C6" s="838"/>
      <c r="D6" s="838"/>
      <c r="E6" s="838"/>
      <c r="F6" s="838"/>
      <c r="G6" s="838"/>
      <c r="H6" s="839"/>
    </row>
    <row r="7" customFormat="false" ht="25.5" hidden="false" customHeight="true" outlineLevel="0" collapsed="false">
      <c r="A7" s="837"/>
      <c r="B7" s="838"/>
      <c r="C7" s="838"/>
      <c r="D7" s="838"/>
      <c r="E7" s="838"/>
      <c r="F7" s="838"/>
      <c r="G7" s="838"/>
      <c r="H7" s="839"/>
    </row>
    <row r="8" customFormat="false" ht="25.5" hidden="false" customHeight="true" outlineLevel="0" collapsed="false">
      <c r="A8" s="837"/>
      <c r="B8" s="838"/>
      <c r="C8" s="838"/>
      <c r="D8" s="838"/>
      <c r="E8" s="838"/>
      <c r="F8" s="838"/>
      <c r="G8" s="838"/>
      <c r="H8" s="839"/>
    </row>
    <row r="9" customFormat="false" ht="25.5" hidden="false" customHeight="true" outlineLevel="0" collapsed="false">
      <c r="A9" s="837"/>
      <c r="B9" s="838"/>
      <c r="C9" s="838"/>
      <c r="D9" s="838"/>
      <c r="E9" s="838"/>
      <c r="F9" s="838"/>
      <c r="G9" s="838"/>
      <c r="H9" s="839"/>
    </row>
    <row r="10" customFormat="false" ht="25.5" hidden="false" customHeight="true" outlineLevel="0" collapsed="false">
      <c r="A10" s="837"/>
      <c r="B10" s="838"/>
      <c r="C10" s="838"/>
      <c r="D10" s="838"/>
      <c r="E10" s="838"/>
      <c r="F10" s="838"/>
      <c r="G10" s="838"/>
      <c r="H10" s="839"/>
    </row>
    <row r="11" customFormat="false" ht="25.5" hidden="false" customHeight="true" outlineLevel="0" collapsed="false">
      <c r="A11" s="837"/>
      <c r="B11" s="838"/>
      <c r="C11" s="838"/>
      <c r="D11" s="838"/>
      <c r="E11" s="838"/>
      <c r="F11" s="838"/>
      <c r="G11" s="838"/>
      <c r="H11" s="839"/>
    </row>
    <row r="12" customFormat="false" ht="25.5" hidden="false" customHeight="true" outlineLevel="0" collapsed="false">
      <c r="A12" s="837"/>
      <c r="B12" s="838"/>
      <c r="C12" s="838"/>
      <c r="D12" s="838"/>
      <c r="E12" s="838"/>
      <c r="F12" s="838"/>
      <c r="G12" s="838"/>
      <c r="H12" s="839"/>
    </row>
    <row r="13" customFormat="false" ht="25.5" hidden="false" customHeight="true" outlineLevel="0" collapsed="false">
      <c r="A13" s="837"/>
      <c r="B13" s="838"/>
      <c r="C13" s="838"/>
      <c r="D13" s="838"/>
      <c r="E13" s="838"/>
      <c r="F13" s="838"/>
      <c r="G13" s="838"/>
      <c r="H13" s="839"/>
    </row>
    <row r="14" customFormat="false" ht="25.5" hidden="false" customHeight="true" outlineLevel="0" collapsed="false">
      <c r="A14" s="837"/>
      <c r="B14" s="838"/>
      <c r="C14" s="838"/>
      <c r="D14" s="838"/>
      <c r="E14" s="838"/>
      <c r="F14" s="838"/>
      <c r="G14" s="838"/>
      <c r="H14" s="839"/>
    </row>
    <row r="15" customFormat="false" ht="25.5" hidden="false" customHeight="true" outlineLevel="0" collapsed="false">
      <c r="A15" s="837"/>
      <c r="B15" s="838"/>
      <c r="C15" s="838"/>
      <c r="D15" s="838"/>
      <c r="E15" s="838"/>
      <c r="F15" s="838"/>
      <c r="G15" s="838"/>
      <c r="H15" s="839"/>
    </row>
    <row r="16" customFormat="false" ht="25.5" hidden="false" customHeight="true" outlineLevel="0" collapsed="false">
      <c r="A16" s="837"/>
      <c r="B16" s="838"/>
      <c r="C16" s="838"/>
      <c r="D16" s="838"/>
      <c r="E16" s="838"/>
      <c r="F16" s="838"/>
      <c r="G16" s="838"/>
      <c r="H16" s="839"/>
    </row>
    <row r="17" customFormat="false" ht="25.5" hidden="false" customHeight="true" outlineLevel="0" collapsed="false">
      <c r="A17" s="837"/>
      <c r="B17" s="838"/>
      <c r="C17" s="838"/>
      <c r="D17" s="838"/>
      <c r="E17" s="838"/>
      <c r="F17" s="838"/>
      <c r="G17" s="838"/>
      <c r="H17" s="839"/>
    </row>
    <row r="18" customFormat="false" ht="25.5" hidden="false" customHeight="true" outlineLevel="0" collapsed="false">
      <c r="A18" s="837"/>
      <c r="B18" s="838"/>
      <c r="C18" s="838"/>
      <c r="D18" s="838"/>
      <c r="E18" s="838"/>
      <c r="F18" s="838"/>
      <c r="G18" s="838"/>
      <c r="H18" s="839"/>
    </row>
    <row r="19" customFormat="false" ht="25.5" hidden="false" customHeight="true" outlineLevel="0" collapsed="false">
      <c r="A19" s="837"/>
      <c r="B19" s="838"/>
      <c r="C19" s="838"/>
      <c r="D19" s="838"/>
      <c r="E19" s="838"/>
      <c r="F19" s="838"/>
      <c r="G19" s="838"/>
      <c r="H19" s="839"/>
    </row>
    <row r="20" customFormat="false" ht="25.5" hidden="false" customHeight="true" outlineLevel="0" collapsed="false">
      <c r="A20" s="837"/>
      <c r="B20" s="838"/>
      <c r="C20" s="838"/>
      <c r="D20" s="838"/>
      <c r="E20" s="838"/>
      <c r="F20" s="838"/>
      <c r="G20" s="838"/>
      <c r="H20" s="839"/>
    </row>
    <row r="21" customFormat="false" ht="25.5" hidden="false" customHeight="true" outlineLevel="0" collapsed="false">
      <c r="A21" s="837"/>
      <c r="B21" s="838"/>
      <c r="C21" s="838"/>
      <c r="D21" s="838"/>
      <c r="E21" s="838"/>
      <c r="F21" s="838"/>
      <c r="G21" s="838"/>
      <c r="H21" s="839"/>
    </row>
    <row r="22" customFormat="false" ht="25.5" hidden="false" customHeight="true" outlineLevel="0" collapsed="false">
      <c r="A22" s="837"/>
      <c r="B22" s="838"/>
      <c r="C22" s="838"/>
      <c r="D22" s="838"/>
      <c r="E22" s="838"/>
      <c r="F22" s="838"/>
      <c r="G22" s="838"/>
      <c r="H22" s="839"/>
    </row>
    <row r="23" customFormat="false" ht="25.5" hidden="false" customHeight="true" outlineLevel="0" collapsed="false">
      <c r="A23" s="837"/>
      <c r="B23" s="838"/>
      <c r="C23" s="838"/>
      <c r="D23" s="838"/>
      <c r="E23" s="838"/>
      <c r="F23" s="838"/>
      <c r="G23" s="838"/>
      <c r="H23" s="839"/>
    </row>
    <row r="24" customFormat="false" ht="25.5" hidden="false" customHeight="true" outlineLevel="0" collapsed="false">
      <c r="A24" s="837"/>
      <c r="B24" s="838"/>
      <c r="C24" s="838"/>
      <c r="D24" s="838"/>
      <c r="E24" s="838"/>
      <c r="F24" s="838"/>
      <c r="G24" s="838"/>
      <c r="H24" s="839"/>
    </row>
    <row r="25" customFormat="false" ht="25.5" hidden="false" customHeight="true" outlineLevel="0" collapsed="false">
      <c r="A25" s="837"/>
      <c r="B25" s="838"/>
      <c r="C25" s="838"/>
      <c r="D25" s="838"/>
      <c r="E25" s="838"/>
      <c r="F25" s="838"/>
      <c r="G25" s="838"/>
      <c r="H25" s="839"/>
    </row>
    <row r="26" customFormat="false" ht="25.5" hidden="false" customHeight="true" outlineLevel="0" collapsed="false">
      <c r="A26" s="837"/>
      <c r="B26" s="838"/>
      <c r="C26" s="838"/>
      <c r="D26" s="838"/>
      <c r="E26" s="838"/>
      <c r="F26" s="838"/>
      <c r="G26" s="838"/>
      <c r="H26" s="839"/>
    </row>
    <row r="27" customFormat="false" ht="25.5" hidden="false" customHeight="true" outlineLevel="0" collapsed="false">
      <c r="A27" s="837"/>
      <c r="B27" s="838"/>
      <c r="C27" s="838"/>
      <c r="D27" s="838"/>
      <c r="E27" s="838"/>
      <c r="F27" s="838"/>
      <c r="G27" s="838"/>
      <c r="H27" s="839"/>
    </row>
    <row r="28" customFormat="false" ht="25.5" hidden="false" customHeight="true" outlineLevel="0" collapsed="false">
      <c r="A28" s="840"/>
      <c r="B28" s="841"/>
      <c r="C28" s="841"/>
      <c r="D28" s="841"/>
      <c r="E28" s="841"/>
      <c r="F28" s="841"/>
      <c r="G28" s="841"/>
      <c r="H28" s="839"/>
    </row>
  </sheetData>
  <mergeCells count="2">
    <mergeCell ref="A1:H1"/>
    <mergeCell ref="H5:H28"/>
  </mergeCells>
  <printOptions headings="false" gridLines="false" gridLinesSet="true" horizontalCentered="false" verticalCentered="false"/>
  <pageMargins left="0.3937007874015748" right="0.1968503937007874" top="0.5118110236220472" bottom="0.4724409448818898" header="0.31496062992125984" footer="0.31496062992125984"/>
  <pageSetup paperSize="9" scale="10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G8"/>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13. 옥외소화전설비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13-A. 수원</t>
        </is>
      </c>
      <c r="B3" s="759"/>
      <c r="C3" s="759"/>
    </row>
    <row r="4" customFormat="false" ht="21.75" hidden="false" customHeight="true" outlineLevel="0" collapsed="false">
      <c r="A4" s="847" t="inlineStr">
        <is>
          <t xml:space="preserve">13-A-001</t>
        </is>
      </c>
      <c r="B4" s="813" t="inlineStr">
        <is>
          <t xml:space="preserve">○ 수원의 유효수량 적정 여부(겸용설비 포함)</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4" hidden="false" customHeight="true" outlineLevel="0" collapsed="false">
      <c r="A5" s="842" t="inlineStr">
        <is>
          <t xml:space="preserve"> 13-B. 수조</t>
        </is>
      </c>
      <c r="B5" s="842"/>
      <c r="C5" s="842"/>
    </row>
    <row r="6" customFormat="false" ht="21.75" hidden="false" customHeight="true" outlineLevel="0" collapsed="false">
      <c r="A6" s="795" t="inlineStr">
        <is>
          <t xml:space="preserve">13-B-001</t>
        </is>
      </c>
      <c r="B6" s="796" t="inlineStr">
        <is>
          <t xml:space="preserve">● 동결방지조치 상태 적정 여부</t>
        </is>
      </c>
      <c r="C6" s="737"/>
      <c r="D6" s="728"/>
      <c r="E6" s="728"/>
      <c r="F6" s="728"/>
      <c r="G6" s="727" t="inlineStr">
        <is>
          <t xml:space="preserve">○</t>
        </is>
      </c>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13-B-002</t>
        </is>
      </c>
      <c r="B7" s="746" t="inlineStr">
        <is>
          <t xml:space="preserve">○ 수위계 설치 또는 수위 확인 가능 여부</t>
        </is>
      </c>
      <c r="C7" s="737"/>
      <c r="D7" s="728"/>
      <c r="E7" s="728"/>
      <c r="F7" s="728"/>
      <c r="G7" s="727" t="inlineStr">
        <is>
          <t xml:space="preserve">/</t>
        </is>
      </c>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13-B-003</t>
        </is>
      </c>
      <c r="B8" s="746" t="inlineStr">
        <is>
          <t xml:space="preserve">● 수조 외측 고정사다리 설치 여부(바닥보다 낮은 경우 제외)</t>
        </is>
      </c>
      <c r="C8" s="737"/>
      <c r="D8" s="728"/>
      <c r="E8" s="728"/>
      <c r="F8" s="728"/>
      <c r="G8" s="727" t="inlineStr">
        <is>
          <t xml:space="preserve">×</t>
        </is>
      </c>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13-B-004</t>
        </is>
      </c>
      <c r="B9" s="746" t="inlineStr">
        <is>
          <t xml:space="preserve">● 실내설치 시 조명설비 설치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13-B-005</t>
        </is>
      </c>
      <c r="B10" s="746" t="inlineStr">
        <is>
          <t xml:space="preserve">○“옥외소화전설비용 수조”표지설치 여부 및 설치 상태</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13-B-006</t>
        </is>
      </c>
      <c r="B11" s="746" t="inlineStr">
        <is>
          <t xml:space="preserve">● 다른 소화설비와 겸용 시 겸용설비의 이름 표시한 표지설치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9" t="inlineStr">
        <is>
          <t xml:space="preserve">13-B-007</t>
        </is>
      </c>
      <c r="B12" s="800" t="inlineStr">
        <is>
          <t xml:space="preserve">● 수조-수직배관 접속부분“옥외소화전설비용 배관”표지설치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4" hidden="false" customHeight="true" outlineLevel="0" collapsed="false">
      <c r="A13" s="842" t="inlineStr">
        <is>
          <t xml:space="preserve"> 13-C. 가압송수장치</t>
        </is>
      </c>
      <c r="B13" s="842"/>
      <c r="C13" s="842"/>
    </row>
    <row r="14" customFormat="false" ht="21.75" hidden="false" customHeight="true" outlineLevel="0" collapsed="false">
      <c r="A14" s="725"/>
      <c r="B14" s="733" t="inlineStr">
        <is>
          <t xml:space="preserve"> [펌프방식]</t>
        </is>
      </c>
      <c r="C14" s="734"/>
    </row>
    <row r="15" customFormat="false" ht="21.75" hidden="false" customHeight="true" outlineLevel="0" collapsed="false">
      <c r="A15" s="798" t="inlineStr">
        <is>
          <t xml:space="preserve">13-C-001</t>
        </is>
      </c>
      <c r="B15" s="745" t="inlineStr">
        <is>
          <t xml:space="preserve">● 동결방지조치 상태 적정 여부</t>
        </is>
      </c>
      <c r="C15" s="737"/>
    </row>
    <row r="16" customFormat="false" ht="21.75" hidden="false" customHeight="true" outlineLevel="0" collapsed="false">
      <c r="A16" s="798" t="inlineStr">
        <is>
          <t xml:space="preserve">13-C-002</t>
        </is>
      </c>
      <c r="B16" s="745" t="inlineStr">
        <is>
          <t xml:space="preserve">○ 옥외소화전 방수량 및 방수압력 적정 여부</t>
        </is>
      </c>
      <c r="C16" s="737"/>
    </row>
    <row r="17" customFormat="false" ht="21.75" hidden="false" customHeight="true" outlineLevel="0" collapsed="false">
      <c r="A17" s="798" t="inlineStr">
        <is>
          <t xml:space="preserve">13-C-003</t>
        </is>
      </c>
      <c r="B17" s="745" t="inlineStr">
        <is>
          <t xml:space="preserve">● 감압장치 설치 여부(방수압력 0.7MPa 초과 조건)</t>
        </is>
      </c>
      <c r="C17" s="737"/>
    </row>
    <row r="18" customFormat="false" ht="21.75" hidden="false" customHeight="true" outlineLevel="0" collapsed="false">
      <c r="A18" s="798" t="inlineStr">
        <is>
          <t xml:space="preserve">13-C-004</t>
        </is>
      </c>
      <c r="B18" s="745" t="inlineStr">
        <is>
          <t xml:space="preserve">○ 성능시험배관을 통한 펌프 성능시험 적정 여부</t>
        </is>
      </c>
      <c r="C18" s="737"/>
    </row>
    <row r="19" customFormat="false" ht="21.75" hidden="false" customHeight="true" outlineLevel="0" collapsed="false">
      <c r="A19" s="798" t="inlineStr">
        <is>
          <t xml:space="preserve">13-C-005</t>
        </is>
      </c>
      <c r="B19" s="745" t="inlineStr">
        <is>
          <t xml:space="preserve">● 다른 소화설비와 겸용인 경우 펌프 성능 확보 가능 여부</t>
        </is>
      </c>
      <c r="C19" s="737"/>
    </row>
    <row r="20" customFormat="false" ht="21.75" hidden="false" customHeight="true" outlineLevel="0" collapsed="false">
      <c r="A20" s="798" t="inlineStr">
        <is>
          <t xml:space="preserve">13-C-006</t>
        </is>
      </c>
      <c r="B20" s="745" t="inlineStr">
        <is>
          <t xml:space="preserve">○ 펌프 흡입측 연성계․진공계 및 토출측 압력계 등 부속장치의 변형․손상 유무</t>
        </is>
      </c>
      <c r="C20" s="737"/>
    </row>
    <row r="21" customFormat="false" ht="21.75" hidden="false" customHeight="true" outlineLevel="0" collapsed="false">
      <c r="A21" s="798" t="inlineStr">
        <is>
          <t xml:space="preserve">13-C-007</t>
        </is>
      </c>
      <c r="B21" s="745" t="inlineStr">
        <is>
          <t xml:space="preserve">● 기동장치 적정 설치 및 기동압력 설정 적정 여부</t>
        </is>
      </c>
      <c r="C21" s="737"/>
    </row>
    <row r="22" customFormat="false" ht="21.75" hidden="false" customHeight="true" outlineLevel="0" collapsed="false">
      <c r="A22" s="798" t="inlineStr">
        <is>
          <t xml:space="preserve">13-C-008</t>
        </is>
      </c>
      <c r="B22" s="745" t="inlineStr">
        <is>
          <t xml:space="preserve">○ 기동스위치 설치 적정 여부(ON/OFF 방식)</t>
        </is>
      </c>
      <c r="C22" s="737"/>
    </row>
    <row r="23" customFormat="false" ht="21.75" hidden="false" customHeight="true" outlineLevel="0" collapsed="false">
      <c r="A23" s="798" t="inlineStr">
        <is>
          <t xml:space="preserve">13-C-009</t>
        </is>
      </c>
      <c r="B23" s="745" t="inlineStr">
        <is>
          <t xml:space="preserve">● 물올림장치 설치 적정(전용 여부, 유효수량, 배관구경, 자동급수) 여부</t>
        </is>
      </c>
      <c r="C23" s="737"/>
    </row>
    <row r="24" customFormat="false" ht="21.75" hidden="false" customHeight="true" outlineLevel="0" collapsed="false">
      <c r="A24" s="798" t="inlineStr">
        <is>
          <t xml:space="preserve">13-C-010</t>
        </is>
      </c>
      <c r="B24" s="745" t="inlineStr">
        <is>
          <t xml:space="preserve">● 충압펌프 설치 적정(토출압력, 정격토출량) 여부</t>
        </is>
      </c>
      <c r="C24" s="737"/>
    </row>
    <row r="25" customFormat="false" ht="33.75" hidden="false" customHeight="true" outlineLevel="0" collapsed="false">
      <c r="A25" s="798" t="inlineStr">
        <is>
          <t xml:space="preserve">13-C-011</t>
        </is>
      </c>
      <c r="B25" s="746" t="inlineStr">
        <is>
          <t xml:space="preserve">○ 내연기관 방식의 펌프 설치 적정(정상기동(기동장치 및 제어반) 여부, 
   축전지상태, 연료량) 여부</t>
        </is>
      </c>
      <c r="C25" s="737"/>
    </row>
    <row r="26" customFormat="false" ht="33.75" hidden="false" customHeight="true" outlineLevel="0" collapsed="false">
      <c r="A26" s="799" t="inlineStr">
        <is>
          <t xml:space="preserve">13-C-012</t>
        </is>
      </c>
      <c r="B26" s="800" t="inlineStr">
        <is>
          <t xml:space="preserve">○ 가압송수장치의“옥외소화전펌프”표지설치 여부 또는 다른 소화설비와 겸용 시 
   겸용설비 이름 표시 부착 여부</t>
        </is>
      </c>
      <c r="C26" s="734"/>
    </row>
    <row r="27" customFormat="false" ht="21.75" hidden="false" customHeight="true" outlineLevel="0" collapsed="false">
      <c r="A27" s="848"/>
      <c r="B27" s="811" t="inlineStr">
        <is>
          <t xml:space="preserve"> [고가수조방식]</t>
        </is>
      </c>
      <c r="C27" s="734"/>
    </row>
    <row r="28" customFormat="false" ht="21.75" hidden="false" customHeight="true" outlineLevel="0" collapsed="false">
      <c r="A28" s="799" t="inlineStr">
        <is>
          <t xml:space="preserve">13-C-021  </t>
        </is>
      </c>
      <c r="B28" s="748" t="inlineStr">
        <is>
          <t xml:space="preserve">○ 수위계·배수관·급수관·오버플로우관·맨홀 등 부속장치의 변형·손상 유무</t>
        </is>
      </c>
      <c r="C28" s="734"/>
    </row>
    <row r="29" customFormat="false" ht="21.75" hidden="false" customHeight="true" outlineLevel="0" collapsed="false">
      <c r="A29" s="795" t="inlineStr">
        <is>
          <t xml:space="preserve">  </t>
        </is>
      </c>
      <c r="B29" s="817" t="inlineStr">
        <is>
          <t xml:space="preserve"> [압력수조방식]</t>
        </is>
      </c>
      <c r="C29" s="734"/>
    </row>
    <row r="30" customFormat="false" ht="21.75" hidden="false" customHeight="true" outlineLevel="0" collapsed="false">
      <c r="A30" s="798" t="inlineStr">
        <is>
          <t xml:space="preserve">13-C-031</t>
        </is>
      </c>
      <c r="B30" s="746" t="inlineStr">
        <is>
          <t xml:space="preserve">● 압력수조의 압력 적정 여부</t>
        </is>
      </c>
      <c r="C30" s="734"/>
    </row>
    <row r="31" customFormat="false" ht="33.75" hidden="false" customHeight="true" outlineLevel="0" collapsed="false">
      <c r="A31" s="799" t="inlineStr">
        <is>
          <t xml:space="preserve">13-C-032</t>
        </is>
      </c>
      <c r="B31" s="800" t="inlineStr">
        <is>
          <t xml:space="preserve">○ 수위계·급수관·급기관·압력계·안전장치·공기압축기 등 부속장치의 변형·
   손상 유무</t>
        </is>
      </c>
      <c r="C31" s="734"/>
    </row>
    <row r="32" customFormat="false" ht="21.75" hidden="false" customHeight="true" outlineLevel="0" collapsed="false">
      <c r="A32" s="725"/>
      <c r="B32" s="811" t="inlineStr">
        <is>
          <t xml:space="preserve"> [가압수조방식]</t>
        </is>
      </c>
      <c r="C32" s="734"/>
    </row>
    <row r="33" customFormat="false" ht="21.75" hidden="false" customHeight="true" outlineLevel="0" collapsed="false">
      <c r="A33" s="729" t="inlineStr">
        <is>
          <t xml:space="preserve">13-C-041</t>
        </is>
      </c>
      <c r="B33" s="751" t="inlineStr">
        <is>
          <t xml:space="preserve">● 가압수조 및 가압원 설치장소의 방화구획 여부</t>
        </is>
      </c>
      <c r="C33" s="734"/>
    </row>
    <row r="34" customFormat="false" ht="21.75" hidden="false" customHeight="true" outlineLevel="0" collapsed="false">
      <c r="A34" s="752" t="inlineStr">
        <is>
          <t xml:space="preserve">13-C-042</t>
        </is>
      </c>
      <c r="B34" s="753" t="inlineStr">
        <is>
          <t xml:space="preserve">○ 수위계·급수관·배수관·급기관·압력계 등 부속장치의 변형·손상 유무</t>
        </is>
      </c>
      <c r="C34" s="754"/>
    </row>
  </sheetData>
  <mergeCells count="4">
    <mergeCell ref="A1:C1"/>
    <mergeCell ref="A3:C3"/>
    <mergeCell ref="A5:C5"/>
    <mergeCell ref="A13:C13"/>
  </mergeCells>
  <dataValidations count="1">
    <dataValidation allowBlank="true" errorStyle="stop" operator="between" showDropDown="false" showErrorMessage="true" showInputMessage="false" sqref="C4 C6:C12 C15:C34" type="list">
      <formula1>$G$6:$G$8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G8"/>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c r="F1" s="849"/>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13-D. 배관 등</t>
        </is>
      </c>
      <c r="B3" s="759"/>
      <c r="C3" s="759"/>
    </row>
    <row r="4" customFormat="false" ht="21.75" hidden="false" customHeight="true" outlineLevel="0" collapsed="false">
      <c r="A4" s="795" t="inlineStr">
        <is>
          <t xml:space="preserve">13-D-001</t>
        </is>
      </c>
      <c r="B4" s="796" t="inlineStr">
        <is>
          <t xml:space="preserve">● 호스접결구 높이 및 각 부분으로부터 호스접결구까지의 수평거리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13-D-002</t>
        </is>
      </c>
      <c r="B5" s="746" t="inlineStr">
        <is>
          <t xml:space="preserve">○ 호스 구경 적정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13-D-003</t>
        </is>
      </c>
      <c r="B6" s="746" t="inlineStr">
        <is>
          <t xml:space="preserve">● 펌프의 흡입측 배관 여과장치의 상태 확인</t>
        </is>
      </c>
      <c r="C6" s="734"/>
      <c r="D6" s="728"/>
      <c r="E6" s="728"/>
      <c r="F6" s="728"/>
      <c r="G6" s="727" t="inlineStr">
        <is>
          <t xml:space="preserve">○</t>
        </is>
      </c>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13-D-004</t>
        </is>
      </c>
      <c r="B7" s="746" t="inlineStr">
        <is>
          <t xml:space="preserve">● 성능시험배관 설치(개폐밸브, 유량조절밸브, 유량측정장치) 적정 여부</t>
        </is>
      </c>
      <c r="C7" s="734"/>
      <c r="D7" s="728"/>
      <c r="E7" s="728"/>
      <c r="F7" s="728"/>
      <c r="G7" s="727" t="inlineStr">
        <is>
          <t xml:space="preserve">/</t>
        </is>
      </c>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13-D-005</t>
        </is>
      </c>
      <c r="B8" s="746" t="inlineStr">
        <is>
          <t xml:space="preserve">● 순환배관 설치(설치위치·배관구경, 릴리프밸브 개방압력) 적정 여부</t>
        </is>
      </c>
      <c r="C8" s="734"/>
      <c r="D8" s="728"/>
      <c r="E8" s="728"/>
      <c r="F8" s="728"/>
      <c r="G8" s="727" t="inlineStr">
        <is>
          <t xml:space="preserve">×</t>
        </is>
      </c>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13-D-006</t>
        </is>
      </c>
      <c r="B9" s="746" t="inlineStr">
        <is>
          <t xml:space="preserve">● 동결방지조치 상태 적정 여부</t>
        </is>
      </c>
      <c r="C9" s="734"/>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13-D-007</t>
        </is>
      </c>
      <c r="B10" s="746" t="inlineStr">
        <is>
          <t xml:space="preserve">○ 급수배관 개폐밸브 설치(개폐표시형, 흡입측 버터플라이 제외) 적정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9" t="inlineStr">
        <is>
          <t xml:space="preserve">13-D-008</t>
        </is>
      </c>
      <c r="B11" s="800" t="inlineStr">
        <is>
          <t xml:space="preserve">● 다른 설비의 배관과의 구분 상태 적정 여부</t>
        </is>
      </c>
      <c r="C11" s="734"/>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4" hidden="false" customHeight="true" outlineLevel="0" collapsed="false">
      <c r="A12" s="842" t="inlineStr">
        <is>
          <t xml:space="preserve"> 13-E. 소화전함 등</t>
        </is>
      </c>
      <c r="B12" s="842"/>
      <c r="C12" s="842"/>
    </row>
    <row r="13" customFormat="false" ht="21.75" hidden="false" customHeight="true" outlineLevel="0" collapsed="false">
      <c r="A13" s="795" t="inlineStr">
        <is>
          <t xml:space="preserve">13-E-001</t>
        </is>
      </c>
      <c r="B13" s="796" t="inlineStr">
        <is>
          <t xml:space="preserve">○ 함 개방 용이성 및 장애물 설치 여부 등 사용 편의성 적정 여부</t>
        </is>
      </c>
      <c r="C13" s="734"/>
    </row>
    <row r="14" customFormat="false" ht="21.75" hidden="false" customHeight="true" outlineLevel="0" collapsed="false">
      <c r="A14" s="798" t="inlineStr">
        <is>
          <t xml:space="preserve">13-E-002</t>
        </is>
      </c>
      <c r="B14" s="746" t="inlineStr">
        <is>
          <t xml:space="preserve">○ 위치·기동 표시등 적정 설치 및 정상 점등 여부</t>
        </is>
      </c>
      <c r="C14" s="734"/>
    </row>
    <row r="15" customFormat="false" ht="21.75" hidden="false" customHeight="true" outlineLevel="0" collapsed="false">
      <c r="A15" s="798" t="inlineStr">
        <is>
          <t xml:space="preserve">13-E-003</t>
        </is>
      </c>
      <c r="B15" s="746" t="inlineStr">
        <is>
          <t xml:space="preserve">○“옥외소화전”표시 설치 여부</t>
        </is>
      </c>
      <c r="C15" s="734"/>
    </row>
    <row r="16" customFormat="false" ht="21.75" hidden="false" customHeight="true" outlineLevel="0" collapsed="false">
      <c r="A16" s="798" t="inlineStr">
        <is>
          <t xml:space="preserve">13-E-004</t>
        </is>
      </c>
      <c r="B16" s="746" t="inlineStr">
        <is>
          <t xml:space="preserve">● 소화전함 설치 수량 적정 여부</t>
        </is>
      </c>
      <c r="C16" s="734"/>
    </row>
    <row r="17" customFormat="false" ht="21.75" hidden="false" customHeight="true" outlineLevel="0" collapsed="false">
      <c r="A17" s="798" t="inlineStr">
        <is>
          <t xml:space="preserve">13-E-005</t>
        </is>
      </c>
      <c r="B17" s="746" t="inlineStr">
        <is>
          <t xml:space="preserve">○ 옥외소화전함 내 소방호스, 관창, 옥외소화전개방 장치 비치 여부</t>
        </is>
      </c>
      <c r="C17" s="734"/>
    </row>
    <row r="18" customFormat="false" ht="21.75" hidden="false" customHeight="true" outlineLevel="0" collapsed="false">
      <c r="A18" s="799" t="inlineStr">
        <is>
          <t xml:space="preserve">13-E-006</t>
        </is>
      </c>
      <c r="B18" s="800" t="inlineStr">
        <is>
          <t xml:space="preserve">○ 호스의 접결상태, 구경, 방수 거리 적정 여부</t>
        </is>
      </c>
      <c r="C18" s="734"/>
    </row>
    <row r="19" customFormat="false" ht="24" hidden="false" customHeight="true" outlineLevel="0" collapsed="false">
      <c r="A19" s="842" t="inlineStr">
        <is>
          <t xml:space="preserve"> 13-F. 전원</t>
        </is>
      </c>
      <c r="B19" s="842"/>
      <c r="C19" s="842"/>
    </row>
    <row r="20" customFormat="false" ht="21.75" hidden="false" customHeight="true" outlineLevel="0" collapsed="false">
      <c r="A20" s="795" t="inlineStr">
        <is>
          <t xml:space="preserve">13-F-001</t>
        </is>
      </c>
      <c r="B20" s="796" t="inlineStr">
        <is>
          <t xml:space="preserve">● 대상물 수전방식에 따른 상용전원 적정 여부</t>
        </is>
      </c>
      <c r="C20" s="737"/>
    </row>
    <row r="21" customFormat="false" ht="21.75" hidden="false" customHeight="true" outlineLevel="0" collapsed="false">
      <c r="A21" s="798" t="inlineStr">
        <is>
          <t xml:space="preserve">13-F-002</t>
        </is>
      </c>
      <c r="B21" s="746" t="inlineStr">
        <is>
          <t xml:space="preserve">● 비상전원 설치장소 적정 및 관리 여부</t>
        </is>
      </c>
      <c r="C21" s="734"/>
    </row>
    <row r="22" customFormat="false" ht="21.75" hidden="false" customHeight="true" outlineLevel="0" collapsed="false">
      <c r="A22" s="798" t="inlineStr">
        <is>
          <t xml:space="preserve">13-F-003</t>
        </is>
      </c>
      <c r="B22" s="746" t="inlineStr">
        <is>
          <t xml:space="preserve">○ 자가발전설비인 경우 연료 적정량 보유 여부</t>
        </is>
      </c>
      <c r="C22" s="734"/>
    </row>
    <row r="23" customFormat="false" ht="21.75" hidden="false" customHeight="true" outlineLevel="0" collapsed="false">
      <c r="A23" s="799" t="inlineStr">
        <is>
          <t xml:space="preserve">13-F-004</t>
        </is>
      </c>
      <c r="B23" s="800" t="inlineStr">
        <is>
          <t xml:space="preserve">○ 자가발전설비인 경우「전기사업법」에 따른 정기점검 결과 확인</t>
        </is>
      </c>
      <c r="C23" s="734"/>
    </row>
    <row r="24" customFormat="false" ht="24" hidden="false" customHeight="true" outlineLevel="0" collapsed="false">
      <c r="A24" s="842" t="inlineStr">
        <is>
          <t xml:space="preserve"> 13-G. 제어반</t>
        </is>
      </c>
      <c r="B24" s="842"/>
      <c r="C24" s="842"/>
    </row>
    <row r="25" customFormat="false" ht="21.75" hidden="false" customHeight="true" outlineLevel="0" collapsed="false">
      <c r="A25" s="760" t="inlineStr">
        <is>
          <t xml:space="preserve">13-G-001</t>
        </is>
      </c>
      <c r="B25" s="850" t="inlineStr">
        <is>
          <t xml:space="preserve">● 겸용 감시·동력 제어반 성능 적정 여부(겸용으로 설치된 경우)</t>
        </is>
      </c>
      <c r="C25" s="737"/>
    </row>
    <row r="26" customFormat="false" ht="21.75" hidden="false" customHeight="true" outlineLevel="0" collapsed="false">
      <c r="A26" s="798" t="inlineStr">
        <is>
          <t xml:space="preserve">  </t>
        </is>
      </c>
      <c r="B26" s="851" t="inlineStr">
        <is>
          <t xml:space="preserve"> [감시제어반]</t>
        </is>
      </c>
      <c r="C26" s="734"/>
    </row>
    <row r="27" customFormat="false" ht="21.75" hidden="false" customHeight="true" outlineLevel="0" collapsed="false">
      <c r="A27" s="798" t="inlineStr">
        <is>
          <t xml:space="preserve">13-G-011</t>
        </is>
      </c>
      <c r="B27" s="746" t="inlineStr">
        <is>
          <t xml:space="preserve">○ 펌프 작동 여부 확인 표시등 및 음향경보장치 정상작동 여부</t>
        </is>
      </c>
      <c r="C27" s="734"/>
    </row>
    <row r="28" customFormat="false" ht="21.75" hidden="false" customHeight="true" outlineLevel="0" collapsed="false">
      <c r="A28" s="798" t="inlineStr">
        <is>
          <t xml:space="preserve">13-G-012</t>
        </is>
      </c>
      <c r="B28" s="746" t="inlineStr">
        <is>
          <t xml:space="preserve">○ 펌프 별 자동·수동 전환스위치 정상작동 여부</t>
        </is>
      </c>
      <c r="C28" s="734"/>
    </row>
    <row r="29" customFormat="false" ht="21.75" hidden="false" customHeight="true" outlineLevel="0" collapsed="false">
      <c r="A29" s="798" t="inlineStr">
        <is>
          <t xml:space="preserve">13-G-013</t>
        </is>
      </c>
      <c r="B29" s="746" t="inlineStr">
        <is>
          <t xml:space="preserve">● 펌프 별 수동기동 및 수동중단 기능 정상작동 여부</t>
        </is>
      </c>
      <c r="C29" s="734"/>
    </row>
    <row r="30" customFormat="false" ht="21.75" hidden="false" customHeight="true" outlineLevel="0" collapsed="false">
      <c r="A30" s="798" t="inlineStr">
        <is>
          <t xml:space="preserve">13-G-014</t>
        </is>
      </c>
      <c r="B30" s="746" t="inlineStr">
        <is>
          <t xml:space="preserve">● 상용전원 및 비상전원 공급 확인 가능 여부(비상전원 있는 경우) </t>
        </is>
      </c>
      <c r="C30" s="734"/>
    </row>
    <row r="31" customFormat="false" ht="21.75" hidden="false" customHeight="true" outlineLevel="0" collapsed="false">
      <c r="A31" s="798" t="inlineStr">
        <is>
          <t xml:space="preserve">13-G-015</t>
        </is>
      </c>
      <c r="B31" s="746" t="inlineStr">
        <is>
          <t xml:space="preserve">● 수조·물올림탱크 저수위 표시등 및 음향경보장치 정상작동 여부</t>
        </is>
      </c>
      <c r="C31" s="734"/>
    </row>
    <row r="32" customFormat="false" ht="21.75" hidden="false" customHeight="true" outlineLevel="0" collapsed="false">
      <c r="A32" s="798" t="inlineStr">
        <is>
          <t xml:space="preserve">13-G-016</t>
        </is>
      </c>
      <c r="B32" s="746" t="inlineStr">
        <is>
          <t xml:space="preserve">○ 각 확인회로 별 도통시험 및 작동시험 정상작동 여부</t>
        </is>
      </c>
      <c r="C32" s="734"/>
    </row>
    <row r="33" customFormat="false" ht="21.75" hidden="false" customHeight="true" outlineLevel="0" collapsed="false">
      <c r="A33" s="798" t="inlineStr">
        <is>
          <t xml:space="preserve">13-G-017</t>
        </is>
      </c>
      <c r="B33" s="746" t="inlineStr">
        <is>
          <t xml:space="preserve">○ 예비전원 확보 유무 및 시험 적합 여부</t>
        </is>
      </c>
      <c r="C33" s="734"/>
    </row>
    <row r="34" customFormat="false" ht="21.75" hidden="false" customHeight="true" outlineLevel="0" collapsed="false">
      <c r="A34" s="798" t="inlineStr">
        <is>
          <t xml:space="preserve">13-G-018</t>
        </is>
      </c>
      <c r="B34" s="746" t="inlineStr">
        <is>
          <t xml:space="preserve">● 감시제어반 전용실 적정 설치 및 관리 여부</t>
        </is>
      </c>
      <c r="C34" s="734"/>
    </row>
    <row r="35" customFormat="false" ht="21.75" hidden="false" customHeight="true" outlineLevel="0" collapsed="false">
      <c r="A35" s="824" t="inlineStr">
        <is>
          <t xml:space="preserve">13-G-019</t>
        </is>
      </c>
      <c r="B35" s="825" t="inlineStr">
        <is>
          <t xml:space="preserve">● 기계·기구 또는 시설 등 제어 및 감시설비 외 설치 여부</t>
        </is>
      </c>
      <c r="C35" s="754"/>
    </row>
  </sheetData>
  <mergeCells count="5">
    <mergeCell ref="A1:C1"/>
    <mergeCell ref="A3:C3"/>
    <mergeCell ref="A12:C12"/>
    <mergeCell ref="A19:C19"/>
    <mergeCell ref="A24:C24"/>
  </mergeCells>
  <dataValidations count="1">
    <dataValidation allowBlank="true" errorStyle="stop" operator="between" showDropDown="false" showErrorMessage="true" showInputMessage="false" sqref="C4:C11 C13:C18 C20:C23 C25 C27:C35" type="list">
      <formula1>$G$6:$G$8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8" activeCellId="0" sqref="J8:K12"/>
    </sheetView>
  </sheetViews>
  <sheetFormatPr defaultColWidth="8.88671875" defaultRowHeight="13.5" customHeight="false" zeroHeight="false" outlineLevelRow="0" outlineLevelCol="0"/>
  <cols>
    <col collapsed="false" customWidth="true" hidden="false" outlineLevel="0" max="1" min="1" style="766" width="3.33"/>
    <col collapsed="false" customWidth="true" hidden="false" outlineLevel="0" max="2" min="2" style="766" width="6.55"/>
    <col collapsed="false" customWidth="true" hidden="false" outlineLevel="0" max="3" min="3" style="766" width="5.66"/>
    <col collapsed="false" customWidth="true" hidden="false" outlineLevel="0" max="5" min="4" style="766" width="9.66"/>
    <col collapsed="false" customWidth="true" hidden="false" outlineLevel="0" max="7" min="6" style="766" width="5.44"/>
    <col collapsed="false" customWidth="true" hidden="false" outlineLevel="0" max="8" min="8" style="766" width="10.88"/>
    <col collapsed="false" customWidth="true" hidden="false" outlineLevel="0" max="9" min="9" style="766" width="12.33"/>
    <col collapsed="false" customWidth="true" hidden="false" outlineLevel="0" max="11" min="10" style="766" width="7.44"/>
    <col collapsed="false" customWidth="false" hidden="false" outlineLevel="0" max="257" min="12" style="766" width="8.88"/>
  </cols>
  <sheetData>
    <row r="1" customFormat="false" ht="13.5" hidden="false" customHeight="false" outlineLevel="0" collapsed="false">
      <c r="A1" s="768" t="inlineStr">
        <is>
          <t xml:space="preserve">(3면)</t>
        </is>
      </c>
      <c r="B1" s="768"/>
      <c r="C1" s="768"/>
      <c r="D1" s="768"/>
      <c r="E1" s="768"/>
      <c r="F1" s="768"/>
      <c r="G1" s="768"/>
      <c r="H1" s="768"/>
      <c r="I1" s="768"/>
      <c r="J1" s="768"/>
      <c r="K1" s="768"/>
    </row>
    <row r="2" customFormat="false" ht="26.25" hidden="false" customHeight="true" outlineLevel="0" collapsed="false">
      <c r="A2" s="721" t="inlineStr">
        <is>
          <t xml:space="preserve">번호</t>
        </is>
      </c>
      <c r="B2" s="721"/>
      <c r="C2" s="722" t="inlineStr">
        <is>
          <t xml:space="preserve">점검항목</t>
        </is>
      </c>
      <c r="D2" s="722"/>
      <c r="E2" s="722"/>
      <c r="F2" s="722"/>
      <c r="G2" s="722"/>
      <c r="H2" s="722"/>
      <c r="I2" s="722"/>
      <c r="J2" s="769" t="inlineStr">
        <is>
          <t xml:space="preserve">점검결과</t>
        </is>
      </c>
      <c r="K2" s="769"/>
    </row>
    <row r="3" customFormat="false" ht="23.25" hidden="false" customHeight="true" outlineLevel="0" collapsed="false">
      <c r="A3" s="770"/>
      <c r="B3" s="770"/>
      <c r="C3" s="774" t="inlineStr">
        <is>
          <t xml:space="preserve"> [동력제어반]</t>
        </is>
      </c>
      <c r="D3" s="774"/>
      <c r="E3" s="774"/>
      <c r="F3" s="774"/>
      <c r="G3" s="774"/>
      <c r="H3" s="774"/>
      <c r="I3" s="774"/>
      <c r="J3" s="772"/>
      <c r="K3" s="772"/>
      <c r="P3" s="727" t="inlineStr">
        <is>
          <t xml:space="preserve">○</t>
        </is>
      </c>
    </row>
    <row r="4" customFormat="false" ht="23.25" hidden="false" customHeight="true" outlineLevel="0" collapsed="false">
      <c r="A4" s="799" t="inlineStr">
        <is>
          <t xml:space="preserve">13-G-031</t>
        </is>
      </c>
      <c r="B4" s="799"/>
      <c r="C4" s="776" t="inlineStr">
        <is>
          <t xml:space="preserve">○ 앞면은 적색으로 하고,“옥외소화전설비용 동력제어반” 표지 설치 여부</t>
        </is>
      </c>
      <c r="D4" s="776"/>
      <c r="E4" s="776"/>
      <c r="F4" s="776"/>
      <c r="G4" s="776"/>
      <c r="H4" s="776"/>
      <c r="I4" s="776"/>
      <c r="J4" s="772"/>
      <c r="K4" s="772"/>
      <c r="P4" s="727" t="inlineStr">
        <is>
          <t xml:space="preserve">/</t>
        </is>
      </c>
    </row>
    <row r="5" customFormat="false" ht="23.25" hidden="false" customHeight="true" outlineLevel="0" collapsed="false">
      <c r="A5" s="770"/>
      <c r="B5" s="770"/>
      <c r="C5" s="777" t="inlineStr">
        <is>
          <t xml:space="preserve"> [발전기제어반]</t>
        </is>
      </c>
      <c r="D5" s="777"/>
      <c r="E5" s="777"/>
      <c r="F5" s="777"/>
      <c r="G5" s="777"/>
      <c r="H5" s="777"/>
      <c r="I5" s="777"/>
      <c r="J5" s="772"/>
      <c r="K5" s="772"/>
      <c r="P5" s="727" t="inlineStr">
        <is>
          <t xml:space="preserve">×</t>
        </is>
      </c>
    </row>
    <row r="6" customFormat="false" ht="23.25" hidden="false" customHeight="true" outlineLevel="0" collapsed="false">
      <c r="A6" s="763" t="inlineStr">
        <is>
          <t xml:space="preserve">13-G-041</t>
        </is>
      </c>
      <c r="B6" s="763"/>
      <c r="C6" s="773" t="inlineStr">
        <is>
          <t xml:space="preserve">● 소방전원보존형발전기는 이를 식별할 수 있는 표지 설치 여부</t>
        </is>
      </c>
      <c r="D6" s="773"/>
      <c r="E6" s="773"/>
      <c r="F6" s="773"/>
      <c r="G6" s="773"/>
      <c r="H6" s="773"/>
      <c r="I6" s="773"/>
      <c r="J6" s="772"/>
      <c r="K6" s="772"/>
    </row>
    <row r="7" customFormat="false" ht="31.5" hidden="false" customHeight="true" outlineLevel="0" collapsed="false">
      <c r="A7" s="778" t="inlineStr">
        <is>
          <t xml:space="preserve">* 펌프성능시험(펌프 명판 및 설계치 참조)</t>
        </is>
      </c>
      <c r="B7" s="778"/>
      <c r="C7" s="778"/>
      <c r="D7" s="778"/>
      <c r="E7" s="778"/>
      <c r="F7" s="778"/>
      <c r="G7" s="778"/>
      <c r="H7" s="778"/>
      <c r="I7" s="778"/>
      <c r="J7" s="778"/>
      <c r="K7" s="778"/>
    </row>
    <row r="8" customFormat="false" ht="31.5" hidden="false" customHeight="true" outlineLevel="0" collapsed="false">
      <c r="A8" s="779" t="inlineStr">
        <is>
          <t xml:space="preserve">구분</t>
        </is>
      </c>
      <c r="B8" s="779"/>
      <c r="C8" s="779"/>
      <c r="D8" s="780" t="inlineStr">
        <is>
          <t xml:space="preserve">체절운전</t>
        </is>
      </c>
      <c r="E8" s="781" t="inlineStr">
        <is>
          <t xml:space="preserve">정격운전
(100%)</t>
        </is>
      </c>
      <c r="F8" s="781" t="inlineStr">
        <is>
          <t xml:space="preserve">정격유량의
150%운전</t>
        </is>
      </c>
      <c r="G8" s="781"/>
      <c r="H8" s="782" t="inlineStr">
        <is>
          <t xml:space="preserve">적   정   여   부</t>
        </is>
      </c>
      <c r="I8" s="782"/>
      <c r="J8" s="783" t="inlineStr">
        <is>
          <t xml:space="preserve">o 설정압력:
o 주펌프
기동:        MPa
정지:        MPa
o 예비펌프
기동:        MPa
정지:        MPa 
o 충압펌프
기동:        MPa
정지:        MPa</t>
        </is>
      </c>
      <c r="K8" s="783"/>
    </row>
    <row r="9" customFormat="false" ht="31.5" hidden="false" customHeight="true" outlineLevel="0" collapsed="false">
      <c r="A9" s="784" t="inlineStr">
        <is>
          <t xml:space="preserve">토출량
(ℓ/min)</t>
        </is>
      </c>
      <c r="B9" s="784"/>
      <c r="C9" s="781" t="inlineStr">
        <is>
          <t xml:space="preserve">주</t>
        </is>
      </c>
      <c r="D9" s="785"/>
      <c r="E9" s="786"/>
      <c r="F9" s="787"/>
      <c r="G9" s="787"/>
      <c r="H9" s="788" t="inlineStr">
        <is>
          <t xml:space="preserve">1. 체절운전시 토출압은 
  정격토출압의 140% 이하 (   )
2. 정격운전시 토출량과 
  토출압이 규정치 이상(   )
3. 정격토출량 150%에서 토출압이 
  정격토출압의 65%이상 (   )</t>
        </is>
      </c>
      <c r="I9" s="788"/>
      <c r="J9" s="783"/>
      <c r="K9" s="783"/>
    </row>
    <row r="10" customFormat="false" ht="31.5" hidden="false" customHeight="true" outlineLevel="0" collapsed="false">
      <c r="A10" s="784"/>
      <c r="B10" s="784"/>
      <c r="C10" s="781" t="inlineStr">
        <is>
          <t xml:space="preserve">예비</t>
        </is>
      </c>
      <c r="D10" s="785"/>
      <c r="E10" s="789"/>
      <c r="F10" s="789"/>
      <c r="G10" s="789"/>
      <c r="H10" s="788"/>
      <c r="I10" s="788"/>
      <c r="J10" s="783"/>
      <c r="K10" s="783"/>
    </row>
    <row r="11" customFormat="false" ht="31.5" hidden="false" customHeight="true" outlineLevel="0" collapsed="false">
      <c r="A11" s="784" t="inlineStr">
        <is>
          <t xml:space="preserve">토출압
(MPa)</t>
        </is>
      </c>
      <c r="B11" s="784"/>
      <c r="C11" s="781" t="inlineStr">
        <is>
          <t xml:space="preserve">주</t>
        </is>
      </c>
      <c r="D11" s="785"/>
      <c r="E11" s="786"/>
      <c r="F11" s="787"/>
      <c r="G11" s="787"/>
      <c r="H11" s="788"/>
      <c r="I11" s="788"/>
      <c r="J11" s="783"/>
      <c r="K11" s="783"/>
    </row>
    <row r="12" customFormat="false" ht="31.5" hidden="false" customHeight="true" outlineLevel="0" collapsed="false">
      <c r="A12" s="784"/>
      <c r="B12" s="784"/>
      <c r="C12" s="781" t="inlineStr">
        <is>
          <t xml:space="preserve">예비</t>
        </is>
      </c>
      <c r="D12" s="785"/>
      <c r="E12" s="789"/>
      <c r="F12" s="789"/>
      <c r="G12" s="789"/>
      <c r="H12" s="788"/>
      <c r="I12" s="788"/>
      <c r="J12" s="783"/>
      <c r="K12" s="783"/>
    </row>
    <row r="13" customFormat="false" ht="31.5" hidden="false" customHeight="true" outlineLevel="0" collapsed="false">
      <c r="A13" s="790" t="inlineStr">
        <is>
          <t xml:space="preserve">* 릴리프밸브 작동 압력 :  /  MPa</t>
        </is>
      </c>
      <c r="B13" s="790"/>
      <c r="C13" s="790"/>
      <c r="D13" s="790"/>
      <c r="E13" s="790"/>
      <c r="F13" s="790"/>
      <c r="G13" s="790"/>
      <c r="H13" s="790"/>
      <c r="I13" s="790"/>
      <c r="J13" s="790"/>
      <c r="K13" s="790"/>
    </row>
    <row r="14" customFormat="false" ht="48" hidden="false" customHeight="true" outlineLevel="0" collapsed="false">
      <c r="A14" s="791" t="inlineStr">
        <is>
          <t xml:space="preserve">비고</t>
        </is>
      </c>
      <c r="B14" s="791"/>
      <c r="C14" s="792"/>
      <c r="D14" s="792"/>
      <c r="E14" s="792"/>
      <c r="F14" s="792"/>
      <c r="G14" s="792"/>
      <c r="H14" s="792"/>
      <c r="I14" s="792"/>
      <c r="J14" s="792"/>
      <c r="K14" s="792"/>
    </row>
    <row r="15" customFormat="false" ht="30" hidden="false" customHeight="true" outlineLevel="0" collapsed="false"/>
  </sheetData>
  <mergeCells count="31">
    <mergeCell ref="A1:K1"/>
    <mergeCell ref="A2:B2"/>
    <mergeCell ref="C2:I2"/>
    <mergeCell ref="J2:K2"/>
    <mergeCell ref="A3:B3"/>
    <mergeCell ref="C3:I3"/>
    <mergeCell ref="J3:K3"/>
    <mergeCell ref="A4:B4"/>
    <mergeCell ref="C4:I4"/>
    <mergeCell ref="J4:K4"/>
    <mergeCell ref="A5:B5"/>
    <mergeCell ref="C5:I5"/>
    <mergeCell ref="J5:K5"/>
    <mergeCell ref="A6:B6"/>
    <mergeCell ref="C6:I6"/>
    <mergeCell ref="J6:K6"/>
    <mergeCell ref="A7:K7"/>
    <mergeCell ref="A8:C8"/>
    <mergeCell ref="F8:G8"/>
    <mergeCell ref="H8:I8"/>
    <mergeCell ref="J8:K12"/>
    <mergeCell ref="A9:B10"/>
    <mergeCell ref="F9:G9"/>
    <mergeCell ref="H9:I12"/>
    <mergeCell ref="F10:G10"/>
    <mergeCell ref="A11:B12"/>
    <mergeCell ref="F11:G11"/>
    <mergeCell ref="F12:G12"/>
    <mergeCell ref="A13:K13"/>
    <mergeCell ref="A14:B14"/>
    <mergeCell ref="C14:K14"/>
  </mergeCells>
  <dataValidations count="1">
    <dataValidation allowBlank="true" errorStyle="stop" operator="between" showDropDown="false" showErrorMessage="true" showInputMessage="false" sqref="J4:K4 J6:K6" type="list">
      <formula1>$P$3:$P$5</formula1>
      <formula2>0</formula2>
    </dataValidation>
  </dataValidations>
  <printOptions headings="false" gridLines="false" gridLinesSet="true" horizontalCentered="false" verticalCentered="false"/>
  <pageMargins left="0.32" right="0.15748031496062992" top="0.29" bottom="0.39" header="0.27" footer="0.3937007874015748"/>
  <pageSetup paperSize="9" scale="10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4" activeCellId="0" sqref="H4:H6"/>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14. 비상경보설비 및 단독경보형감지기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14-A. 비상경보설비</t>
        </is>
      </c>
      <c r="B3" s="759"/>
      <c r="C3" s="759"/>
    </row>
    <row r="4" customFormat="false" ht="21.75" hidden="false" customHeight="true" outlineLevel="0" collapsed="false">
      <c r="A4" s="795" t="inlineStr">
        <is>
          <t xml:space="preserve">14-A-001</t>
        </is>
      </c>
      <c r="B4" s="796" t="inlineStr">
        <is>
          <t xml:space="preserve">○ 수신기 설치장소 적정(관리용이) 및 스위치 정상 위치 여부</t>
        </is>
      </c>
      <c r="C4" s="737"/>
      <c r="D4" s="728"/>
      <c r="E4" s="728"/>
      <c r="F4" s="728"/>
      <c r="G4" s="728"/>
      <c r="H4" s="727" t="inlineStr">
        <is>
          <t xml:space="preserve">○</t>
        </is>
      </c>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14-A-002</t>
        </is>
      </c>
      <c r="B5" s="746" t="inlineStr">
        <is>
          <t xml:space="preserve">○ 수신기 상용전원 공급 및 전원표시등 정상점등 여부</t>
        </is>
      </c>
      <c r="C5" s="737"/>
      <c r="D5" s="728"/>
      <c r="E5" s="728"/>
      <c r="F5" s="728"/>
      <c r="G5" s="728"/>
      <c r="H5" s="727" t="inlineStr">
        <is>
          <t xml:space="preserve">/</t>
        </is>
      </c>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14-A-003</t>
        </is>
      </c>
      <c r="B6" s="852" t="inlineStr">
        <is>
          <t xml:space="preserve">○ 예비전원(축전지) 상태 적정 여부(상시 충전, 상용전원 차단 시 자동절환)</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14-A-004</t>
        </is>
      </c>
      <c r="B7" s="746" t="inlineStr">
        <is>
          <t xml:space="preserve">○ 지구음향장치 설치기준 적합 여부</t>
        </is>
      </c>
      <c r="C7" s="73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14-A-005</t>
        </is>
      </c>
      <c r="B8" s="746" t="inlineStr">
        <is>
          <t xml:space="preserve">○ 음향장치(경종 등) 변형·손상 확인 및 정상 작동(음량 포함) 여부</t>
        </is>
      </c>
      <c r="C8" s="73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14-A-006</t>
        </is>
      </c>
      <c r="B9" s="746" t="inlineStr">
        <is>
          <t xml:space="preserve">○ 발신기 설치 장소, 위치(수평거리) 및 높이 적정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14-A-007</t>
        </is>
      </c>
      <c r="B10" s="746" t="inlineStr">
        <is>
          <t xml:space="preserve">○ 발신기 변형·손상 확인 및 정상 작동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9" t="inlineStr">
        <is>
          <t xml:space="preserve">14-A-008</t>
        </is>
      </c>
      <c r="B11" s="800" t="inlineStr">
        <is>
          <t xml:space="preserve">○ 위치표시등 변형·손상 확인 및 정상 점등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4" hidden="false" customHeight="true" outlineLevel="0" collapsed="false">
      <c r="A12" s="842" t="inlineStr">
        <is>
          <t xml:space="preserve"> 14-B. 단독경보형감지기</t>
        </is>
      </c>
      <c r="B12" s="842"/>
      <c r="C12" s="842"/>
    </row>
    <row r="13" customFormat="false" ht="21.75" hidden="false" customHeight="true" outlineLevel="0" collapsed="false">
      <c r="A13" s="795" t="inlineStr">
        <is>
          <t xml:space="preserve">14-B-001</t>
        </is>
      </c>
      <c r="B13" s="796" t="inlineStr">
        <is>
          <t xml:space="preserve">○ 설치 위치(각 실, 바닥면적 기준 추가설치, 최상층 계단실) 적정 여부</t>
        </is>
      </c>
      <c r="C13" s="734"/>
    </row>
    <row r="14" customFormat="false" ht="21.75" hidden="false" customHeight="true" outlineLevel="0" collapsed="false">
      <c r="A14" s="798" t="inlineStr">
        <is>
          <t xml:space="preserve">14-B-002</t>
        </is>
      </c>
      <c r="B14" s="746" t="inlineStr">
        <is>
          <t xml:space="preserve">○ 감지기의 변형 또는 손상이 있는지 여부</t>
        </is>
      </c>
      <c r="C14" s="734"/>
    </row>
    <row r="15" customFormat="false" ht="21.75" hidden="false" customHeight="true" outlineLevel="0" collapsed="false">
      <c r="A15" s="799" t="inlineStr">
        <is>
          <t xml:space="preserve">14-B-003</t>
        </is>
      </c>
      <c r="B15" s="853" t="inlineStr">
        <is>
          <t xml:space="preserve">○ 정상적인 감시상태를 유지하고 있는지 여부(시험작동 포함)</t>
        </is>
      </c>
      <c r="C15" s="734"/>
    </row>
    <row r="16" customFormat="false" ht="34.5" hidden="false" customHeight="true" outlineLevel="0" collapsed="false">
      <c r="A16" s="764" t="inlineStr">
        <is>
          <t xml:space="preserve">비고</t>
        </is>
      </c>
      <c r="B16" s="820"/>
      <c r="C16" s="820"/>
    </row>
  </sheetData>
  <mergeCells count="4">
    <mergeCell ref="A1:C1"/>
    <mergeCell ref="A3:C3"/>
    <mergeCell ref="A12:C12"/>
    <mergeCell ref="B16:C16"/>
  </mergeCells>
  <dataValidations count="2">
    <dataValidation allowBlank="true" errorStyle="stop" operator="between" showDropDown="false" showErrorMessage="true" showInputMessage="false" sqref="H4:H6" type="list">
      <formula1>$C$4:$C$11</formula1>
      <formula2>0</formula2>
    </dataValidation>
    <dataValidation allowBlank="true" errorStyle="stop" operator="between" showDropDown="false" showErrorMessage="true" showInputMessage="false" sqref="C4:C11 C13:C15" type="list">
      <formula1>$H$4:$H$6</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H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15. 자동화재탐지설비 및 시각경보장치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15-A. 경계구역</t>
        </is>
      </c>
      <c r="B3" s="759"/>
      <c r="C3" s="759"/>
    </row>
    <row r="4" customFormat="false" ht="21.75" hidden="false" customHeight="true" outlineLevel="0" collapsed="false">
      <c r="A4" s="795" t="inlineStr">
        <is>
          <t xml:space="preserve">15-A-001</t>
        </is>
      </c>
      <c r="B4" s="796" t="inlineStr">
        <is>
          <t xml:space="preserve">● 경계구역 구분 적정 여부</t>
        </is>
      </c>
      <c r="C4" s="744"/>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9" t="inlineStr">
        <is>
          <t xml:space="preserve">15-A-002</t>
        </is>
      </c>
      <c r="B5" s="800" t="inlineStr">
        <is>
          <t xml:space="preserve">● 감지기를 공유하는 경우 스프링클러·물분무소화·제연설비 경계구역 일치 여부</t>
        </is>
      </c>
      <c r="C5" s="843"/>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4" hidden="false" customHeight="true" outlineLevel="0" collapsed="false">
      <c r="A6" s="842" t="inlineStr">
        <is>
          <t xml:space="preserve"> 15-B. 수신기</t>
        </is>
      </c>
      <c r="B6" s="842"/>
      <c r="C6" s="842"/>
    </row>
    <row r="7" customFormat="false" ht="21.75" hidden="false" customHeight="true" outlineLevel="0" collapsed="false">
      <c r="A7" s="795" t="inlineStr">
        <is>
          <t xml:space="preserve">15-B-001</t>
        </is>
      </c>
      <c r="B7" s="796" t="inlineStr">
        <is>
          <t xml:space="preserve">○ 수신기 설치장소 적정(관리용이)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15-B-002</t>
        </is>
      </c>
      <c r="B8" s="746" t="inlineStr">
        <is>
          <t xml:space="preserve">○ 조작스위치의 높이는 적정하며 정상 위치에 있는지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15-B-003</t>
        </is>
      </c>
      <c r="B9" s="746" t="inlineStr">
        <is>
          <t xml:space="preserve">● 개별 경계구역 표시 가능 회선수 확보 여부</t>
        </is>
      </c>
      <c r="C9" s="734"/>
      <c r="D9" s="728"/>
      <c r="E9" s="728"/>
      <c r="F9" s="728"/>
      <c r="G9" s="728"/>
      <c r="H9" s="727" t="inlineStr">
        <is>
          <t xml:space="preserve">×</t>
        </is>
      </c>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15-B-004</t>
        </is>
      </c>
      <c r="B10" s="746" t="inlineStr">
        <is>
          <t xml:space="preserve">● 축적기능 보유 여부(환기·면적·높이 조건 해당할 경우)</t>
        </is>
      </c>
      <c r="C10" s="734"/>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15-B-005</t>
        </is>
      </c>
      <c r="B11" s="746" t="inlineStr">
        <is>
          <t xml:space="preserve">○ 경계구역 일람도 비치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15-B-006</t>
        </is>
      </c>
      <c r="B12" s="746" t="inlineStr">
        <is>
          <t xml:space="preserve">○ 수신기 음향기구의 음량․음색 구별 가능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15-B-007</t>
        </is>
      </c>
      <c r="B13" s="746" t="inlineStr">
        <is>
          <t xml:space="preserve">● 감지기·중계기·발신기 작동 경계구역 표시 여부(종합방재반 연동 포함)</t>
        </is>
      </c>
      <c r="C13" s="734"/>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8" t="inlineStr">
        <is>
          <t xml:space="preserve">15-B-008</t>
        </is>
      </c>
      <c r="B14" s="746" t="inlineStr">
        <is>
          <t xml:space="preserve">● 1개 경계구역 1개 표시등 또는 문자 표시 여부</t>
        </is>
      </c>
      <c r="C14" s="734"/>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1.75" hidden="false" customHeight="true" outlineLevel="0" collapsed="false">
      <c r="A15" s="799" t="inlineStr">
        <is>
          <t xml:space="preserve">15-B-009</t>
        </is>
      </c>
      <c r="B15" s="800" t="inlineStr">
        <is>
          <t xml:space="preserve">● 하나의 대상물에 수신기가 2 이상 설치된 경우 상호 연동되는지 여부</t>
        </is>
      </c>
      <c r="C15" s="734"/>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24" hidden="false" customHeight="true" outlineLevel="0" collapsed="false">
      <c r="A16" s="842" t="inlineStr">
        <is>
          <t xml:space="preserve"> 15-C. 중계기</t>
        </is>
      </c>
      <c r="B16" s="842"/>
      <c r="C16" s="842"/>
    </row>
    <row r="17" customFormat="false" ht="21.75" hidden="false" customHeight="true" outlineLevel="0" collapsed="false">
      <c r="A17" s="795" t="inlineStr">
        <is>
          <t xml:space="preserve">15-C-001</t>
        </is>
      </c>
      <c r="B17" s="796" t="inlineStr">
        <is>
          <t xml:space="preserve">● 중계기 설치위치 적정 여부(수신기에서 감지기회로 도통시험하지 않는 경우)</t>
        </is>
      </c>
      <c r="C17" s="737"/>
    </row>
    <row r="18" customFormat="false" ht="21.75" hidden="false" customHeight="true" outlineLevel="0" collapsed="false">
      <c r="A18" s="798" t="inlineStr">
        <is>
          <t xml:space="preserve">15-C-002</t>
        </is>
      </c>
      <c r="B18" s="746" t="inlineStr">
        <is>
          <t xml:space="preserve">● 설치 장소(조작·점검 편의성, 화재·침수 피해 우려) 적정 여부</t>
        </is>
      </c>
      <c r="C18" s="734"/>
    </row>
    <row r="19" customFormat="false" ht="21.75" hidden="false" customHeight="true" outlineLevel="0" collapsed="false">
      <c r="A19" s="798" t="inlineStr">
        <is>
          <t xml:space="preserve">15-C-003</t>
        </is>
      </c>
      <c r="B19" s="746" t="inlineStr">
        <is>
          <t xml:space="preserve">● 전원입력 측 배선 상 과전류차단기 설치 여부</t>
        </is>
      </c>
      <c r="C19" s="734"/>
    </row>
    <row r="20" customFormat="false" ht="21.75" hidden="false" customHeight="true" outlineLevel="0" collapsed="false">
      <c r="A20" s="798" t="inlineStr">
        <is>
          <t xml:space="preserve">15-C-004</t>
        </is>
      </c>
      <c r="B20" s="746" t="inlineStr">
        <is>
          <t xml:space="preserve">● 중계기 전원 정전 시 수신기 표시 여부</t>
        </is>
      </c>
      <c r="C20" s="734"/>
    </row>
    <row r="21" customFormat="false" ht="21.75" hidden="false" customHeight="true" outlineLevel="0" collapsed="false">
      <c r="A21" s="799" t="inlineStr">
        <is>
          <t xml:space="preserve">15-C-005</t>
        </is>
      </c>
      <c r="B21" s="800" t="inlineStr">
        <is>
          <t xml:space="preserve">● 상용전원 및 예비전원 시험 적정 여부</t>
        </is>
      </c>
      <c r="C21" s="734"/>
    </row>
    <row r="22" customFormat="false" ht="21.75" hidden="false" customHeight="true" outlineLevel="0" collapsed="false">
      <c r="A22" s="842" t="inlineStr">
        <is>
          <t xml:space="preserve"> 15-D. 감지기</t>
        </is>
      </c>
      <c r="B22" s="842"/>
      <c r="C22" s="842"/>
    </row>
    <row r="23" customFormat="false" ht="21.75" hidden="false" customHeight="true" outlineLevel="0" collapsed="false">
      <c r="A23" s="795" t="inlineStr">
        <is>
          <t xml:space="preserve">15-D-001</t>
        </is>
      </c>
      <c r="B23" s="796" t="inlineStr">
        <is>
          <t xml:space="preserve">● 부착 높이 및 장소별 감지기 종류 적정 여부</t>
        </is>
      </c>
      <c r="C23" s="737"/>
    </row>
    <row r="24" customFormat="false" ht="21.75" hidden="false" customHeight="true" outlineLevel="0" collapsed="false">
      <c r="A24" s="798" t="inlineStr">
        <is>
          <t xml:space="preserve">15-D-002</t>
        </is>
      </c>
      <c r="B24" s="746" t="inlineStr">
        <is>
          <t xml:space="preserve">● 특정 장소(환기불량, 면적협소, 저층고)에 적응성이 있는 감지기 설치 여부</t>
        </is>
      </c>
      <c r="C24" s="734"/>
    </row>
    <row r="25" customFormat="false" ht="21.75" hidden="false" customHeight="true" outlineLevel="0" collapsed="false">
      <c r="A25" s="798" t="inlineStr">
        <is>
          <t xml:space="preserve">15-D-003</t>
        </is>
      </c>
      <c r="B25" s="746" t="inlineStr">
        <is>
          <t xml:space="preserve">○ 연기감지기 설치장소 적정 설치 여부</t>
        </is>
      </c>
      <c r="C25" s="734"/>
    </row>
    <row r="26" customFormat="false" ht="21.75" hidden="false" customHeight="true" outlineLevel="0" collapsed="false">
      <c r="A26" s="798" t="inlineStr">
        <is>
          <t xml:space="preserve">15-D-004</t>
        </is>
      </c>
      <c r="B26" s="746" t="inlineStr">
        <is>
          <t xml:space="preserve">● 감지기와 실내로의 공기유입구 간 이격거리 적정 여부</t>
        </is>
      </c>
      <c r="C26" s="734"/>
    </row>
    <row r="27" customFormat="false" ht="21.75" hidden="false" customHeight="true" outlineLevel="0" collapsed="false">
      <c r="A27" s="798" t="inlineStr">
        <is>
          <t xml:space="preserve">15-D-005</t>
        </is>
      </c>
      <c r="B27" s="746" t="inlineStr">
        <is>
          <t xml:space="preserve">● 감지기 부착면 적정 여부</t>
        </is>
      </c>
      <c r="C27" s="734"/>
    </row>
    <row r="28" customFormat="false" ht="21.75" hidden="false" customHeight="true" outlineLevel="0" collapsed="false">
      <c r="A28" s="798" t="inlineStr">
        <is>
          <t xml:space="preserve">15-D-006</t>
        </is>
      </c>
      <c r="B28" s="746" t="inlineStr">
        <is>
          <t xml:space="preserve">○ 감지기 설치(감지면적 및 배치거리) 적정 여부</t>
        </is>
      </c>
      <c r="C28" s="734"/>
    </row>
    <row r="29" customFormat="false" ht="21.75" hidden="false" customHeight="true" outlineLevel="0" collapsed="false">
      <c r="A29" s="798" t="inlineStr">
        <is>
          <t xml:space="preserve">15-D-007</t>
        </is>
      </c>
      <c r="B29" s="746" t="inlineStr">
        <is>
          <t xml:space="preserve">● 감지기별 세부 설치기준 적합 여부</t>
        </is>
      </c>
      <c r="C29" s="734"/>
    </row>
    <row r="30" customFormat="false" ht="21.75" hidden="false" customHeight="true" outlineLevel="0" collapsed="false">
      <c r="A30" s="798" t="inlineStr">
        <is>
          <t xml:space="preserve">15-D-008</t>
        </is>
      </c>
      <c r="B30" s="746" t="inlineStr">
        <is>
          <t xml:space="preserve">● 감지기 설치제외 장소 적합 여부</t>
        </is>
      </c>
      <c r="C30" s="734"/>
    </row>
    <row r="31" customFormat="false" ht="21.75" hidden="false" customHeight="true" outlineLevel="0" collapsed="false">
      <c r="A31" s="799" t="inlineStr">
        <is>
          <t xml:space="preserve">15-D-009</t>
        </is>
      </c>
      <c r="B31" s="800" t="inlineStr">
        <is>
          <t xml:space="preserve">○ 감지기 변형·손상 확인 및 작동시험 적합 여부</t>
        </is>
      </c>
      <c r="C31" s="734"/>
    </row>
    <row r="32" customFormat="false" ht="21.75" hidden="false" customHeight="true" outlineLevel="0" collapsed="false">
      <c r="A32" s="842" t="inlineStr">
        <is>
          <t xml:space="preserve"> 15-E. 음향장치</t>
        </is>
      </c>
      <c r="B32" s="842"/>
      <c r="C32" s="842"/>
    </row>
    <row r="33" customFormat="false" ht="21.75" hidden="false" customHeight="true" outlineLevel="0" collapsed="false">
      <c r="A33" s="795" t="inlineStr">
        <is>
          <t xml:space="preserve">15-E-001</t>
        </is>
      </c>
      <c r="B33" s="796" t="inlineStr">
        <is>
          <t xml:space="preserve">○ 주음향장치 및 지구음향장치 설치 적정 여부</t>
        </is>
      </c>
      <c r="C33" s="734"/>
    </row>
    <row r="34" customFormat="false" ht="21.75" hidden="false" customHeight="true" outlineLevel="0" collapsed="false">
      <c r="A34" s="798" t="inlineStr">
        <is>
          <t xml:space="preserve">15-E-002</t>
        </is>
      </c>
      <c r="B34" s="746" t="inlineStr">
        <is>
          <t xml:space="preserve">○ 음향장치(경종 등) 변형·손상 확인 및 정상 작동(음량 포함) 여부</t>
        </is>
      </c>
      <c r="C34" s="734"/>
    </row>
    <row r="35" customFormat="false" ht="21.75" hidden="false" customHeight="true" outlineLevel="0" collapsed="false">
      <c r="A35" s="824" t="inlineStr">
        <is>
          <t xml:space="preserve">15-E-003</t>
        </is>
      </c>
      <c r="B35" s="825" t="inlineStr">
        <is>
          <t xml:space="preserve">● 우선경보 기능 정상작동 여부</t>
        </is>
      </c>
      <c r="C35" s="754"/>
    </row>
  </sheetData>
  <mergeCells count="6">
    <mergeCell ref="A1:C1"/>
    <mergeCell ref="A3:C3"/>
    <mergeCell ref="A6:C6"/>
    <mergeCell ref="A16:C16"/>
    <mergeCell ref="A22:C22"/>
    <mergeCell ref="A32:C32"/>
  </mergeCells>
  <dataValidations count="2">
    <dataValidation allowBlank="true" errorStyle="stop" operator="between" showDropDown="false" showErrorMessage="true" showInputMessage="false" sqref="H7:H9" type="list">
      <formula1>$C$4:$C$11</formula1>
      <formula2>0</formula2>
    </dataValidation>
    <dataValidation allowBlank="true" errorStyle="stop" operator="between" showDropDown="false" showErrorMessage="true" showInputMessage="false" sqref="C4:C5 C7:C15 C17:C21 C23:C31 C33:C35" type="list">
      <formula1>$H$7:$H$9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H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15-F. 시각경보장치</t>
        </is>
      </c>
      <c r="B3" s="759"/>
      <c r="C3" s="759"/>
    </row>
    <row r="4" customFormat="false" ht="21.75" hidden="false" customHeight="true" outlineLevel="0" collapsed="false">
      <c r="A4" s="795" t="inlineStr">
        <is>
          <t xml:space="preserve">15-F-001</t>
        </is>
      </c>
      <c r="B4" s="796" t="inlineStr">
        <is>
          <t xml:space="preserve">○ 시각경보장치 설치 장소 및 높이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9" t="inlineStr">
        <is>
          <t xml:space="preserve">15-F-002</t>
        </is>
      </c>
      <c r="B5" s="800" t="inlineStr">
        <is>
          <t xml:space="preserve">○ 시각경보장치 변형·손상 확인 및 정상 작동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4" hidden="false" customHeight="true" outlineLevel="0" collapsed="false">
      <c r="A6" s="842" t="inlineStr">
        <is>
          <t xml:space="preserve"> 15-G. 발신기</t>
        </is>
      </c>
      <c r="B6" s="842"/>
      <c r="C6" s="842"/>
    </row>
    <row r="7" customFormat="false" ht="21.75" hidden="false" customHeight="true" outlineLevel="0" collapsed="false">
      <c r="A7" s="795" t="inlineStr">
        <is>
          <t xml:space="preserve">15-G-001</t>
        </is>
      </c>
      <c r="B7" s="796" t="inlineStr">
        <is>
          <t xml:space="preserve">○ 발신기 설치 장소, 위치(수평거리) 및 높이 적정 여부</t>
        </is>
      </c>
      <c r="C7" s="734"/>
      <c r="H7" s="727" t="inlineStr">
        <is>
          <t xml:space="preserve">○</t>
        </is>
      </c>
    </row>
    <row r="8" customFormat="false" ht="21.75" hidden="false" customHeight="true" outlineLevel="0" collapsed="false">
      <c r="A8" s="798" t="inlineStr">
        <is>
          <t xml:space="preserve">15-G-002</t>
        </is>
      </c>
      <c r="B8" s="746" t="inlineStr">
        <is>
          <t xml:space="preserve">○ 발신기 변형·손상 확인 및 정상 작동 여부</t>
        </is>
      </c>
      <c r="C8" s="734"/>
      <c r="H8" s="727" t="inlineStr">
        <is>
          <t xml:space="preserve">/</t>
        </is>
      </c>
    </row>
    <row r="9" customFormat="false" ht="21.75" hidden="false" customHeight="true" outlineLevel="0" collapsed="false">
      <c r="A9" s="799" t="inlineStr">
        <is>
          <t xml:space="preserve">15-G-003</t>
        </is>
      </c>
      <c r="B9" s="800" t="inlineStr">
        <is>
          <t xml:space="preserve">○ 위치표시등 변형·손상 확인 및 정상 점등 여부</t>
        </is>
      </c>
      <c r="C9" s="734"/>
      <c r="H9" s="727" t="inlineStr">
        <is>
          <t xml:space="preserve">×</t>
        </is>
      </c>
    </row>
    <row r="10" customFormat="false" ht="24" hidden="false" customHeight="true" outlineLevel="0" collapsed="false">
      <c r="A10" s="842" t="inlineStr">
        <is>
          <t xml:space="preserve"> 15-H. 전원</t>
        </is>
      </c>
      <c r="B10" s="842"/>
      <c r="C10" s="842"/>
    </row>
    <row r="11" customFormat="false" ht="21.75" hidden="false" customHeight="true" outlineLevel="0" collapsed="false">
      <c r="A11" s="795" t="inlineStr">
        <is>
          <t xml:space="preserve">15-H-001</t>
        </is>
      </c>
      <c r="B11" s="796" t="inlineStr">
        <is>
          <t xml:space="preserve">○ 상용전원 적정 여부</t>
        </is>
      </c>
      <c r="C11" s="734"/>
    </row>
    <row r="12" customFormat="false" ht="21.75" hidden="false" customHeight="true" outlineLevel="0" collapsed="false">
      <c r="A12" s="799" t="inlineStr">
        <is>
          <t xml:space="preserve">15-H-002</t>
        </is>
      </c>
      <c r="B12" s="800" t="inlineStr">
        <is>
          <t xml:space="preserve">○ 예비전원 성능 적정 및 상용전원 차단 시 예비전원 자동전환 여부</t>
        </is>
      </c>
      <c r="C12" s="734"/>
    </row>
    <row r="13" customFormat="false" ht="24" hidden="false" customHeight="true" outlineLevel="0" collapsed="false">
      <c r="A13" s="842" t="inlineStr">
        <is>
          <t xml:space="preserve"> 15-I. 배선</t>
        </is>
      </c>
      <c r="B13" s="842"/>
      <c r="C13" s="842"/>
    </row>
    <row r="14" customFormat="false" ht="21.75" hidden="false" customHeight="true" outlineLevel="0" collapsed="false">
      <c r="A14" s="795" t="inlineStr">
        <is>
          <t xml:space="preserve">15-I-001</t>
        </is>
      </c>
      <c r="B14" s="796" t="inlineStr">
        <is>
          <t xml:space="preserve">● 종단저항 설치 장소, 위치 및 높이 적정 여부</t>
        </is>
      </c>
      <c r="C14" s="737"/>
    </row>
    <row r="15" customFormat="false" ht="21.75" hidden="false" customHeight="true" outlineLevel="0" collapsed="false">
      <c r="A15" s="798" t="inlineStr">
        <is>
          <t xml:space="preserve">15-I-002</t>
        </is>
      </c>
      <c r="B15" s="746" t="inlineStr">
        <is>
          <t xml:space="preserve">● 종단저항 표지 부착 여부(종단감지기에 설치할 경우)</t>
        </is>
      </c>
      <c r="C15" s="734"/>
    </row>
    <row r="16" customFormat="false" ht="21.75" hidden="false" customHeight="true" outlineLevel="0" collapsed="false">
      <c r="A16" s="798" t="inlineStr">
        <is>
          <t xml:space="preserve">15-I-003</t>
        </is>
      </c>
      <c r="B16" s="746" t="inlineStr">
        <is>
          <t xml:space="preserve">○ 수신기 도통시험 회로 정상 여부</t>
        </is>
      </c>
      <c r="C16" s="734"/>
    </row>
    <row r="17" customFormat="false" ht="21.75" hidden="false" customHeight="true" outlineLevel="0" collapsed="false">
      <c r="A17" s="798" t="inlineStr">
        <is>
          <t xml:space="preserve">15-I-004</t>
        </is>
      </c>
      <c r="B17" s="746" t="inlineStr">
        <is>
          <t xml:space="preserve">● 감지기회로 송배전식 적용 여부</t>
        </is>
      </c>
      <c r="C17" s="734"/>
    </row>
    <row r="18" customFormat="false" ht="21.75" hidden="false" customHeight="true" outlineLevel="0" collapsed="false">
      <c r="A18" s="799" t="inlineStr">
        <is>
          <t xml:space="preserve">15-I-005</t>
        </is>
      </c>
      <c r="B18" s="800" t="inlineStr">
        <is>
          <t xml:space="preserve">● 1개 공통선 접속 경계구역 수량 적정 여부(P형 또는 GP형의 경우)</t>
        </is>
      </c>
      <c r="C18" s="734"/>
    </row>
    <row r="19" customFormat="false" ht="34.5" hidden="false" customHeight="true" outlineLevel="0" collapsed="false">
      <c r="A19" s="764" t="inlineStr">
        <is>
          <t xml:space="preserve">비고</t>
        </is>
      </c>
      <c r="B19" s="820"/>
      <c r="C19" s="820"/>
    </row>
  </sheetData>
  <mergeCells count="6">
    <mergeCell ref="A1:C1"/>
    <mergeCell ref="A3:C3"/>
    <mergeCell ref="A6:C6"/>
    <mergeCell ref="A10:C10"/>
    <mergeCell ref="A13:C13"/>
    <mergeCell ref="B19:C19"/>
  </mergeCells>
  <dataValidations count="2">
    <dataValidation allowBlank="true" errorStyle="stop" operator="between" showDropDown="false" showErrorMessage="true" showInputMessage="false" sqref="H7:H9" type="list">
      <formula1>$C$4:$C$11</formula1>
      <formula2>0</formula2>
    </dataValidation>
    <dataValidation allowBlank="true" errorStyle="stop" operator="between" showDropDown="false" showErrorMessage="true" showInputMessage="false" sqref="C4:C5 C7:C9 C11:C12 C14:C18" type="list">
      <formula1>$H$7:$H$9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 activeCellId="0" sqref="H5:H7"/>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16. 비상방송설비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24" t="inlineStr">
        <is>
          <t xml:space="preserve"> 16-A. 음향장치</t>
        </is>
      </c>
      <c r="B3" s="724"/>
      <c r="C3" s="724"/>
    </row>
    <row r="4" customFormat="false" ht="21.75" hidden="false" customHeight="true" outlineLevel="0" collapsed="false">
      <c r="A4" s="798" t="inlineStr">
        <is>
          <t xml:space="preserve">16-A-001</t>
        </is>
      </c>
      <c r="B4" s="746" t="inlineStr">
        <is>
          <t xml:space="preserve">● 확성기 음성입력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16-A-002</t>
        </is>
      </c>
      <c r="B5" s="746" t="inlineStr">
        <is>
          <t xml:space="preserve">● 확성기 설치 적정(층마다 설치, 수평거리, 유효하게 경보) 여부</t>
        </is>
      </c>
      <c r="C5" s="734"/>
      <c r="D5" s="728"/>
      <c r="E5" s="728"/>
      <c r="F5" s="728"/>
      <c r="G5" s="728"/>
      <c r="H5" s="727" t="inlineStr">
        <is>
          <t xml:space="preserve">○</t>
        </is>
      </c>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16-A-003</t>
        </is>
      </c>
      <c r="B6" s="746" t="inlineStr">
        <is>
          <t xml:space="preserve">● 조작부 조작스위치 높이 적정 여부</t>
        </is>
      </c>
      <c r="C6" s="734"/>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16-A-004</t>
        </is>
      </c>
      <c r="B7" s="746" t="inlineStr">
        <is>
          <t xml:space="preserve">● 조작부 상 설비 작동층 또는 작동구역 표시 여부</t>
        </is>
      </c>
      <c r="C7" s="734"/>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16-A-005</t>
        </is>
      </c>
      <c r="B8" s="746" t="inlineStr">
        <is>
          <t xml:space="preserve">● 증폭기 및 조작부 설치 장소 적정 여부</t>
        </is>
      </c>
      <c r="C8" s="734"/>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16-A-006</t>
        </is>
      </c>
      <c r="B9" s="746" t="inlineStr">
        <is>
          <t xml:space="preserve">● 우선경보방식 적용 적정 여부</t>
        </is>
      </c>
      <c r="C9" s="734"/>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16-A-007</t>
        </is>
      </c>
      <c r="B10" s="746" t="inlineStr">
        <is>
          <t xml:space="preserve">● 겸용설비 성능 적정(화재 시 다른 설비 차단) 여부</t>
        </is>
      </c>
      <c r="C10" s="734"/>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16-A-008</t>
        </is>
      </c>
      <c r="B11" s="746" t="inlineStr">
        <is>
          <t xml:space="preserve">● 다른 전기회로에 의한 유도장애 발생 여부</t>
        </is>
      </c>
      <c r="C11" s="734"/>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16-A-009</t>
        </is>
      </c>
      <c r="B12" s="746" t="inlineStr">
        <is>
          <t xml:space="preserve">● 2 이상 조작부 설치 시 상호 동시통화 및 전 구역 방송 가능 여부</t>
        </is>
      </c>
      <c r="C12" s="734"/>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16-A-010</t>
        </is>
      </c>
      <c r="B13" s="746" t="inlineStr">
        <is>
          <t xml:space="preserve">● 화재신호 수신 후 방송개시 소요시간 적정 여부</t>
        </is>
      </c>
      <c r="C13" s="734"/>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9" t="inlineStr">
        <is>
          <t xml:space="preserve">16-A-011</t>
        </is>
      </c>
      <c r="B14" s="800" t="inlineStr">
        <is>
          <t xml:space="preserve">○ 자동화재탐지설비 작동과 연동하여 정상 작동 가능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4" hidden="false" customHeight="true" outlineLevel="0" collapsed="false">
      <c r="A15" s="842" t="inlineStr">
        <is>
          <t xml:space="preserve"> 16-B. 배선 등</t>
        </is>
      </c>
      <c r="B15" s="842"/>
      <c r="C15" s="842"/>
    </row>
    <row r="16" customFormat="false" ht="21.75" hidden="false" customHeight="true" outlineLevel="0" collapsed="false">
      <c r="A16" s="795" t="inlineStr">
        <is>
          <t xml:space="preserve">16-B-001</t>
        </is>
      </c>
      <c r="B16" s="796" t="inlineStr">
        <is>
          <t xml:space="preserve">● 음량조절기를 설치한 경우 3선식 배선 여부</t>
        </is>
      </c>
      <c r="C16" s="737"/>
    </row>
    <row r="17" customFormat="false" ht="21.75" hidden="false" customHeight="true" outlineLevel="0" collapsed="false">
      <c r="A17" s="799" t="inlineStr">
        <is>
          <t xml:space="preserve">16-B-002</t>
        </is>
      </c>
      <c r="B17" s="800" t="inlineStr">
        <is>
          <t xml:space="preserve">● 하나의 층에 단락, 단선 시 다른 층의 화재통보 적부</t>
        </is>
      </c>
      <c r="C17" s="737"/>
    </row>
    <row r="18" customFormat="false" ht="21.75" hidden="false" customHeight="true" outlineLevel="0" collapsed="false">
      <c r="A18" s="842" t="inlineStr">
        <is>
          <t xml:space="preserve"> 16-C. 전원</t>
        </is>
      </c>
      <c r="B18" s="842"/>
      <c r="C18" s="842"/>
    </row>
    <row r="19" customFormat="false" ht="21.75" hidden="false" customHeight="true" outlineLevel="0" collapsed="false">
      <c r="A19" s="795" t="inlineStr">
        <is>
          <t xml:space="preserve">16-C-001</t>
        </is>
      </c>
      <c r="B19" s="796" t="inlineStr">
        <is>
          <t xml:space="preserve">○ 상용전원 적정 여부</t>
        </is>
      </c>
      <c r="C19" s="734"/>
    </row>
    <row r="20" customFormat="false" ht="21.75" hidden="false" customHeight="true" outlineLevel="0" collapsed="false">
      <c r="A20" s="799" t="inlineStr">
        <is>
          <t xml:space="preserve">16-C-002</t>
        </is>
      </c>
      <c r="B20" s="800" t="inlineStr">
        <is>
          <t xml:space="preserve">● 예비전원 성능 적정 및 상용전원 차단 시 예비전원 자동전환 여부</t>
        </is>
      </c>
      <c r="C20" s="737"/>
    </row>
    <row r="21" customFormat="false" ht="34.5" hidden="false" customHeight="true" outlineLevel="0" collapsed="false">
      <c r="A21" s="764" t="inlineStr">
        <is>
          <t xml:space="preserve">비고</t>
        </is>
      </c>
      <c r="B21" s="820"/>
      <c r="C21" s="820"/>
    </row>
  </sheetData>
  <mergeCells count="5">
    <mergeCell ref="A1:C1"/>
    <mergeCell ref="A3:C3"/>
    <mergeCell ref="A15:C15"/>
    <mergeCell ref="A18:C18"/>
    <mergeCell ref="B21:C21"/>
  </mergeCells>
  <dataValidations count="2">
    <dataValidation allowBlank="true" errorStyle="stop" operator="between" showDropDown="false" showErrorMessage="true" showInputMessage="false" sqref="H5:H7" type="list">
      <formula1>$C$4:$C$11</formula1>
      <formula2>0</formula2>
    </dataValidation>
    <dataValidation allowBlank="true" errorStyle="stop" operator="between" showDropDown="false" showErrorMessage="true" showInputMessage="false" sqref="C4:C14 C16:C17 C19:C20" type="list">
      <formula1>$H$5:$H$7</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G6"/>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17. 자동화재속보설비 및 통합감시시설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842" t="inlineStr">
        <is>
          <t xml:space="preserve"> 17-A. 자동화재속보설비</t>
        </is>
      </c>
      <c r="B3" s="842"/>
      <c r="C3" s="842"/>
    </row>
    <row r="4" customFormat="false" ht="21.75" hidden="false" customHeight="true" outlineLevel="0" collapsed="false">
      <c r="A4" s="795" t="inlineStr">
        <is>
          <t xml:space="preserve">17-A-001</t>
        </is>
      </c>
      <c r="B4" s="796" t="inlineStr">
        <is>
          <t xml:space="preserve">○ 상용전원 공급 및 전원표시등 정상 점등 여부</t>
        </is>
      </c>
      <c r="C4" s="737"/>
      <c r="D4" s="728"/>
      <c r="E4" s="728"/>
      <c r="F4" s="728"/>
      <c r="G4" s="727" t="inlineStr">
        <is>
          <t xml:space="preserve">○</t>
        </is>
      </c>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17-A-002</t>
        </is>
      </c>
      <c r="B5" s="746" t="inlineStr">
        <is>
          <t xml:space="preserve">○ 조작스위치 높이 적정 여부</t>
        </is>
      </c>
      <c r="C5" s="737"/>
      <c r="D5" s="728"/>
      <c r="E5" s="728"/>
      <c r="F5" s="728"/>
      <c r="G5" s="727" t="inlineStr">
        <is>
          <t xml:space="preserve">/</t>
        </is>
      </c>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9" t="inlineStr">
        <is>
          <t xml:space="preserve">17-A-003</t>
        </is>
      </c>
      <c r="B6" s="800" t="inlineStr">
        <is>
          <t xml:space="preserve">○ 자동화재탐지설비 연동 및 화재신호 소방관서 전달 여부</t>
        </is>
      </c>
      <c r="C6" s="737"/>
      <c r="D6" s="728"/>
      <c r="E6" s="728"/>
      <c r="F6" s="728"/>
      <c r="G6" s="727" t="inlineStr">
        <is>
          <t xml:space="preserve">×</t>
        </is>
      </c>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4" hidden="false" customHeight="true" outlineLevel="0" collapsed="false">
      <c r="A7" s="842" t="inlineStr">
        <is>
          <t xml:space="preserve"> 17-B. 통합감시시설</t>
        </is>
      </c>
      <c r="B7" s="842"/>
      <c r="C7" s="842"/>
    </row>
    <row r="8" customFormat="false" ht="21.75" hidden="false" customHeight="true" outlineLevel="0" collapsed="false">
      <c r="A8" s="795" t="inlineStr">
        <is>
          <t xml:space="preserve">17-B-001</t>
        </is>
      </c>
      <c r="B8" s="796" t="inlineStr">
        <is>
          <t xml:space="preserve">● 주·보조 수신기 설치 적정 여부</t>
        </is>
      </c>
      <c r="C8" s="734"/>
    </row>
    <row r="9" customFormat="false" ht="21.75" hidden="false" customHeight="true" outlineLevel="0" collapsed="false">
      <c r="A9" s="798" t="inlineStr">
        <is>
          <t xml:space="preserve">17-B-002</t>
        </is>
      </c>
      <c r="B9" s="746" t="inlineStr">
        <is>
          <t xml:space="preserve">○ 수신기 간 원격제어 및 정보공유 정상 작동 여부</t>
        </is>
      </c>
      <c r="C9" s="737"/>
    </row>
    <row r="10" customFormat="false" ht="21.75" hidden="false" customHeight="true" outlineLevel="0" collapsed="false">
      <c r="A10" s="799" t="inlineStr">
        <is>
          <t xml:space="preserve">17-B-003</t>
        </is>
      </c>
      <c r="B10" s="800" t="inlineStr">
        <is>
          <t xml:space="preserve">● 예비선로 구축 여부</t>
        </is>
      </c>
      <c r="C10" s="734"/>
    </row>
    <row r="11" customFormat="false" ht="34.5" hidden="false" customHeight="true" outlineLevel="0" collapsed="false">
      <c r="A11" s="764" t="inlineStr">
        <is>
          <t xml:space="preserve">비고</t>
        </is>
      </c>
      <c r="B11" s="820"/>
      <c r="C11" s="820"/>
    </row>
  </sheetData>
  <mergeCells count="4">
    <mergeCell ref="A1:C1"/>
    <mergeCell ref="A3:C3"/>
    <mergeCell ref="A7:C7"/>
    <mergeCell ref="B11:C11"/>
  </mergeCells>
  <dataValidations count="2">
    <dataValidation allowBlank="true" errorStyle="stop" operator="between" showDropDown="false" showErrorMessage="true" showInputMessage="false" sqref="G4:G6" type="list">
      <formula1>$C$4:$C$11</formula1>
      <formula2>0</formula2>
    </dataValidation>
    <dataValidation allowBlank="true" errorStyle="stop" operator="between" showDropDown="false" showErrorMessage="true" showInputMessage="false" sqref="C4:C6 C8:C10" type="list">
      <formula1>$G$4:$G$6</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G6"/>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19. 가스누설경보기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842" t="inlineStr">
        <is>
          <t xml:space="preserve"> 19-A. 수신부</t>
        </is>
      </c>
      <c r="B3" s="842"/>
      <c r="C3" s="842"/>
    </row>
    <row r="4" customFormat="false" ht="21.75" hidden="false" customHeight="true" outlineLevel="0" collapsed="false">
      <c r="A4" s="795" t="inlineStr">
        <is>
          <t xml:space="preserve">19-A-001</t>
        </is>
      </c>
      <c r="B4" s="796" t="inlineStr">
        <is>
          <t xml:space="preserve">○ 수신부 설치 장소 적정 여부</t>
        </is>
      </c>
      <c r="C4" s="737"/>
      <c r="D4" s="728"/>
      <c r="E4" s="728"/>
      <c r="F4" s="728"/>
      <c r="G4" s="727" t="inlineStr">
        <is>
          <t xml:space="preserve">○</t>
        </is>
      </c>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19-A-002</t>
        </is>
      </c>
      <c r="B5" s="746" t="inlineStr">
        <is>
          <t xml:space="preserve">○ 상용전원 공급 및 전원표시등 정상 점등 여부</t>
        </is>
      </c>
      <c r="C5" s="737"/>
      <c r="D5" s="728"/>
      <c r="E5" s="728"/>
      <c r="F5" s="728"/>
      <c r="G5" s="727" t="inlineStr">
        <is>
          <t xml:space="preserve">/</t>
        </is>
      </c>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9" t="inlineStr">
        <is>
          <t xml:space="preserve">19-A-003</t>
        </is>
      </c>
      <c r="B6" s="800" t="inlineStr">
        <is>
          <t xml:space="preserve">○ 음향장치의 음량·음색·음압 적정 여부</t>
        </is>
      </c>
      <c r="C6" s="737"/>
      <c r="D6" s="728"/>
      <c r="E6" s="728"/>
      <c r="F6" s="728"/>
      <c r="G6" s="727" t="inlineStr">
        <is>
          <t xml:space="preserve">×</t>
        </is>
      </c>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4" hidden="false" customHeight="true" outlineLevel="0" collapsed="false">
      <c r="A7" s="842" t="inlineStr">
        <is>
          <t xml:space="preserve"> 19-B. 탐지부</t>
        </is>
      </c>
      <c r="B7" s="842"/>
      <c r="C7" s="842"/>
    </row>
    <row r="8" customFormat="false" ht="21.75" hidden="false" customHeight="true" outlineLevel="0" collapsed="false">
      <c r="A8" s="770" t="inlineStr">
        <is>
          <t xml:space="preserve">19-B-001</t>
        </is>
      </c>
      <c r="B8" s="802" t="inlineStr">
        <is>
          <t xml:space="preserve">○ 탐지부의 설치방법 및 설치상태 적정 여부</t>
        </is>
      </c>
      <c r="C8" s="737"/>
    </row>
    <row r="9" customFormat="false" ht="21.75" hidden="false" customHeight="true" outlineLevel="0" collapsed="false">
      <c r="A9" s="775" t="inlineStr">
        <is>
          <t xml:space="preserve">19-B-002</t>
        </is>
      </c>
      <c r="B9" s="804" t="inlineStr">
        <is>
          <t xml:space="preserve">○ 탐지부의 정상 작동 여부</t>
        </is>
      </c>
      <c r="C9" s="737"/>
    </row>
    <row r="10" customFormat="false" ht="24" hidden="false" customHeight="true" outlineLevel="0" collapsed="false">
      <c r="A10" s="842" t="inlineStr">
        <is>
          <t xml:space="preserve"> 19-C. 차단기구</t>
        </is>
      </c>
      <c r="B10" s="842"/>
      <c r="C10" s="842"/>
    </row>
    <row r="11" customFormat="false" ht="21.75" hidden="false" customHeight="true" outlineLevel="0" collapsed="false">
      <c r="A11" s="795" t="inlineStr">
        <is>
          <t xml:space="preserve">19-C-001</t>
        </is>
      </c>
      <c r="B11" s="796" t="inlineStr">
        <is>
          <t xml:space="preserve">○ 차단기구는 가스 주배관에 견고히 부착되어 있는지 여부</t>
        </is>
      </c>
      <c r="C11" s="737"/>
    </row>
    <row r="12" customFormat="false" ht="21.75" hidden="false" customHeight="true" outlineLevel="0" collapsed="false">
      <c r="A12" s="799" t="inlineStr">
        <is>
          <t xml:space="preserve">19-C-002</t>
        </is>
      </c>
      <c r="B12" s="800" t="inlineStr">
        <is>
          <t xml:space="preserve">○ 시험장치에 의한 가스차단밸브의 정상 개·폐 여부</t>
        </is>
      </c>
      <c r="C12" s="737"/>
    </row>
    <row r="13" customFormat="false" ht="34.5" hidden="false" customHeight="true" outlineLevel="0" collapsed="false">
      <c r="A13" s="764" t="inlineStr">
        <is>
          <t xml:space="preserve">비고</t>
        </is>
      </c>
      <c r="B13" s="820"/>
      <c r="C13" s="820"/>
    </row>
  </sheetData>
  <mergeCells count="5">
    <mergeCell ref="A1:C1"/>
    <mergeCell ref="A3:C3"/>
    <mergeCell ref="A7:C7"/>
    <mergeCell ref="A10:C10"/>
    <mergeCell ref="B13:C13"/>
  </mergeCells>
  <dataValidations count="2">
    <dataValidation allowBlank="true" errorStyle="stop" operator="between" showDropDown="false" showErrorMessage="true" showInputMessage="false" sqref="G4:G6" type="list">
      <formula1>$C$4:$C$11</formula1>
      <formula2>0</formula2>
    </dataValidation>
    <dataValidation allowBlank="true" errorStyle="stop" operator="between" showDropDown="false" showErrorMessage="true" showInputMessage="false" sqref="C4:C6 C8:C9 C11:C12" type="list">
      <formula1>$G$4:$G$6</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H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20. 피난기구 및 인명구조기구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20-A. 피난기구 공통사항</t>
        </is>
      </c>
      <c r="B3" s="759"/>
      <c r="C3" s="759"/>
    </row>
    <row r="4" customFormat="false" ht="21.75" hidden="false" customHeight="true" outlineLevel="0" collapsed="false">
      <c r="A4" s="795" t="inlineStr">
        <is>
          <t xml:space="preserve">20-A-001</t>
        </is>
      </c>
      <c r="B4" s="796" t="inlineStr">
        <is>
          <t xml:space="preserve">● 대상물 용도별·층별·바닥면적별 피난기구 종류 및 설치개수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20-A-002</t>
        </is>
      </c>
      <c r="B5" s="746" t="inlineStr">
        <is>
          <t xml:space="preserve">○ 피난에 유효한 개구부 확보(크기, 높이에 따른 발판, 창문 파괴장치) 및 관리상태</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20-A-003</t>
        </is>
      </c>
      <c r="B6" s="746" t="inlineStr">
        <is>
          <t xml:space="preserve">● 개구부 위치 적정(동일직선상이 아닌 위치) 여부</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20-A-004</t>
        </is>
      </c>
      <c r="B7" s="746" t="inlineStr">
        <is>
          <t xml:space="preserve">○ 피난기구의 부착 위치 및 부착 방법 적정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20-A-005</t>
        </is>
      </c>
      <c r="B8" s="746" t="inlineStr">
        <is>
          <t xml:space="preserve">○ 피난기구(지지대 포함)의 변형·손상 또는 부식이 있는지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20-A-006</t>
        </is>
      </c>
      <c r="B9" s="746" t="inlineStr">
        <is>
          <t xml:space="preserve">○ 피난기구의 위치표시 표지 및 사용방법 표지 부착 적정 여부</t>
        </is>
      </c>
      <c r="C9" s="737"/>
      <c r="D9" s="728"/>
      <c r="E9" s="728"/>
      <c r="F9" s="728"/>
      <c r="G9" s="728"/>
      <c r="H9" s="727" t="inlineStr">
        <is>
          <t xml:space="preserve">×</t>
        </is>
      </c>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9" t="inlineStr">
        <is>
          <t xml:space="preserve">20-A-007</t>
        </is>
      </c>
      <c r="B10" s="800" t="inlineStr">
        <is>
          <t xml:space="preserve">● 피난기구의 설치제외 및 설치감소 적합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4" hidden="false" customHeight="true" outlineLevel="0" collapsed="false">
      <c r="A11" s="794" t="inlineStr">
        <is>
          <t xml:space="preserve"> 20-B. 공기안전매트‧피난사다리‧(간이)완강기‧미끄럼대‧구조대</t>
        </is>
      </c>
      <c r="B11" s="794"/>
      <c r="C11" s="794"/>
    </row>
    <row r="12" customFormat="false" ht="21.75" hidden="false" customHeight="true" outlineLevel="0" collapsed="false">
      <c r="A12" s="795" t="inlineStr">
        <is>
          <t xml:space="preserve">20-B-001</t>
        </is>
      </c>
      <c r="B12" s="796" t="inlineStr">
        <is>
          <t xml:space="preserve">● 공기안전매트 설치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20-B-002</t>
        </is>
      </c>
      <c r="B13" s="746" t="inlineStr">
        <is>
          <t xml:space="preserve">● 공기안전매트 설치 공간 확보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8" t="inlineStr">
        <is>
          <t xml:space="preserve">20-B-003</t>
        </is>
      </c>
      <c r="B14" s="746" t="inlineStr">
        <is>
          <t xml:space="preserve">● 피난사다리(4층 이상의 층)의 구조(금속성 고정사다리) 및 노대 설치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1.75" hidden="false" customHeight="true" outlineLevel="0" collapsed="false">
      <c r="A15" s="798" t="inlineStr">
        <is>
          <t xml:space="preserve">20-B-004</t>
        </is>
      </c>
      <c r="B15" s="746" t="inlineStr">
        <is>
          <t xml:space="preserve">● (간이)완강기의 구조(로프 손상방지) 및 길이 적정 여부</t>
        </is>
      </c>
      <c r="C15" s="737"/>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21.75" hidden="false" customHeight="true" outlineLevel="0" collapsed="false">
      <c r="A16" s="798" t="inlineStr">
        <is>
          <t xml:space="preserve">20-B-005</t>
        </is>
      </c>
      <c r="B16" s="746" t="inlineStr">
        <is>
          <t xml:space="preserve">● 숙박시설의 객실마다 완강기(1개) 또는 간이완강기(2개 이상) 추가 설치 여부</t>
        </is>
      </c>
      <c r="C16" s="737"/>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8"/>
      <c r="BC16" s="728"/>
      <c r="BD16" s="728"/>
      <c r="BE16" s="728"/>
      <c r="BF16" s="728"/>
      <c r="BG16" s="728"/>
      <c r="BH16" s="728"/>
      <c r="BI16" s="728"/>
      <c r="BJ16" s="728"/>
      <c r="BK16" s="728"/>
      <c r="BL16" s="728"/>
      <c r="BM16" s="728"/>
      <c r="BN16" s="728"/>
      <c r="BO16" s="728"/>
      <c r="BP16" s="728"/>
      <c r="BQ16" s="728"/>
      <c r="BR16" s="728"/>
      <c r="BS16" s="728"/>
      <c r="BT16" s="728"/>
      <c r="BU16" s="728"/>
      <c r="BV16" s="728"/>
      <c r="BW16" s="728"/>
      <c r="BX16" s="728"/>
      <c r="BY16" s="728"/>
      <c r="BZ16" s="728"/>
      <c r="CA16" s="728"/>
      <c r="CB16" s="728"/>
      <c r="CC16" s="728"/>
      <c r="CD16" s="728"/>
      <c r="CE16" s="728"/>
      <c r="CF16" s="728"/>
      <c r="CG16" s="728"/>
      <c r="CH16" s="728"/>
      <c r="CI16" s="728"/>
      <c r="CJ16" s="728"/>
      <c r="CK16" s="728"/>
      <c r="CL16" s="728"/>
      <c r="CM16" s="728"/>
      <c r="CN16" s="728"/>
      <c r="CO16" s="728"/>
      <c r="CP16" s="728"/>
      <c r="CQ16" s="728"/>
      <c r="CR16" s="728"/>
      <c r="CS16" s="728"/>
      <c r="CT16" s="728"/>
      <c r="CU16" s="728"/>
      <c r="CV16" s="728"/>
      <c r="CW16" s="728"/>
      <c r="CX16" s="728"/>
      <c r="CY16" s="728"/>
      <c r="CZ16" s="728"/>
      <c r="DA16" s="728"/>
      <c r="DB16" s="728"/>
      <c r="DC16" s="728"/>
      <c r="DD16" s="728"/>
      <c r="DE16" s="728"/>
      <c r="DF16" s="728"/>
      <c r="DG16" s="728"/>
      <c r="DH16" s="728"/>
      <c r="DI16" s="728"/>
      <c r="DJ16" s="728"/>
      <c r="DK16" s="728"/>
      <c r="DL16" s="728"/>
      <c r="DM16" s="728"/>
      <c r="DN16" s="728"/>
      <c r="DO16" s="728"/>
      <c r="DP16" s="728"/>
      <c r="DQ16" s="728"/>
      <c r="DR16" s="728"/>
      <c r="DS16" s="728"/>
      <c r="DT16" s="728"/>
      <c r="DU16" s="728"/>
      <c r="DV16" s="728"/>
      <c r="DW16" s="728"/>
      <c r="DX16" s="728"/>
      <c r="DY16" s="728"/>
      <c r="DZ16" s="728"/>
      <c r="EA16" s="728"/>
      <c r="EB16" s="728"/>
      <c r="EC16" s="728"/>
      <c r="ED16" s="728"/>
      <c r="EE16" s="728"/>
      <c r="EF16" s="728"/>
      <c r="EG16" s="728"/>
      <c r="EH16" s="728"/>
      <c r="EI16" s="728"/>
      <c r="EJ16" s="728"/>
      <c r="EK16" s="728"/>
      <c r="EL16" s="728"/>
      <c r="EM16" s="728"/>
      <c r="EN16" s="728"/>
      <c r="EO16" s="728"/>
      <c r="EP16" s="728"/>
      <c r="EQ16" s="728"/>
      <c r="ER16" s="728"/>
      <c r="ES16" s="728"/>
      <c r="ET16" s="728"/>
      <c r="EU16" s="728"/>
      <c r="EV16" s="728"/>
      <c r="EW16" s="728"/>
      <c r="EX16" s="728"/>
      <c r="EY16" s="728"/>
      <c r="EZ16" s="728"/>
      <c r="FA16" s="728"/>
      <c r="FB16" s="728"/>
      <c r="FC16" s="728"/>
      <c r="FD16" s="728"/>
      <c r="FE16" s="728"/>
      <c r="FF16" s="728"/>
      <c r="FG16" s="728"/>
      <c r="FH16" s="728"/>
      <c r="FI16" s="728"/>
      <c r="FJ16" s="728"/>
      <c r="FK16" s="728"/>
      <c r="FL16" s="728"/>
      <c r="FM16" s="728"/>
      <c r="FN16" s="728"/>
      <c r="FO16" s="728"/>
      <c r="FP16" s="728"/>
      <c r="FQ16" s="728"/>
      <c r="FR16" s="728"/>
      <c r="FS16" s="728"/>
      <c r="FT16" s="728"/>
      <c r="FU16" s="728"/>
      <c r="FV16" s="728"/>
      <c r="FW16" s="728"/>
      <c r="FX16" s="728"/>
      <c r="FY16" s="728"/>
      <c r="FZ16" s="728"/>
      <c r="GA16" s="728"/>
      <c r="GB16" s="728"/>
      <c r="GC16" s="728"/>
      <c r="GD16" s="728"/>
      <c r="GE16" s="728"/>
      <c r="GF16" s="728"/>
      <c r="GG16" s="728"/>
      <c r="GH16" s="728"/>
      <c r="GI16" s="728"/>
      <c r="GJ16" s="728"/>
      <c r="GK16" s="728"/>
      <c r="GL16" s="728"/>
      <c r="GM16" s="728"/>
      <c r="GN16" s="728"/>
      <c r="GO16" s="728"/>
      <c r="GP16" s="728"/>
      <c r="GQ16" s="728"/>
      <c r="GR16" s="728"/>
      <c r="GS16" s="728"/>
      <c r="GT16" s="728"/>
      <c r="GU16" s="728"/>
      <c r="GV16" s="728"/>
      <c r="GW16" s="728"/>
      <c r="GX16" s="728"/>
      <c r="GY16" s="728"/>
      <c r="GZ16" s="728"/>
      <c r="HA16" s="728"/>
      <c r="HB16" s="728"/>
      <c r="HC16" s="728"/>
      <c r="HD16" s="728"/>
      <c r="HE16" s="728"/>
      <c r="HF16" s="728"/>
      <c r="HG16" s="728"/>
      <c r="HH16" s="728"/>
      <c r="HI16" s="728"/>
      <c r="HJ16" s="728"/>
      <c r="HK16" s="728"/>
      <c r="HL16" s="728"/>
      <c r="HM16" s="728"/>
      <c r="HN16" s="728"/>
      <c r="HO16" s="728"/>
      <c r="HP16" s="728"/>
      <c r="HQ16" s="728"/>
      <c r="HR16" s="728"/>
      <c r="HS16" s="728"/>
      <c r="HT16" s="728"/>
      <c r="HU16" s="728"/>
      <c r="HV16" s="728"/>
      <c r="HW16" s="728"/>
      <c r="HX16" s="728"/>
      <c r="HY16" s="728"/>
      <c r="HZ16" s="728"/>
      <c r="IA16" s="728"/>
      <c r="IB16" s="728"/>
      <c r="IC16" s="728"/>
      <c r="ID16" s="728"/>
      <c r="IE16" s="728"/>
      <c r="IF16" s="728"/>
      <c r="IG16" s="728"/>
      <c r="IH16" s="728"/>
      <c r="II16" s="728"/>
      <c r="IJ16" s="728"/>
      <c r="IK16" s="728"/>
      <c r="IL16" s="728"/>
      <c r="IM16" s="728"/>
      <c r="IN16" s="728"/>
      <c r="IO16" s="728"/>
      <c r="IP16" s="728"/>
      <c r="IQ16" s="728"/>
      <c r="IR16" s="728"/>
      <c r="IS16" s="728"/>
      <c r="IT16" s="728"/>
      <c r="IU16" s="728"/>
      <c r="IV16" s="728"/>
      <c r="IW16" s="728"/>
    </row>
    <row r="17" customFormat="false" ht="21.75" hidden="false" customHeight="true" outlineLevel="0" collapsed="false">
      <c r="A17" s="798" t="inlineStr">
        <is>
          <t xml:space="preserve">20-B-006</t>
        </is>
      </c>
      <c r="B17" s="746" t="inlineStr">
        <is>
          <t xml:space="preserve">● 미끄럼대의 구조 적정 여부</t>
        </is>
      </c>
      <c r="C17" s="737"/>
      <c r="D17" s="728"/>
      <c r="E17" s="728"/>
      <c r="F17" s="728"/>
      <c r="G17" s="728"/>
      <c r="H17" s="728"/>
      <c r="I17" s="728"/>
      <c r="J17" s="728"/>
      <c r="K17" s="728"/>
      <c r="L17" s="728"/>
      <c r="M17" s="728"/>
      <c r="N17" s="728"/>
      <c r="O17" s="728"/>
      <c r="P17" s="728"/>
      <c r="Q17" s="728"/>
      <c r="R17" s="728"/>
      <c r="S17" s="728"/>
      <c r="T17" s="728"/>
      <c r="U17" s="728"/>
      <c r="V17" s="728"/>
      <c r="W17" s="728"/>
      <c r="X17" s="728"/>
      <c r="Y17" s="728"/>
      <c r="Z17" s="728"/>
      <c r="AA17" s="728"/>
      <c r="AB17" s="728"/>
      <c r="AC17" s="728"/>
      <c r="AD17" s="728"/>
      <c r="AE17" s="728"/>
      <c r="AF17" s="728"/>
      <c r="AG17" s="728"/>
      <c r="AH17" s="728"/>
      <c r="AI17" s="728"/>
      <c r="AJ17" s="728"/>
      <c r="AK17" s="728"/>
      <c r="AL17" s="728"/>
      <c r="AM17" s="728"/>
      <c r="AN17" s="728"/>
      <c r="AO17" s="728"/>
      <c r="AP17" s="728"/>
      <c r="AQ17" s="728"/>
      <c r="AR17" s="728"/>
      <c r="AS17" s="728"/>
      <c r="AT17" s="728"/>
      <c r="AU17" s="728"/>
      <c r="AV17" s="728"/>
      <c r="AW17" s="728"/>
      <c r="AX17" s="728"/>
      <c r="AY17" s="728"/>
      <c r="AZ17" s="728"/>
      <c r="BA17" s="728"/>
      <c r="BB17" s="728"/>
      <c r="BC17" s="728"/>
      <c r="BD17" s="728"/>
      <c r="BE17" s="728"/>
      <c r="BF17" s="728"/>
      <c r="BG17" s="728"/>
      <c r="BH17" s="728"/>
      <c r="BI17" s="728"/>
      <c r="BJ17" s="728"/>
      <c r="BK17" s="728"/>
      <c r="BL17" s="728"/>
      <c r="BM17" s="728"/>
      <c r="BN17" s="728"/>
      <c r="BO17" s="728"/>
      <c r="BP17" s="728"/>
      <c r="BQ17" s="728"/>
      <c r="BR17" s="728"/>
      <c r="BS17" s="728"/>
      <c r="BT17" s="728"/>
      <c r="BU17" s="728"/>
      <c r="BV17" s="728"/>
      <c r="BW17" s="728"/>
      <c r="BX17" s="728"/>
      <c r="BY17" s="728"/>
      <c r="BZ17" s="728"/>
      <c r="CA17" s="728"/>
      <c r="CB17" s="728"/>
      <c r="CC17" s="728"/>
      <c r="CD17" s="728"/>
      <c r="CE17" s="728"/>
      <c r="CF17" s="728"/>
      <c r="CG17" s="728"/>
      <c r="CH17" s="728"/>
      <c r="CI17" s="728"/>
      <c r="CJ17" s="728"/>
      <c r="CK17" s="728"/>
      <c r="CL17" s="728"/>
      <c r="CM17" s="728"/>
      <c r="CN17" s="728"/>
      <c r="CO17" s="728"/>
      <c r="CP17" s="728"/>
      <c r="CQ17" s="728"/>
      <c r="CR17" s="728"/>
      <c r="CS17" s="728"/>
      <c r="CT17" s="728"/>
      <c r="CU17" s="728"/>
      <c r="CV17" s="728"/>
      <c r="CW17" s="728"/>
      <c r="CX17" s="728"/>
      <c r="CY17" s="728"/>
      <c r="CZ17" s="728"/>
      <c r="DA17" s="728"/>
      <c r="DB17" s="728"/>
      <c r="DC17" s="728"/>
      <c r="DD17" s="728"/>
      <c r="DE17" s="728"/>
      <c r="DF17" s="728"/>
      <c r="DG17" s="728"/>
      <c r="DH17" s="728"/>
      <c r="DI17" s="728"/>
      <c r="DJ17" s="728"/>
      <c r="DK17" s="728"/>
      <c r="DL17" s="728"/>
      <c r="DM17" s="728"/>
      <c r="DN17" s="728"/>
      <c r="DO17" s="728"/>
      <c r="DP17" s="728"/>
      <c r="DQ17" s="728"/>
      <c r="DR17" s="728"/>
      <c r="DS17" s="728"/>
      <c r="DT17" s="728"/>
      <c r="DU17" s="728"/>
      <c r="DV17" s="728"/>
      <c r="DW17" s="728"/>
      <c r="DX17" s="728"/>
      <c r="DY17" s="728"/>
      <c r="DZ17" s="728"/>
      <c r="EA17" s="728"/>
      <c r="EB17" s="728"/>
      <c r="EC17" s="728"/>
      <c r="ED17" s="728"/>
      <c r="EE17" s="728"/>
      <c r="EF17" s="728"/>
      <c r="EG17" s="728"/>
      <c r="EH17" s="728"/>
      <c r="EI17" s="728"/>
      <c r="EJ17" s="728"/>
      <c r="EK17" s="728"/>
      <c r="EL17" s="728"/>
      <c r="EM17" s="728"/>
      <c r="EN17" s="728"/>
      <c r="EO17" s="728"/>
      <c r="EP17" s="728"/>
      <c r="EQ17" s="728"/>
      <c r="ER17" s="728"/>
      <c r="ES17" s="728"/>
      <c r="ET17" s="728"/>
      <c r="EU17" s="728"/>
      <c r="EV17" s="728"/>
      <c r="EW17" s="728"/>
      <c r="EX17" s="728"/>
      <c r="EY17" s="728"/>
      <c r="EZ17" s="728"/>
      <c r="FA17" s="728"/>
      <c r="FB17" s="728"/>
      <c r="FC17" s="728"/>
      <c r="FD17" s="728"/>
      <c r="FE17" s="728"/>
      <c r="FF17" s="728"/>
      <c r="FG17" s="728"/>
      <c r="FH17" s="728"/>
      <c r="FI17" s="728"/>
      <c r="FJ17" s="728"/>
      <c r="FK17" s="728"/>
      <c r="FL17" s="728"/>
      <c r="FM17" s="728"/>
      <c r="FN17" s="728"/>
      <c r="FO17" s="728"/>
      <c r="FP17" s="728"/>
      <c r="FQ17" s="728"/>
      <c r="FR17" s="728"/>
      <c r="FS17" s="728"/>
      <c r="FT17" s="728"/>
      <c r="FU17" s="728"/>
      <c r="FV17" s="728"/>
      <c r="FW17" s="728"/>
      <c r="FX17" s="728"/>
      <c r="FY17" s="728"/>
      <c r="FZ17" s="728"/>
      <c r="GA17" s="728"/>
      <c r="GB17" s="728"/>
      <c r="GC17" s="728"/>
      <c r="GD17" s="728"/>
      <c r="GE17" s="728"/>
      <c r="GF17" s="728"/>
      <c r="GG17" s="728"/>
      <c r="GH17" s="728"/>
      <c r="GI17" s="728"/>
      <c r="GJ17" s="728"/>
      <c r="GK17" s="728"/>
      <c r="GL17" s="728"/>
      <c r="GM17" s="728"/>
      <c r="GN17" s="728"/>
      <c r="GO17" s="728"/>
      <c r="GP17" s="728"/>
      <c r="GQ17" s="728"/>
      <c r="GR17" s="728"/>
      <c r="GS17" s="728"/>
      <c r="GT17" s="728"/>
      <c r="GU17" s="728"/>
      <c r="GV17" s="728"/>
      <c r="GW17" s="728"/>
      <c r="GX17" s="728"/>
      <c r="GY17" s="728"/>
      <c r="GZ17" s="728"/>
      <c r="HA17" s="728"/>
      <c r="HB17" s="728"/>
      <c r="HC17" s="728"/>
      <c r="HD17" s="728"/>
      <c r="HE17" s="728"/>
      <c r="HF17" s="728"/>
      <c r="HG17" s="728"/>
      <c r="HH17" s="728"/>
      <c r="HI17" s="728"/>
      <c r="HJ17" s="728"/>
      <c r="HK17" s="728"/>
      <c r="HL17" s="728"/>
      <c r="HM17" s="728"/>
      <c r="HN17" s="728"/>
      <c r="HO17" s="728"/>
      <c r="HP17" s="728"/>
      <c r="HQ17" s="728"/>
      <c r="HR17" s="728"/>
      <c r="HS17" s="728"/>
      <c r="HT17" s="728"/>
      <c r="HU17" s="728"/>
      <c r="HV17" s="728"/>
      <c r="HW17" s="728"/>
      <c r="HX17" s="728"/>
      <c r="HY17" s="728"/>
      <c r="HZ17" s="728"/>
      <c r="IA17" s="728"/>
      <c r="IB17" s="728"/>
      <c r="IC17" s="728"/>
      <c r="ID17" s="728"/>
      <c r="IE17" s="728"/>
      <c r="IF17" s="728"/>
      <c r="IG17" s="728"/>
      <c r="IH17" s="728"/>
      <c r="II17" s="728"/>
      <c r="IJ17" s="728"/>
      <c r="IK17" s="728"/>
      <c r="IL17" s="728"/>
      <c r="IM17" s="728"/>
      <c r="IN17" s="728"/>
      <c r="IO17" s="728"/>
      <c r="IP17" s="728"/>
      <c r="IQ17" s="728"/>
      <c r="IR17" s="728"/>
      <c r="IS17" s="728"/>
      <c r="IT17" s="728"/>
      <c r="IU17" s="728"/>
      <c r="IV17" s="728"/>
      <c r="IW17" s="728"/>
    </row>
    <row r="18" customFormat="false" ht="21.75" hidden="false" customHeight="true" outlineLevel="0" collapsed="false">
      <c r="A18" s="799" t="inlineStr">
        <is>
          <t xml:space="preserve">20-B-007</t>
        </is>
      </c>
      <c r="B18" s="800" t="inlineStr">
        <is>
          <t xml:space="preserve">● 구조대의 길이 적정 여부</t>
        </is>
      </c>
      <c r="C18" s="737"/>
      <c r="D18" s="728"/>
      <c r="E18" s="728"/>
      <c r="F18" s="728"/>
      <c r="G18" s="728"/>
      <c r="H18" s="728"/>
      <c r="I18" s="728"/>
      <c r="J18" s="728"/>
      <c r="K18" s="728"/>
      <c r="L18" s="728"/>
      <c r="M18" s="728"/>
      <c r="N18" s="728"/>
      <c r="O18" s="728"/>
      <c r="P18" s="728"/>
      <c r="Q18" s="728"/>
      <c r="R18" s="728"/>
      <c r="S18" s="728"/>
      <c r="T18" s="728"/>
      <c r="U18" s="728"/>
      <c r="V18" s="728"/>
      <c r="W18" s="728"/>
      <c r="X18" s="728"/>
      <c r="Y18" s="728"/>
      <c r="Z18" s="728"/>
      <c r="AA18" s="728"/>
      <c r="AB18" s="728"/>
      <c r="AC18" s="728"/>
      <c r="AD18" s="728"/>
      <c r="AE18" s="728"/>
      <c r="AF18" s="728"/>
      <c r="AG18" s="728"/>
      <c r="AH18" s="728"/>
      <c r="AI18" s="728"/>
      <c r="AJ18" s="728"/>
      <c r="AK18" s="728"/>
      <c r="AL18" s="728"/>
      <c r="AM18" s="728"/>
      <c r="AN18" s="728"/>
      <c r="AO18" s="728"/>
      <c r="AP18" s="728"/>
      <c r="AQ18" s="728"/>
      <c r="AR18" s="728"/>
      <c r="AS18" s="728"/>
      <c r="AT18" s="728"/>
      <c r="AU18" s="728"/>
      <c r="AV18" s="728"/>
      <c r="AW18" s="728"/>
      <c r="AX18" s="728"/>
      <c r="AY18" s="728"/>
      <c r="AZ18" s="728"/>
      <c r="BA18" s="728"/>
      <c r="BB18" s="728"/>
      <c r="BC18" s="728"/>
      <c r="BD18" s="728"/>
      <c r="BE18" s="728"/>
      <c r="BF18" s="728"/>
      <c r="BG18" s="728"/>
      <c r="BH18" s="728"/>
      <c r="BI18" s="728"/>
      <c r="BJ18" s="728"/>
      <c r="BK18" s="728"/>
      <c r="BL18" s="728"/>
      <c r="BM18" s="728"/>
      <c r="BN18" s="728"/>
      <c r="BO18" s="728"/>
      <c r="BP18" s="728"/>
      <c r="BQ18" s="728"/>
      <c r="BR18" s="728"/>
      <c r="BS18" s="728"/>
      <c r="BT18" s="728"/>
      <c r="BU18" s="728"/>
      <c r="BV18" s="728"/>
      <c r="BW18" s="728"/>
      <c r="BX18" s="728"/>
      <c r="BY18" s="728"/>
      <c r="BZ18" s="728"/>
      <c r="CA18" s="728"/>
      <c r="CB18" s="728"/>
      <c r="CC18" s="728"/>
      <c r="CD18" s="728"/>
      <c r="CE18" s="728"/>
      <c r="CF18" s="728"/>
      <c r="CG18" s="728"/>
      <c r="CH18" s="728"/>
      <c r="CI18" s="728"/>
      <c r="CJ18" s="728"/>
      <c r="CK18" s="728"/>
      <c r="CL18" s="728"/>
      <c r="CM18" s="728"/>
      <c r="CN18" s="728"/>
      <c r="CO18" s="728"/>
      <c r="CP18" s="728"/>
      <c r="CQ18" s="728"/>
      <c r="CR18" s="728"/>
      <c r="CS18" s="728"/>
      <c r="CT18" s="728"/>
      <c r="CU18" s="728"/>
      <c r="CV18" s="728"/>
      <c r="CW18" s="728"/>
      <c r="CX18" s="728"/>
      <c r="CY18" s="728"/>
      <c r="CZ18" s="728"/>
      <c r="DA18" s="728"/>
      <c r="DB18" s="728"/>
      <c r="DC18" s="728"/>
      <c r="DD18" s="728"/>
      <c r="DE18" s="728"/>
      <c r="DF18" s="728"/>
      <c r="DG18" s="728"/>
      <c r="DH18" s="728"/>
      <c r="DI18" s="728"/>
      <c r="DJ18" s="728"/>
      <c r="DK18" s="728"/>
      <c r="DL18" s="728"/>
      <c r="DM18" s="728"/>
      <c r="DN18" s="728"/>
      <c r="DO18" s="728"/>
      <c r="DP18" s="728"/>
      <c r="DQ18" s="728"/>
      <c r="DR18" s="728"/>
      <c r="DS18" s="728"/>
      <c r="DT18" s="728"/>
      <c r="DU18" s="728"/>
      <c r="DV18" s="728"/>
      <c r="DW18" s="728"/>
      <c r="DX18" s="728"/>
      <c r="DY18" s="728"/>
      <c r="DZ18" s="728"/>
      <c r="EA18" s="728"/>
      <c r="EB18" s="728"/>
      <c r="EC18" s="728"/>
      <c r="ED18" s="728"/>
      <c r="EE18" s="728"/>
      <c r="EF18" s="728"/>
      <c r="EG18" s="728"/>
      <c r="EH18" s="728"/>
      <c r="EI18" s="728"/>
      <c r="EJ18" s="728"/>
      <c r="EK18" s="728"/>
      <c r="EL18" s="728"/>
      <c r="EM18" s="728"/>
      <c r="EN18" s="728"/>
      <c r="EO18" s="728"/>
      <c r="EP18" s="728"/>
      <c r="EQ18" s="728"/>
      <c r="ER18" s="728"/>
      <c r="ES18" s="728"/>
      <c r="ET18" s="728"/>
      <c r="EU18" s="728"/>
      <c r="EV18" s="728"/>
      <c r="EW18" s="728"/>
      <c r="EX18" s="728"/>
      <c r="EY18" s="728"/>
      <c r="EZ18" s="728"/>
      <c r="FA18" s="728"/>
      <c r="FB18" s="728"/>
      <c r="FC18" s="728"/>
      <c r="FD18" s="728"/>
      <c r="FE18" s="728"/>
      <c r="FF18" s="728"/>
      <c r="FG18" s="728"/>
      <c r="FH18" s="728"/>
      <c r="FI18" s="728"/>
      <c r="FJ18" s="728"/>
      <c r="FK18" s="728"/>
      <c r="FL18" s="728"/>
      <c r="FM18" s="728"/>
      <c r="FN18" s="728"/>
      <c r="FO18" s="728"/>
      <c r="FP18" s="728"/>
      <c r="FQ18" s="728"/>
      <c r="FR18" s="728"/>
      <c r="FS18" s="728"/>
      <c r="FT18" s="728"/>
      <c r="FU18" s="728"/>
      <c r="FV18" s="728"/>
      <c r="FW18" s="728"/>
      <c r="FX18" s="728"/>
      <c r="FY18" s="728"/>
      <c r="FZ18" s="728"/>
      <c r="GA18" s="728"/>
      <c r="GB18" s="728"/>
      <c r="GC18" s="728"/>
      <c r="GD18" s="728"/>
      <c r="GE18" s="728"/>
      <c r="GF18" s="728"/>
      <c r="GG18" s="728"/>
      <c r="GH18" s="728"/>
      <c r="GI18" s="728"/>
      <c r="GJ18" s="728"/>
      <c r="GK18" s="728"/>
      <c r="GL18" s="728"/>
      <c r="GM18" s="728"/>
      <c r="GN18" s="728"/>
      <c r="GO18" s="728"/>
      <c r="GP18" s="728"/>
      <c r="GQ18" s="728"/>
      <c r="GR18" s="728"/>
      <c r="GS18" s="728"/>
      <c r="GT18" s="728"/>
      <c r="GU18" s="728"/>
      <c r="GV18" s="728"/>
      <c r="GW18" s="728"/>
      <c r="GX18" s="728"/>
      <c r="GY18" s="728"/>
      <c r="GZ18" s="728"/>
      <c r="HA18" s="728"/>
      <c r="HB18" s="728"/>
      <c r="HC18" s="728"/>
      <c r="HD18" s="728"/>
      <c r="HE18" s="728"/>
      <c r="HF18" s="728"/>
      <c r="HG18" s="728"/>
      <c r="HH18" s="728"/>
      <c r="HI18" s="728"/>
      <c r="HJ18" s="728"/>
      <c r="HK18" s="728"/>
      <c r="HL18" s="728"/>
      <c r="HM18" s="728"/>
      <c r="HN18" s="728"/>
      <c r="HO18" s="728"/>
      <c r="HP18" s="728"/>
      <c r="HQ18" s="728"/>
      <c r="HR18" s="728"/>
      <c r="HS18" s="728"/>
      <c r="HT18" s="728"/>
      <c r="HU18" s="728"/>
      <c r="HV18" s="728"/>
      <c r="HW18" s="728"/>
      <c r="HX18" s="728"/>
      <c r="HY18" s="728"/>
      <c r="HZ18" s="728"/>
      <c r="IA18" s="728"/>
      <c r="IB18" s="728"/>
      <c r="IC18" s="728"/>
      <c r="ID18" s="728"/>
      <c r="IE18" s="728"/>
      <c r="IF18" s="728"/>
      <c r="IG18" s="728"/>
      <c r="IH18" s="728"/>
      <c r="II18" s="728"/>
      <c r="IJ18" s="728"/>
      <c r="IK18" s="728"/>
      <c r="IL18" s="728"/>
      <c r="IM18" s="728"/>
      <c r="IN18" s="728"/>
      <c r="IO18" s="728"/>
      <c r="IP18" s="728"/>
      <c r="IQ18" s="728"/>
      <c r="IR18" s="728"/>
      <c r="IS18" s="728"/>
      <c r="IT18" s="728"/>
      <c r="IU18" s="728"/>
      <c r="IV18" s="728"/>
      <c r="IW18" s="728"/>
    </row>
    <row r="19" customFormat="false" ht="24" hidden="false" customHeight="true" outlineLevel="0" collapsed="false">
      <c r="A19" s="842" t="inlineStr">
        <is>
          <t xml:space="preserve"> 20-C. 다수인 피난장비</t>
        </is>
      </c>
      <c r="B19" s="842"/>
      <c r="C19" s="842"/>
    </row>
    <row r="20" customFormat="false" ht="21.75" hidden="false" customHeight="true" outlineLevel="0" collapsed="false">
      <c r="A20" s="795" t="inlineStr">
        <is>
          <t xml:space="preserve">20-C-001</t>
        </is>
      </c>
      <c r="B20" s="796" t="inlineStr">
        <is>
          <t xml:space="preserve">● 설치장소 적정(피난용이, 안전하게 하강, 피난층의 충분한 착지 공간) 여부</t>
        </is>
      </c>
      <c r="C20" s="737"/>
    </row>
    <row r="21" customFormat="false" ht="21.75" hidden="false" customHeight="true" outlineLevel="0" collapsed="false">
      <c r="A21" s="798" t="inlineStr">
        <is>
          <t xml:space="preserve">20-C-002</t>
        </is>
      </c>
      <c r="B21" s="746" t="inlineStr">
        <is>
          <t xml:space="preserve">● 보관실 설치 적정(건물외측 돌출, 빗물·먼지 등으로부터 장비 보호) 여부</t>
        </is>
      </c>
      <c r="C21" s="737"/>
    </row>
    <row r="22" customFormat="false" ht="21.75" hidden="false" customHeight="true" outlineLevel="0" collapsed="false">
      <c r="A22" s="798" t="inlineStr">
        <is>
          <t xml:space="preserve">20-C-003</t>
        </is>
      </c>
      <c r="B22" s="746" t="inlineStr">
        <is>
          <t xml:space="preserve">● 보관실 외측문 개방 및 탑승기 자동 전개 여부</t>
        </is>
      </c>
      <c r="C22" s="737"/>
    </row>
    <row r="23" customFormat="false" ht="21.75" hidden="false" customHeight="true" outlineLevel="0" collapsed="false">
      <c r="A23" s="799" t="inlineStr">
        <is>
          <t xml:space="preserve">20-C-004</t>
        </is>
      </c>
      <c r="B23" s="800" t="inlineStr">
        <is>
          <t xml:space="preserve">● 보관실 문 오작동 방지조치 및 문 개방 시 경보설비 연동(경보) 여부</t>
        </is>
      </c>
      <c r="C23" s="734"/>
    </row>
    <row r="24" customFormat="false" ht="21.75" hidden="false" customHeight="true" outlineLevel="0" collapsed="false">
      <c r="A24" s="842" t="inlineStr">
        <is>
          <t xml:space="preserve"> 20-D. 승강식 피난기‧하향식 피난구용 내림식 사다리</t>
        </is>
      </c>
      <c r="B24" s="842"/>
      <c r="C24" s="842"/>
    </row>
    <row r="25" customFormat="false" ht="21.75" hidden="false" customHeight="true" outlineLevel="0" collapsed="false">
      <c r="A25" s="795" t="inlineStr">
        <is>
          <t xml:space="preserve">20-D-001</t>
        </is>
      </c>
      <c r="B25" s="796" t="inlineStr">
        <is>
          <t xml:space="preserve">● 대피실 출입문 갑종방화문 설치 및 표지 부착 여부</t>
        </is>
      </c>
      <c r="C25" s="737"/>
    </row>
    <row r="26" customFormat="false" ht="21.75" hidden="false" customHeight="true" outlineLevel="0" collapsed="false">
      <c r="A26" s="798" t="inlineStr">
        <is>
          <t xml:space="preserve">20-D-002</t>
        </is>
      </c>
      <c r="B26" s="746" t="inlineStr">
        <is>
          <t xml:space="preserve">● 대피실 표지(층별 위치표시, 피난기구 사용설명서 및 주의사항) 부착 여부 </t>
        </is>
      </c>
      <c r="C26" s="737"/>
    </row>
    <row r="27" customFormat="false" ht="33.75" hidden="false" customHeight="true" outlineLevel="0" collapsed="false">
      <c r="A27" s="798" t="inlineStr">
        <is>
          <t xml:space="preserve">20-D-003</t>
        </is>
      </c>
      <c r="B27" s="746" t="inlineStr">
        <is>
          <t xml:space="preserve">● 대피실 출입문 개방 및 피난기구 작동 시 표시등·경보장치 작동 적정 여부 및
   감시제어반 피난기구 작동 확인 가능 여부</t>
        </is>
      </c>
      <c r="C27" s="737"/>
    </row>
    <row r="28" customFormat="false" ht="21.75" hidden="false" customHeight="true" outlineLevel="0" collapsed="false">
      <c r="A28" s="798" t="inlineStr">
        <is>
          <t xml:space="preserve">20-D-004</t>
        </is>
      </c>
      <c r="B28" s="746" t="inlineStr">
        <is>
          <t xml:space="preserve">● 대피실 면적 및 하강구 규격 적정 여부</t>
        </is>
      </c>
      <c r="C28" s="737"/>
    </row>
    <row r="29" customFormat="false" ht="21.75" hidden="false" customHeight="true" outlineLevel="0" collapsed="false">
      <c r="A29" s="798" t="inlineStr">
        <is>
          <t xml:space="preserve">20-D-005</t>
        </is>
      </c>
      <c r="B29" s="746" t="inlineStr">
        <is>
          <t xml:space="preserve">● 하강구 내측 연결금속구 존재 및 피난기구 전개 시 장애발생 여부</t>
        </is>
      </c>
      <c r="C29" s="737"/>
    </row>
    <row r="30" customFormat="false" ht="21.75" hidden="false" customHeight="true" outlineLevel="0" collapsed="false">
      <c r="A30" s="799" t="inlineStr">
        <is>
          <t xml:space="preserve">20-D-006</t>
        </is>
      </c>
      <c r="B30" s="800" t="inlineStr">
        <is>
          <t xml:space="preserve">● 대피실 내부 비상조명등 설치 여부</t>
        </is>
      </c>
      <c r="C30" s="734"/>
    </row>
    <row r="31" customFormat="false" ht="21.75" hidden="false" customHeight="true" outlineLevel="0" collapsed="false">
      <c r="A31" s="724" t="inlineStr">
        <is>
          <t xml:space="preserve"> 20-E. 인명구조기구</t>
        </is>
      </c>
      <c r="B31" s="724"/>
      <c r="C31" s="724"/>
    </row>
    <row r="32" customFormat="false" ht="21.75" hidden="false" customHeight="true" outlineLevel="0" collapsed="false">
      <c r="A32" s="798" t="inlineStr">
        <is>
          <t xml:space="preserve">20-E-001</t>
        </is>
      </c>
      <c r="B32" s="746" t="inlineStr">
        <is>
          <t xml:space="preserve">○ 설치 장소 적정(화재시 반출 용이성) 여부</t>
        </is>
      </c>
      <c r="C32" s="737"/>
    </row>
    <row r="33" customFormat="false" ht="21.75" hidden="false" customHeight="true" outlineLevel="0" collapsed="false">
      <c r="A33" s="798" t="inlineStr">
        <is>
          <t xml:space="preserve">20-E-002</t>
        </is>
      </c>
      <c r="B33" s="746" t="inlineStr">
        <is>
          <t xml:space="preserve">○ “인명구조기구” 표시 및 사용방법 표지 설치 적정 여부</t>
        </is>
      </c>
      <c r="C33" s="737"/>
    </row>
    <row r="34" customFormat="false" ht="21.75" hidden="false" customHeight="true" outlineLevel="0" collapsed="false">
      <c r="A34" s="798" t="inlineStr">
        <is>
          <t xml:space="preserve">20-E-003</t>
        </is>
      </c>
      <c r="B34" s="746" t="inlineStr">
        <is>
          <t xml:space="preserve">○ 인명구조기구의 변형 또는 손상이 있는지 여부</t>
        </is>
      </c>
      <c r="C34" s="737"/>
    </row>
    <row r="35" customFormat="false" ht="21.75" hidden="false" customHeight="true" outlineLevel="0" collapsed="false">
      <c r="A35" s="799" t="inlineStr">
        <is>
          <t xml:space="preserve">20-E-004</t>
        </is>
      </c>
      <c r="B35" s="800" t="inlineStr">
        <is>
          <t xml:space="preserve">● 대상물 용도별․장소별 설치 인명구조기구 종류 및 설치개수 적정 여부</t>
        </is>
      </c>
      <c r="C35" s="734"/>
    </row>
    <row r="36" customFormat="false" ht="21.75" hidden="false" customHeight="true" outlineLevel="0" collapsed="false">
      <c r="A36" s="764" t="inlineStr">
        <is>
          <t xml:space="preserve">비고</t>
        </is>
      </c>
      <c r="B36" s="820"/>
      <c r="C36" s="820"/>
    </row>
  </sheetData>
  <mergeCells count="7">
    <mergeCell ref="A1:C1"/>
    <mergeCell ref="A3:C3"/>
    <mergeCell ref="A11:C11"/>
    <mergeCell ref="A19:C19"/>
    <mergeCell ref="A24:C24"/>
    <mergeCell ref="A31:C31"/>
    <mergeCell ref="B36:C36"/>
  </mergeCells>
  <dataValidations count="2">
    <dataValidation allowBlank="true" errorStyle="stop" operator="between" showDropDown="false" showErrorMessage="true" showInputMessage="false" sqref="H7:H9" type="list">
      <formula1>$C$4:$C$11</formula1>
      <formula2>0</formula2>
    </dataValidation>
    <dataValidation allowBlank="true" errorStyle="stop" operator="between" showDropDown="false" showErrorMessage="true" showInputMessage="false" sqref="C4:C10 C12:C18 C20:C23 C25:C30 C32:C35" type="list">
      <formula1>$H$7:$H$9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6" activeCellId="0" sqref="H6:H8"/>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21. 유도등 및 유도표지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21-A. 유도등</t>
        </is>
      </c>
      <c r="B3" s="759"/>
      <c r="C3" s="759"/>
    </row>
    <row r="4" customFormat="false" ht="21.75" hidden="false" customHeight="true" outlineLevel="0" collapsed="false">
      <c r="A4" s="795" t="inlineStr">
        <is>
          <t xml:space="preserve">21-A-001</t>
        </is>
      </c>
      <c r="B4" s="796" t="inlineStr">
        <is>
          <t xml:space="preserve">○ 유도등의 변형 및 손상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21-A-002</t>
        </is>
      </c>
      <c r="B5" s="746" t="inlineStr">
        <is>
          <t xml:space="preserve">○ 상시(3선식의 경우 점검스위치 작동시) 점등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21-A-003</t>
        </is>
      </c>
      <c r="B6" s="746" t="inlineStr">
        <is>
          <t xml:space="preserve">○ 시각장애(규정된 높이, 적정위치, 장애물 등으로 인한 시각장애 유무) 여부</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21-A-004</t>
        </is>
      </c>
      <c r="B7" s="746" t="inlineStr">
        <is>
          <t xml:space="preserve">○ 비상전원 성능 적정 및 상용전원 차단 시 예비전원 자동전환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21-A-005</t>
        </is>
      </c>
      <c r="B8" s="746" t="inlineStr">
        <is>
          <t xml:space="preserve">● 설치 장소(위치) 적정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21-A-006</t>
        </is>
      </c>
      <c r="B9" s="746" t="inlineStr">
        <is>
          <t xml:space="preserve">● 설치 높이 적정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9" t="inlineStr">
        <is>
          <t xml:space="preserve">21-A-007</t>
        </is>
      </c>
      <c r="B10" s="800" t="inlineStr">
        <is>
          <t xml:space="preserve">● 객석유도등의 설치 개수 적정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4" hidden="false" customHeight="true" outlineLevel="0" collapsed="false">
      <c r="A11" s="842" t="inlineStr">
        <is>
          <t xml:space="preserve"> 21-B. 유도표지</t>
        </is>
      </c>
      <c r="B11" s="842"/>
      <c r="C11" s="842"/>
    </row>
    <row r="12" customFormat="false" ht="21.75" hidden="false" customHeight="true" outlineLevel="0" collapsed="false">
      <c r="A12" s="795" t="inlineStr">
        <is>
          <t xml:space="preserve">21-B-001</t>
        </is>
      </c>
      <c r="B12" s="796" t="inlineStr">
        <is>
          <t xml:space="preserve">○ 유도표지의 변형 및 손상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21-B-002</t>
        </is>
      </c>
      <c r="B13" s="746" t="inlineStr">
        <is>
          <t xml:space="preserve">○ 설치 상태(유사 등화광고물․게시물 존재, 쉽게 떨어지지 않는 방식)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8" t="inlineStr">
        <is>
          <t xml:space="preserve">21-B-003</t>
        </is>
      </c>
      <c r="B14" s="746" t="inlineStr">
        <is>
          <t xml:space="preserve">○ 외광·조명장치로 상시 조명 제공 또는 비상조명등 설치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1.75" hidden="false" customHeight="true" outlineLevel="0" collapsed="false">
      <c r="A15" s="799" t="inlineStr">
        <is>
          <t xml:space="preserve">21-B-004</t>
        </is>
      </c>
      <c r="B15" s="800" t="inlineStr">
        <is>
          <t xml:space="preserve">○ 설치 방법(위치 및 높이) 적정 여부</t>
        </is>
      </c>
      <c r="C15" s="737"/>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24" hidden="false" customHeight="true" outlineLevel="0" collapsed="false">
      <c r="A16" s="724" t="inlineStr">
        <is>
          <t xml:space="preserve"> 21-C. 피난유도선</t>
        </is>
      </c>
      <c r="B16" s="724"/>
      <c r="C16" s="724"/>
    </row>
    <row r="17" customFormat="false" ht="21.75" hidden="false" customHeight="true" outlineLevel="0" collapsed="false">
      <c r="A17" s="798" t="inlineStr">
        <is>
          <t xml:space="preserve">21-C-001</t>
        </is>
      </c>
      <c r="B17" s="746" t="inlineStr">
        <is>
          <t xml:space="preserve">○ 피난유도선의 변형 및 손상 여부</t>
        </is>
      </c>
      <c r="C17" s="737"/>
    </row>
    <row r="18" customFormat="false" ht="21.75" hidden="false" customHeight="true" outlineLevel="0" collapsed="false">
      <c r="A18" s="799" t="inlineStr">
        <is>
          <t xml:space="preserve">21-C-002</t>
        </is>
      </c>
      <c r="B18" s="800" t="inlineStr">
        <is>
          <t xml:space="preserve">○ 설치 방법(위치·높이 및 간격) 적정 여부</t>
        </is>
      </c>
      <c r="C18" s="737"/>
    </row>
    <row r="19" customFormat="false" ht="21.75" hidden="false" customHeight="true" outlineLevel="0" collapsed="false">
      <c r="A19" s="795" t="inlineStr">
        <is>
          <t xml:space="preserve">  </t>
        </is>
      </c>
      <c r="B19" s="817" t="inlineStr">
        <is>
          <t xml:space="preserve"> [축광방식의 경우]</t>
        </is>
      </c>
      <c r="C19" s="758"/>
    </row>
    <row r="20" customFormat="false" ht="21.75" hidden="false" customHeight="true" outlineLevel="0" collapsed="false">
      <c r="A20" s="798" t="inlineStr">
        <is>
          <t xml:space="preserve">21-C-011</t>
        </is>
      </c>
      <c r="B20" s="746" t="inlineStr">
        <is>
          <t xml:space="preserve">● 부착대에 견고하게 설치 여부</t>
        </is>
      </c>
      <c r="C20" s="737"/>
    </row>
    <row r="21" customFormat="false" ht="21.75" hidden="false" customHeight="true" outlineLevel="0" collapsed="false">
      <c r="A21" s="799" t="inlineStr">
        <is>
          <t xml:space="preserve">21-C-012</t>
        </is>
      </c>
      <c r="B21" s="800" t="inlineStr">
        <is>
          <t xml:space="preserve">○ 상시조명 제공 여부</t>
        </is>
      </c>
      <c r="C21" s="737"/>
    </row>
    <row r="22" customFormat="false" ht="21.75" hidden="false" customHeight="true" outlineLevel="0" collapsed="false">
      <c r="A22" s="795" t="inlineStr">
        <is>
          <t xml:space="preserve">  </t>
        </is>
      </c>
      <c r="B22" s="817" t="inlineStr">
        <is>
          <t xml:space="preserve"> [광원점등방식의 경우]</t>
        </is>
      </c>
      <c r="C22" s="734"/>
    </row>
    <row r="23" customFormat="false" ht="21.75" hidden="false" customHeight="true" outlineLevel="0" collapsed="false">
      <c r="A23" s="798" t="inlineStr">
        <is>
          <t xml:space="preserve">21-C-021</t>
        </is>
      </c>
      <c r="B23" s="746" t="inlineStr">
        <is>
          <t xml:space="preserve">○ 수신기 화재신호 및 수동조작에 의한 광원점등 여부</t>
        </is>
      </c>
      <c r="C23" s="734"/>
    </row>
    <row r="24" customFormat="false" ht="21.75" hidden="false" customHeight="true" outlineLevel="0" collapsed="false">
      <c r="A24" s="798" t="inlineStr">
        <is>
          <t xml:space="preserve">21-C-022</t>
        </is>
      </c>
      <c r="B24" s="746" t="inlineStr">
        <is>
          <t xml:space="preserve">○ 비상전원 상시 충전상태 유지 여부</t>
        </is>
      </c>
      <c r="C24" s="734"/>
    </row>
    <row r="25" customFormat="false" ht="21.75" hidden="false" customHeight="true" outlineLevel="0" collapsed="false">
      <c r="A25" s="798" t="inlineStr">
        <is>
          <t xml:space="preserve">21-C-023</t>
        </is>
      </c>
      <c r="B25" s="746" t="inlineStr">
        <is>
          <t xml:space="preserve">● 바닥에 설치되는 경우 매립방식 설치 여부</t>
        </is>
      </c>
      <c r="C25" s="737"/>
    </row>
    <row r="26" customFormat="false" ht="21.75" hidden="false" customHeight="true" outlineLevel="0" collapsed="false">
      <c r="A26" s="799" t="inlineStr">
        <is>
          <t xml:space="preserve">21-C-024</t>
        </is>
      </c>
      <c r="B26" s="800" t="inlineStr">
        <is>
          <t xml:space="preserve">● 제어부 설치위치 적정 여부</t>
        </is>
      </c>
      <c r="C26" s="737"/>
    </row>
    <row r="27" customFormat="false" ht="34.5" hidden="false" customHeight="true" outlineLevel="0" collapsed="false">
      <c r="A27" s="764" t="inlineStr">
        <is>
          <t xml:space="preserve">비고</t>
        </is>
      </c>
      <c r="B27" s="820"/>
      <c r="C27" s="820"/>
    </row>
  </sheetData>
  <mergeCells count="5">
    <mergeCell ref="A1:C1"/>
    <mergeCell ref="A3:C3"/>
    <mergeCell ref="A11:C11"/>
    <mergeCell ref="A16:C16"/>
    <mergeCell ref="B27:C27"/>
  </mergeCells>
  <dataValidations count="2">
    <dataValidation allowBlank="true" errorStyle="stop" operator="between" showDropDown="false" showErrorMessage="true" showInputMessage="false" sqref="H6:H8" type="list">
      <formula1>$C$4:$C$11</formula1>
      <formula2>0</formula2>
    </dataValidation>
    <dataValidation allowBlank="true" errorStyle="stop" operator="between" showDropDown="false" showErrorMessage="true" showInputMessage="false" sqref="C4:C10 C12:C15 C17:C18 C20:C21 C23:C26" type="list">
      <formula1>$H$6:$H$8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 activeCellId="0" sqref="H5:H7"/>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22. 비상조명등 및 휴대용비상조명등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22-A. 비상조명등</t>
        </is>
      </c>
      <c r="B3" s="759"/>
      <c r="C3" s="759"/>
    </row>
    <row r="4" customFormat="false" ht="21.75" hidden="false" customHeight="true" outlineLevel="0" collapsed="false">
      <c r="A4" s="795" t="inlineStr">
        <is>
          <t xml:space="preserve">22-A-001</t>
        </is>
      </c>
      <c r="B4" s="796" t="inlineStr">
        <is>
          <t xml:space="preserve">○ 설치 위치(거실, 지상에 이르는 복도․계단, 그 밖의 통로)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22-A-002</t>
        </is>
      </c>
      <c r="B5" s="746" t="inlineStr">
        <is>
          <t xml:space="preserve">○ 비상조명등 변형·손상 확인 및 정상 점등 여부</t>
        </is>
      </c>
      <c r="C5" s="737"/>
      <c r="D5" s="728"/>
      <c r="E5" s="728"/>
      <c r="F5" s="728"/>
      <c r="G5" s="728"/>
      <c r="H5" s="727" t="inlineStr">
        <is>
          <t xml:space="preserve">○</t>
        </is>
      </c>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22-A-003</t>
        </is>
      </c>
      <c r="B6" s="746" t="inlineStr">
        <is>
          <t xml:space="preserve">● 조도 적정 여부</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22-A-004</t>
        </is>
      </c>
      <c r="B7" s="746" t="inlineStr">
        <is>
          <t xml:space="preserve">○ 예비전원 내장형의 경우 점검스위치 설치 및 정상 작동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22-A-005</t>
        </is>
      </c>
      <c r="B8" s="746" t="inlineStr">
        <is>
          <t xml:space="preserve">● 비상전원 종류 및 설치장소 기준 적합 여부</t>
        </is>
      </c>
      <c r="C8" s="73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9" t="inlineStr">
        <is>
          <t xml:space="preserve">22-A-006</t>
        </is>
      </c>
      <c r="B9" s="800" t="inlineStr">
        <is>
          <t xml:space="preserve">○ 비상전원 성능 적정 및 상용전원 차단 시 예비전원 자동전환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4" hidden="false" customHeight="true" outlineLevel="0" collapsed="false">
      <c r="A10" s="842" t="inlineStr">
        <is>
          <t xml:space="preserve"> 22-B. 휴대용비상조명등</t>
        </is>
      </c>
      <c r="B10" s="842"/>
      <c r="C10" s="842"/>
    </row>
    <row r="11" customFormat="false" ht="21.75" hidden="false" customHeight="true" outlineLevel="0" collapsed="false">
      <c r="A11" s="795" t="inlineStr">
        <is>
          <t xml:space="preserve">22-B-001</t>
        </is>
      </c>
      <c r="B11" s="796" t="inlineStr">
        <is>
          <t xml:space="preserve">○ 설치 대상 및 설치 수량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22-B-002</t>
        </is>
      </c>
      <c r="B12" s="746" t="inlineStr">
        <is>
          <t xml:space="preserve">○ 설치 높이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22-B-003</t>
        </is>
      </c>
      <c r="B13" s="746" t="inlineStr">
        <is>
          <t xml:space="preserve">○ 휴대용비상조명등의 변형 및 손상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8" t="inlineStr">
        <is>
          <t xml:space="preserve">22-B-004</t>
        </is>
      </c>
      <c r="B14" s="746" t="inlineStr">
        <is>
          <t xml:space="preserve">○ 어둠 속에서 위치를 확인할 수 있는 구조인지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1.75" hidden="false" customHeight="true" outlineLevel="0" collapsed="false">
      <c r="A15" s="798" t="inlineStr">
        <is>
          <t xml:space="preserve">22-B-005</t>
        </is>
      </c>
      <c r="B15" s="746" t="inlineStr">
        <is>
          <t xml:space="preserve">○ 사용 시 자동으로 점등되는지 여부</t>
        </is>
      </c>
      <c r="C15" s="737"/>
    </row>
    <row r="16" customFormat="false" ht="21.75" hidden="false" customHeight="true" outlineLevel="0" collapsed="false">
      <c r="A16" s="798" t="inlineStr">
        <is>
          <t xml:space="preserve">22-B-006</t>
        </is>
      </c>
      <c r="B16" s="746" t="inlineStr">
        <is>
          <t xml:space="preserve">○ 건전지를 사용하는 경우 유효한 방전 방지조치가 되어있는지 여부</t>
        </is>
      </c>
      <c r="C16" s="737"/>
    </row>
    <row r="17" customFormat="false" ht="21.75" hidden="false" customHeight="true" outlineLevel="0" collapsed="false">
      <c r="A17" s="799" t="inlineStr">
        <is>
          <t xml:space="preserve">22-B-007</t>
        </is>
      </c>
      <c r="B17" s="800" t="inlineStr">
        <is>
          <t xml:space="preserve">○ 충전식 배터리의 경우에는 상시 충전되도록 되어 있는지의 여부</t>
        </is>
      </c>
      <c r="C17" s="734"/>
    </row>
    <row r="18" customFormat="false" ht="34.5" hidden="false" customHeight="true" outlineLevel="0" collapsed="false">
      <c r="A18" s="764" t="inlineStr">
        <is>
          <t xml:space="preserve">비고</t>
        </is>
      </c>
      <c r="B18" s="820"/>
      <c r="C18" s="820"/>
    </row>
  </sheetData>
  <mergeCells count="4">
    <mergeCell ref="A1:C1"/>
    <mergeCell ref="A3:C3"/>
    <mergeCell ref="A10:C10"/>
    <mergeCell ref="B18:C18"/>
  </mergeCells>
  <dataValidations count="2">
    <dataValidation allowBlank="true" errorStyle="stop" operator="between" showDropDown="false" showErrorMessage="true" showInputMessage="false" sqref="H5:H7" type="list">
      <formula1>$C$4:$C$11</formula1>
      <formula2>0</formula2>
    </dataValidation>
    <dataValidation allowBlank="true" errorStyle="stop" operator="between" showDropDown="false" showErrorMessage="true" showInputMessage="false" sqref="C4:C9 C11:C17" type="list">
      <formula1>$H$5:$H$7</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6" activeCellId="0" sqref="H6:H8"/>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23. 소화용수설비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23-A. 소화수조 및 저수조</t>
        </is>
      </c>
      <c r="B3" s="759"/>
      <c r="C3" s="759"/>
    </row>
    <row r="4" customFormat="false" ht="21.75" hidden="false" customHeight="true" outlineLevel="0" collapsed="false">
      <c r="A4" s="795" t="inlineStr">
        <is>
          <t xml:space="preserve">  </t>
        </is>
      </c>
      <c r="B4" s="817" t="inlineStr">
        <is>
          <t xml:space="preserve"> [수원]</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9" t="inlineStr">
        <is>
          <t xml:space="preserve">23-A-001</t>
        </is>
      </c>
      <c r="B5" s="800" t="inlineStr">
        <is>
          <t xml:space="preserve">○ 수원의 유효수량 적정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5" t="inlineStr">
        <is>
          <t xml:space="preserve">  </t>
        </is>
      </c>
      <c r="B6" s="817" t="inlineStr">
        <is>
          <t xml:space="preserve"> [흡수관투입구]</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23-A-011</t>
        </is>
      </c>
      <c r="B7" s="746" t="inlineStr">
        <is>
          <t xml:space="preserve">○ 소방차 접근 용이성 적정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8" t="inlineStr">
        <is>
          <t xml:space="preserve">23-A-012</t>
        </is>
      </c>
      <c r="B8" s="746" t="inlineStr">
        <is>
          <t xml:space="preserve">● 크기 및 수량 적정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9" t="inlineStr">
        <is>
          <t xml:space="preserve">23-A-013</t>
        </is>
      </c>
      <c r="B9" s="800" t="inlineStr">
        <is>
          <t xml:space="preserve">○“흡수관투입구”표지 설치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5" t="inlineStr">
        <is>
          <t xml:space="preserve">  </t>
        </is>
      </c>
      <c r="B10" s="817" t="inlineStr">
        <is>
          <t xml:space="preserve"> [채수구]</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23-A-021</t>
        </is>
      </c>
      <c r="B11" s="746" t="inlineStr">
        <is>
          <t xml:space="preserve">○ 소방차 접근 용이성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23-A-022</t>
        </is>
      </c>
      <c r="B12" s="746" t="inlineStr">
        <is>
          <t xml:space="preserve">● 결합금속구 구경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23-A-023</t>
        </is>
      </c>
      <c r="B13" s="746" t="inlineStr">
        <is>
          <t xml:space="preserve">● 채수구 수량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9" t="inlineStr">
        <is>
          <t xml:space="preserve">23-A-024</t>
        </is>
      </c>
      <c r="B14" s="800" t="inlineStr">
        <is>
          <t xml:space="preserve">○ 개폐밸브의 조작 용이성 여부</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1.75" hidden="false" customHeight="true" outlineLevel="0" collapsed="false">
      <c r="A15" s="795" t="inlineStr">
        <is>
          <t xml:space="preserve">  </t>
        </is>
      </c>
      <c r="B15" s="817" t="inlineStr">
        <is>
          <t xml:space="preserve"> [가압송수장치]</t>
        </is>
      </c>
      <c r="C15" s="737"/>
      <c r="D15" s="728"/>
      <c r="E15" s="728"/>
      <c r="F15" s="728"/>
      <c r="G15" s="728"/>
      <c r="H15" s="728"/>
      <c r="I15" s="728"/>
      <c r="J15" s="728"/>
      <c r="K15" s="728"/>
      <c r="L15" s="728"/>
      <c r="M15" s="728"/>
      <c r="N15" s="728"/>
      <c r="O15" s="728"/>
      <c r="P15" s="728"/>
      <c r="Q15" s="728"/>
      <c r="R15" s="728"/>
      <c r="S15" s="728"/>
      <c r="T15" s="728"/>
      <c r="U15" s="728"/>
      <c r="V15" s="728"/>
      <c r="W15" s="728"/>
      <c r="X15" s="728"/>
      <c r="Y15" s="728"/>
      <c r="Z15" s="728"/>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8"/>
      <c r="BN15" s="728"/>
      <c r="BO15" s="728"/>
      <c r="BP15" s="728"/>
      <c r="BQ15" s="728"/>
      <c r="BR15" s="728"/>
      <c r="BS15" s="728"/>
      <c r="BT15" s="728"/>
      <c r="BU15" s="728"/>
      <c r="BV15" s="728"/>
      <c r="BW15" s="728"/>
      <c r="BX15" s="728"/>
      <c r="BY15" s="728"/>
      <c r="BZ15" s="728"/>
      <c r="CA15" s="728"/>
      <c r="CB15" s="728"/>
      <c r="CC15" s="728"/>
      <c r="CD15" s="728"/>
      <c r="CE15" s="728"/>
      <c r="CF15" s="728"/>
      <c r="CG15" s="728"/>
      <c r="CH15" s="728"/>
      <c r="CI15" s="728"/>
      <c r="CJ15" s="728"/>
      <c r="CK15" s="728"/>
      <c r="CL15" s="728"/>
      <c r="CM15" s="728"/>
      <c r="CN15" s="728"/>
      <c r="CO15" s="728"/>
      <c r="CP15" s="728"/>
      <c r="CQ15" s="728"/>
      <c r="CR15" s="728"/>
      <c r="CS15" s="728"/>
      <c r="CT15" s="728"/>
      <c r="CU15" s="728"/>
      <c r="CV15" s="728"/>
      <c r="CW15" s="728"/>
      <c r="CX15" s="728"/>
      <c r="CY15" s="728"/>
      <c r="CZ15" s="728"/>
      <c r="DA15" s="728"/>
      <c r="DB15" s="728"/>
      <c r="DC15" s="728"/>
      <c r="DD15" s="728"/>
      <c r="DE15" s="728"/>
      <c r="DF15" s="728"/>
      <c r="DG15" s="728"/>
      <c r="DH15" s="728"/>
      <c r="DI15" s="728"/>
      <c r="DJ15" s="728"/>
      <c r="DK15" s="728"/>
      <c r="DL15" s="728"/>
      <c r="DM15" s="728"/>
      <c r="DN15" s="728"/>
      <c r="DO15" s="728"/>
      <c r="DP15" s="728"/>
      <c r="DQ15" s="728"/>
      <c r="DR15" s="728"/>
      <c r="DS15" s="728"/>
      <c r="DT15" s="728"/>
      <c r="DU15" s="728"/>
      <c r="DV15" s="728"/>
      <c r="DW15" s="728"/>
      <c r="DX15" s="728"/>
      <c r="DY15" s="728"/>
      <c r="DZ15" s="728"/>
      <c r="EA15" s="728"/>
      <c r="EB15" s="728"/>
      <c r="EC15" s="728"/>
      <c r="ED15" s="728"/>
      <c r="EE15" s="728"/>
      <c r="EF15" s="728"/>
      <c r="EG15" s="728"/>
      <c r="EH15" s="728"/>
      <c r="EI15" s="728"/>
      <c r="EJ15" s="728"/>
      <c r="EK15" s="728"/>
      <c r="EL15" s="728"/>
      <c r="EM15" s="728"/>
      <c r="EN15" s="728"/>
      <c r="EO15" s="728"/>
      <c r="EP15" s="728"/>
      <c r="EQ15" s="728"/>
      <c r="ER15" s="728"/>
      <c r="ES15" s="728"/>
      <c r="ET15" s="728"/>
      <c r="EU15" s="728"/>
      <c r="EV15" s="728"/>
      <c r="EW15" s="728"/>
      <c r="EX15" s="728"/>
      <c r="EY15" s="728"/>
      <c r="EZ15" s="728"/>
      <c r="FA15" s="728"/>
      <c r="FB15" s="728"/>
      <c r="FC15" s="728"/>
      <c r="FD15" s="728"/>
      <c r="FE15" s="728"/>
      <c r="FF15" s="728"/>
      <c r="FG15" s="728"/>
      <c r="FH15" s="728"/>
      <c r="FI15" s="728"/>
      <c r="FJ15" s="728"/>
      <c r="FK15" s="728"/>
      <c r="FL15" s="728"/>
      <c r="FM15" s="728"/>
      <c r="FN15" s="728"/>
      <c r="FO15" s="728"/>
      <c r="FP15" s="728"/>
      <c r="FQ15" s="728"/>
      <c r="FR15" s="728"/>
      <c r="FS15" s="728"/>
      <c r="FT15" s="728"/>
      <c r="FU15" s="728"/>
      <c r="FV15" s="728"/>
      <c r="FW15" s="728"/>
      <c r="FX15" s="728"/>
      <c r="FY15" s="728"/>
      <c r="FZ15" s="728"/>
      <c r="GA15" s="728"/>
      <c r="GB15" s="728"/>
      <c r="GC15" s="728"/>
      <c r="GD15" s="728"/>
      <c r="GE15" s="728"/>
      <c r="GF15" s="728"/>
      <c r="GG15" s="728"/>
      <c r="GH15" s="728"/>
      <c r="GI15" s="728"/>
      <c r="GJ15" s="728"/>
      <c r="GK15" s="728"/>
      <c r="GL15" s="728"/>
      <c r="GM15" s="728"/>
      <c r="GN15" s="728"/>
      <c r="GO15" s="728"/>
      <c r="GP15" s="728"/>
      <c r="GQ15" s="728"/>
      <c r="GR15" s="728"/>
      <c r="GS15" s="728"/>
      <c r="GT15" s="728"/>
      <c r="GU15" s="728"/>
      <c r="GV15" s="728"/>
      <c r="GW15" s="728"/>
      <c r="GX15" s="728"/>
      <c r="GY15" s="728"/>
      <c r="GZ15" s="728"/>
      <c r="HA15" s="728"/>
      <c r="HB15" s="728"/>
      <c r="HC15" s="728"/>
      <c r="HD15" s="728"/>
      <c r="HE15" s="728"/>
      <c r="HF15" s="728"/>
      <c r="HG15" s="728"/>
      <c r="HH15" s="728"/>
      <c r="HI15" s="728"/>
      <c r="HJ15" s="728"/>
      <c r="HK15" s="728"/>
      <c r="HL15" s="728"/>
      <c r="HM15" s="728"/>
      <c r="HN15" s="728"/>
      <c r="HO15" s="728"/>
      <c r="HP15" s="728"/>
      <c r="HQ15" s="728"/>
      <c r="HR15" s="728"/>
      <c r="HS15" s="728"/>
      <c r="HT15" s="728"/>
      <c r="HU15" s="728"/>
      <c r="HV15" s="728"/>
      <c r="HW15" s="728"/>
      <c r="HX15" s="728"/>
      <c r="HY15" s="728"/>
      <c r="HZ15" s="728"/>
      <c r="IA15" s="728"/>
      <c r="IB15" s="728"/>
      <c r="IC15" s="728"/>
      <c r="ID15" s="728"/>
      <c r="IE15" s="728"/>
      <c r="IF15" s="728"/>
      <c r="IG15" s="728"/>
      <c r="IH15" s="728"/>
      <c r="II15" s="728"/>
      <c r="IJ15" s="728"/>
      <c r="IK15" s="728"/>
      <c r="IL15" s="728"/>
      <c r="IM15" s="728"/>
      <c r="IN15" s="728"/>
      <c r="IO15" s="728"/>
      <c r="IP15" s="728"/>
      <c r="IQ15" s="728"/>
      <c r="IR15" s="728"/>
      <c r="IS15" s="728"/>
      <c r="IT15" s="728"/>
      <c r="IU15" s="728"/>
      <c r="IV15" s="728"/>
      <c r="IW15" s="728"/>
    </row>
    <row r="16" customFormat="false" ht="21.75" hidden="false" customHeight="true" outlineLevel="0" collapsed="false">
      <c r="A16" s="798" t="inlineStr">
        <is>
          <t xml:space="preserve">23-A-031</t>
        </is>
      </c>
      <c r="B16" s="746" t="inlineStr">
        <is>
          <t xml:space="preserve">○ 기동스위치 채수구 직근 설치 여부 및 정상 작동 여부</t>
        </is>
      </c>
      <c r="C16" s="737"/>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c r="AH16" s="728"/>
      <c r="AI16" s="728"/>
      <c r="AJ16" s="728"/>
      <c r="AK16" s="728"/>
      <c r="AL16" s="728"/>
      <c r="AM16" s="728"/>
      <c r="AN16" s="728"/>
      <c r="AO16" s="728"/>
      <c r="AP16" s="728"/>
      <c r="AQ16" s="728"/>
      <c r="AR16" s="728"/>
      <c r="AS16" s="728"/>
      <c r="AT16" s="728"/>
      <c r="AU16" s="728"/>
      <c r="AV16" s="728"/>
      <c r="AW16" s="728"/>
      <c r="AX16" s="728"/>
      <c r="AY16" s="728"/>
      <c r="AZ16" s="728"/>
      <c r="BA16" s="728"/>
      <c r="BB16" s="728"/>
      <c r="BC16" s="728"/>
      <c r="BD16" s="728"/>
      <c r="BE16" s="728"/>
      <c r="BF16" s="728"/>
      <c r="BG16" s="728"/>
      <c r="BH16" s="728"/>
      <c r="BI16" s="728"/>
      <c r="BJ16" s="728"/>
      <c r="BK16" s="728"/>
      <c r="BL16" s="728"/>
      <c r="BM16" s="728"/>
      <c r="BN16" s="728"/>
      <c r="BO16" s="728"/>
      <c r="BP16" s="728"/>
      <c r="BQ16" s="728"/>
      <c r="BR16" s="728"/>
      <c r="BS16" s="728"/>
      <c r="BT16" s="728"/>
      <c r="BU16" s="728"/>
      <c r="BV16" s="728"/>
      <c r="BW16" s="728"/>
      <c r="BX16" s="728"/>
      <c r="BY16" s="728"/>
      <c r="BZ16" s="728"/>
      <c r="CA16" s="728"/>
      <c r="CB16" s="728"/>
      <c r="CC16" s="728"/>
      <c r="CD16" s="728"/>
      <c r="CE16" s="728"/>
      <c r="CF16" s="728"/>
      <c r="CG16" s="728"/>
      <c r="CH16" s="728"/>
      <c r="CI16" s="728"/>
      <c r="CJ16" s="728"/>
      <c r="CK16" s="728"/>
      <c r="CL16" s="728"/>
      <c r="CM16" s="728"/>
      <c r="CN16" s="728"/>
      <c r="CO16" s="728"/>
      <c r="CP16" s="728"/>
      <c r="CQ16" s="728"/>
      <c r="CR16" s="728"/>
      <c r="CS16" s="728"/>
      <c r="CT16" s="728"/>
      <c r="CU16" s="728"/>
      <c r="CV16" s="728"/>
      <c r="CW16" s="728"/>
      <c r="CX16" s="728"/>
      <c r="CY16" s="728"/>
      <c r="CZ16" s="728"/>
      <c r="DA16" s="728"/>
      <c r="DB16" s="728"/>
      <c r="DC16" s="728"/>
      <c r="DD16" s="728"/>
      <c r="DE16" s="728"/>
      <c r="DF16" s="728"/>
      <c r="DG16" s="728"/>
      <c r="DH16" s="728"/>
      <c r="DI16" s="728"/>
      <c r="DJ16" s="728"/>
      <c r="DK16" s="728"/>
      <c r="DL16" s="728"/>
      <c r="DM16" s="728"/>
      <c r="DN16" s="728"/>
      <c r="DO16" s="728"/>
      <c r="DP16" s="728"/>
      <c r="DQ16" s="728"/>
      <c r="DR16" s="728"/>
      <c r="DS16" s="728"/>
      <c r="DT16" s="728"/>
      <c r="DU16" s="728"/>
      <c r="DV16" s="728"/>
      <c r="DW16" s="728"/>
      <c r="DX16" s="728"/>
      <c r="DY16" s="728"/>
      <c r="DZ16" s="728"/>
      <c r="EA16" s="728"/>
      <c r="EB16" s="728"/>
      <c r="EC16" s="728"/>
      <c r="ED16" s="728"/>
      <c r="EE16" s="728"/>
      <c r="EF16" s="728"/>
      <c r="EG16" s="728"/>
      <c r="EH16" s="728"/>
      <c r="EI16" s="728"/>
      <c r="EJ16" s="728"/>
      <c r="EK16" s="728"/>
      <c r="EL16" s="728"/>
      <c r="EM16" s="728"/>
      <c r="EN16" s="728"/>
      <c r="EO16" s="728"/>
      <c r="EP16" s="728"/>
      <c r="EQ16" s="728"/>
      <c r="ER16" s="728"/>
      <c r="ES16" s="728"/>
      <c r="ET16" s="728"/>
      <c r="EU16" s="728"/>
      <c r="EV16" s="728"/>
      <c r="EW16" s="728"/>
      <c r="EX16" s="728"/>
      <c r="EY16" s="728"/>
      <c r="EZ16" s="728"/>
      <c r="FA16" s="728"/>
      <c r="FB16" s="728"/>
      <c r="FC16" s="728"/>
      <c r="FD16" s="728"/>
      <c r="FE16" s="728"/>
      <c r="FF16" s="728"/>
      <c r="FG16" s="728"/>
      <c r="FH16" s="728"/>
      <c r="FI16" s="728"/>
      <c r="FJ16" s="728"/>
      <c r="FK16" s="728"/>
      <c r="FL16" s="728"/>
      <c r="FM16" s="728"/>
      <c r="FN16" s="728"/>
      <c r="FO16" s="728"/>
      <c r="FP16" s="728"/>
      <c r="FQ16" s="728"/>
      <c r="FR16" s="728"/>
      <c r="FS16" s="728"/>
      <c r="FT16" s="728"/>
      <c r="FU16" s="728"/>
      <c r="FV16" s="728"/>
      <c r="FW16" s="728"/>
      <c r="FX16" s="728"/>
      <c r="FY16" s="728"/>
      <c r="FZ16" s="728"/>
      <c r="GA16" s="728"/>
      <c r="GB16" s="728"/>
      <c r="GC16" s="728"/>
      <c r="GD16" s="728"/>
      <c r="GE16" s="728"/>
      <c r="GF16" s="728"/>
      <c r="GG16" s="728"/>
      <c r="GH16" s="728"/>
      <c r="GI16" s="728"/>
      <c r="GJ16" s="728"/>
      <c r="GK16" s="728"/>
      <c r="GL16" s="728"/>
      <c r="GM16" s="728"/>
      <c r="GN16" s="728"/>
      <c r="GO16" s="728"/>
      <c r="GP16" s="728"/>
      <c r="GQ16" s="728"/>
      <c r="GR16" s="728"/>
      <c r="GS16" s="728"/>
      <c r="GT16" s="728"/>
      <c r="GU16" s="728"/>
      <c r="GV16" s="728"/>
      <c r="GW16" s="728"/>
      <c r="GX16" s="728"/>
      <c r="GY16" s="728"/>
      <c r="GZ16" s="728"/>
      <c r="HA16" s="728"/>
      <c r="HB16" s="728"/>
      <c r="HC16" s="728"/>
      <c r="HD16" s="728"/>
      <c r="HE16" s="728"/>
      <c r="HF16" s="728"/>
      <c r="HG16" s="728"/>
      <c r="HH16" s="728"/>
      <c r="HI16" s="728"/>
      <c r="HJ16" s="728"/>
      <c r="HK16" s="728"/>
      <c r="HL16" s="728"/>
      <c r="HM16" s="728"/>
      <c r="HN16" s="728"/>
      <c r="HO16" s="728"/>
      <c r="HP16" s="728"/>
      <c r="HQ16" s="728"/>
      <c r="HR16" s="728"/>
      <c r="HS16" s="728"/>
      <c r="HT16" s="728"/>
      <c r="HU16" s="728"/>
      <c r="HV16" s="728"/>
      <c r="HW16" s="728"/>
      <c r="HX16" s="728"/>
      <c r="HY16" s="728"/>
      <c r="HZ16" s="728"/>
      <c r="IA16" s="728"/>
      <c r="IB16" s="728"/>
      <c r="IC16" s="728"/>
      <c r="ID16" s="728"/>
      <c r="IE16" s="728"/>
      <c r="IF16" s="728"/>
      <c r="IG16" s="728"/>
      <c r="IH16" s="728"/>
      <c r="II16" s="728"/>
      <c r="IJ16" s="728"/>
      <c r="IK16" s="728"/>
      <c r="IL16" s="728"/>
      <c r="IM16" s="728"/>
      <c r="IN16" s="728"/>
      <c r="IO16" s="728"/>
      <c r="IP16" s="728"/>
      <c r="IQ16" s="728"/>
      <c r="IR16" s="728"/>
      <c r="IS16" s="728"/>
      <c r="IT16" s="728"/>
      <c r="IU16" s="728"/>
      <c r="IV16" s="728"/>
      <c r="IW16" s="728"/>
    </row>
    <row r="17" customFormat="false" ht="21.75" hidden="false" customHeight="true" outlineLevel="0" collapsed="false">
      <c r="A17" s="798" t="inlineStr">
        <is>
          <t xml:space="preserve">23-A-032</t>
        </is>
      </c>
      <c r="B17" s="746" t="inlineStr">
        <is>
          <t xml:space="preserve">○“소화용수설비펌프”표지 설치상태 적정 여부</t>
        </is>
      </c>
      <c r="C17" s="737"/>
      <c r="D17" s="728"/>
      <c r="E17" s="728"/>
      <c r="F17" s="728"/>
      <c r="G17" s="728"/>
      <c r="H17" s="728"/>
      <c r="I17" s="728"/>
      <c r="J17" s="728"/>
      <c r="K17" s="728"/>
      <c r="L17" s="728"/>
      <c r="M17" s="728"/>
      <c r="N17" s="728"/>
      <c r="O17" s="728"/>
      <c r="P17" s="728"/>
      <c r="Q17" s="728"/>
      <c r="R17" s="728"/>
      <c r="S17" s="728"/>
      <c r="T17" s="728"/>
      <c r="U17" s="728"/>
      <c r="V17" s="728"/>
      <c r="W17" s="728"/>
      <c r="X17" s="728"/>
      <c r="Y17" s="728"/>
      <c r="Z17" s="728"/>
      <c r="AA17" s="728"/>
      <c r="AB17" s="728"/>
      <c r="AC17" s="728"/>
      <c r="AD17" s="728"/>
      <c r="AE17" s="728"/>
      <c r="AF17" s="728"/>
      <c r="AG17" s="728"/>
      <c r="AH17" s="728"/>
      <c r="AI17" s="728"/>
      <c r="AJ17" s="728"/>
      <c r="AK17" s="728"/>
      <c r="AL17" s="728"/>
      <c r="AM17" s="728"/>
      <c r="AN17" s="728"/>
      <c r="AO17" s="728"/>
      <c r="AP17" s="728"/>
      <c r="AQ17" s="728"/>
      <c r="AR17" s="728"/>
      <c r="AS17" s="728"/>
      <c r="AT17" s="728"/>
      <c r="AU17" s="728"/>
      <c r="AV17" s="728"/>
      <c r="AW17" s="728"/>
      <c r="AX17" s="728"/>
      <c r="AY17" s="728"/>
      <c r="AZ17" s="728"/>
      <c r="BA17" s="728"/>
      <c r="BB17" s="728"/>
      <c r="BC17" s="728"/>
      <c r="BD17" s="728"/>
      <c r="BE17" s="728"/>
      <c r="BF17" s="728"/>
      <c r="BG17" s="728"/>
      <c r="BH17" s="728"/>
      <c r="BI17" s="728"/>
      <c r="BJ17" s="728"/>
      <c r="BK17" s="728"/>
      <c r="BL17" s="728"/>
      <c r="BM17" s="728"/>
      <c r="BN17" s="728"/>
      <c r="BO17" s="728"/>
      <c r="BP17" s="728"/>
      <c r="BQ17" s="728"/>
      <c r="BR17" s="728"/>
      <c r="BS17" s="728"/>
      <c r="BT17" s="728"/>
      <c r="BU17" s="728"/>
      <c r="BV17" s="728"/>
      <c r="BW17" s="728"/>
      <c r="BX17" s="728"/>
      <c r="BY17" s="728"/>
      <c r="BZ17" s="728"/>
      <c r="CA17" s="728"/>
      <c r="CB17" s="728"/>
      <c r="CC17" s="728"/>
      <c r="CD17" s="728"/>
      <c r="CE17" s="728"/>
      <c r="CF17" s="728"/>
      <c r="CG17" s="728"/>
      <c r="CH17" s="728"/>
      <c r="CI17" s="728"/>
      <c r="CJ17" s="728"/>
      <c r="CK17" s="728"/>
      <c r="CL17" s="728"/>
      <c r="CM17" s="728"/>
      <c r="CN17" s="728"/>
      <c r="CO17" s="728"/>
      <c r="CP17" s="728"/>
      <c r="CQ17" s="728"/>
      <c r="CR17" s="728"/>
      <c r="CS17" s="728"/>
      <c r="CT17" s="728"/>
      <c r="CU17" s="728"/>
      <c r="CV17" s="728"/>
      <c r="CW17" s="728"/>
      <c r="CX17" s="728"/>
      <c r="CY17" s="728"/>
      <c r="CZ17" s="728"/>
      <c r="DA17" s="728"/>
      <c r="DB17" s="728"/>
      <c r="DC17" s="728"/>
      <c r="DD17" s="728"/>
      <c r="DE17" s="728"/>
      <c r="DF17" s="728"/>
      <c r="DG17" s="728"/>
      <c r="DH17" s="728"/>
      <c r="DI17" s="728"/>
      <c r="DJ17" s="728"/>
      <c r="DK17" s="728"/>
      <c r="DL17" s="728"/>
      <c r="DM17" s="728"/>
      <c r="DN17" s="728"/>
      <c r="DO17" s="728"/>
      <c r="DP17" s="728"/>
      <c r="DQ17" s="728"/>
      <c r="DR17" s="728"/>
      <c r="DS17" s="728"/>
      <c r="DT17" s="728"/>
      <c r="DU17" s="728"/>
      <c r="DV17" s="728"/>
      <c r="DW17" s="728"/>
      <c r="DX17" s="728"/>
      <c r="DY17" s="728"/>
      <c r="DZ17" s="728"/>
      <c r="EA17" s="728"/>
      <c r="EB17" s="728"/>
      <c r="EC17" s="728"/>
      <c r="ED17" s="728"/>
      <c r="EE17" s="728"/>
      <c r="EF17" s="728"/>
      <c r="EG17" s="728"/>
      <c r="EH17" s="728"/>
      <c r="EI17" s="728"/>
      <c r="EJ17" s="728"/>
      <c r="EK17" s="728"/>
      <c r="EL17" s="728"/>
      <c r="EM17" s="728"/>
      <c r="EN17" s="728"/>
      <c r="EO17" s="728"/>
      <c r="EP17" s="728"/>
      <c r="EQ17" s="728"/>
      <c r="ER17" s="728"/>
      <c r="ES17" s="728"/>
      <c r="ET17" s="728"/>
      <c r="EU17" s="728"/>
      <c r="EV17" s="728"/>
      <c r="EW17" s="728"/>
      <c r="EX17" s="728"/>
      <c r="EY17" s="728"/>
      <c r="EZ17" s="728"/>
      <c r="FA17" s="728"/>
      <c r="FB17" s="728"/>
      <c r="FC17" s="728"/>
      <c r="FD17" s="728"/>
      <c r="FE17" s="728"/>
      <c r="FF17" s="728"/>
      <c r="FG17" s="728"/>
      <c r="FH17" s="728"/>
      <c r="FI17" s="728"/>
      <c r="FJ17" s="728"/>
      <c r="FK17" s="728"/>
      <c r="FL17" s="728"/>
      <c r="FM17" s="728"/>
      <c r="FN17" s="728"/>
      <c r="FO17" s="728"/>
      <c r="FP17" s="728"/>
      <c r="FQ17" s="728"/>
      <c r="FR17" s="728"/>
      <c r="FS17" s="728"/>
      <c r="FT17" s="728"/>
      <c r="FU17" s="728"/>
      <c r="FV17" s="728"/>
      <c r="FW17" s="728"/>
      <c r="FX17" s="728"/>
      <c r="FY17" s="728"/>
      <c r="FZ17" s="728"/>
      <c r="GA17" s="728"/>
      <c r="GB17" s="728"/>
      <c r="GC17" s="728"/>
      <c r="GD17" s="728"/>
      <c r="GE17" s="728"/>
      <c r="GF17" s="728"/>
      <c r="GG17" s="728"/>
      <c r="GH17" s="728"/>
      <c r="GI17" s="728"/>
      <c r="GJ17" s="728"/>
      <c r="GK17" s="728"/>
      <c r="GL17" s="728"/>
      <c r="GM17" s="728"/>
      <c r="GN17" s="728"/>
      <c r="GO17" s="728"/>
      <c r="GP17" s="728"/>
      <c r="GQ17" s="728"/>
      <c r="GR17" s="728"/>
      <c r="GS17" s="728"/>
      <c r="GT17" s="728"/>
      <c r="GU17" s="728"/>
      <c r="GV17" s="728"/>
      <c r="GW17" s="728"/>
      <c r="GX17" s="728"/>
      <c r="GY17" s="728"/>
      <c r="GZ17" s="728"/>
      <c r="HA17" s="728"/>
      <c r="HB17" s="728"/>
      <c r="HC17" s="728"/>
      <c r="HD17" s="728"/>
      <c r="HE17" s="728"/>
      <c r="HF17" s="728"/>
      <c r="HG17" s="728"/>
      <c r="HH17" s="728"/>
      <c r="HI17" s="728"/>
      <c r="HJ17" s="728"/>
      <c r="HK17" s="728"/>
      <c r="HL17" s="728"/>
      <c r="HM17" s="728"/>
      <c r="HN17" s="728"/>
      <c r="HO17" s="728"/>
      <c r="HP17" s="728"/>
      <c r="HQ17" s="728"/>
      <c r="HR17" s="728"/>
      <c r="HS17" s="728"/>
      <c r="HT17" s="728"/>
      <c r="HU17" s="728"/>
      <c r="HV17" s="728"/>
      <c r="HW17" s="728"/>
      <c r="HX17" s="728"/>
      <c r="HY17" s="728"/>
      <c r="HZ17" s="728"/>
      <c r="IA17" s="728"/>
      <c r="IB17" s="728"/>
      <c r="IC17" s="728"/>
      <c r="ID17" s="728"/>
      <c r="IE17" s="728"/>
      <c r="IF17" s="728"/>
      <c r="IG17" s="728"/>
      <c r="IH17" s="728"/>
      <c r="II17" s="728"/>
      <c r="IJ17" s="728"/>
      <c r="IK17" s="728"/>
      <c r="IL17" s="728"/>
      <c r="IM17" s="728"/>
      <c r="IN17" s="728"/>
      <c r="IO17" s="728"/>
      <c r="IP17" s="728"/>
      <c r="IQ17" s="728"/>
      <c r="IR17" s="728"/>
      <c r="IS17" s="728"/>
      <c r="IT17" s="728"/>
      <c r="IU17" s="728"/>
      <c r="IV17" s="728"/>
      <c r="IW17" s="728"/>
    </row>
    <row r="18" customFormat="false" ht="21.75" hidden="false" customHeight="true" outlineLevel="0" collapsed="false">
      <c r="A18" s="798" t="inlineStr">
        <is>
          <t xml:space="preserve">23-A-033</t>
        </is>
      </c>
      <c r="B18" s="746" t="inlineStr">
        <is>
          <t xml:space="preserve">● 동결방지조치 상태 적정 여부</t>
        </is>
      </c>
      <c r="C18" s="737"/>
    </row>
    <row r="19" customFormat="false" ht="21.75" hidden="false" customHeight="true" outlineLevel="0" collapsed="false">
      <c r="A19" s="798" t="inlineStr">
        <is>
          <t xml:space="preserve">23-A-034</t>
        </is>
      </c>
      <c r="B19" s="746" t="inlineStr">
        <is>
          <t xml:space="preserve">● 토출측 압력계, 흡입측 연성계 또는 진공계 설치 여부</t>
        </is>
      </c>
      <c r="C19" s="737"/>
    </row>
    <row r="20" customFormat="false" ht="21.75" hidden="false" customHeight="true" outlineLevel="0" collapsed="false">
      <c r="A20" s="798" t="inlineStr">
        <is>
          <t xml:space="preserve">23-A-035</t>
        </is>
      </c>
      <c r="B20" s="746" t="inlineStr">
        <is>
          <t xml:space="preserve">○ 성능시험배관 적정 설치 및 정상작동 여부</t>
        </is>
      </c>
      <c r="C20" s="734"/>
    </row>
    <row r="21" customFormat="false" ht="21.75" hidden="false" customHeight="true" outlineLevel="0" collapsed="false">
      <c r="A21" s="798" t="inlineStr">
        <is>
          <t xml:space="preserve">23-A-036</t>
        </is>
      </c>
      <c r="B21" s="746" t="inlineStr">
        <is>
          <t xml:space="preserve">○ 순환배관 설치 적정 여부</t>
        </is>
      </c>
      <c r="C21" s="734"/>
    </row>
    <row r="22" customFormat="false" ht="21.75" hidden="false" customHeight="true" outlineLevel="0" collapsed="false">
      <c r="A22" s="798" t="inlineStr">
        <is>
          <t xml:space="preserve">23-A-037</t>
        </is>
      </c>
      <c r="B22" s="746" t="inlineStr">
        <is>
          <t xml:space="preserve">○ 물올림장치 설치 적정(전용 여부, 유효수량, 배관구경, 자동급수) 여부</t>
        </is>
      </c>
      <c r="C22" s="734"/>
    </row>
    <row r="23" customFormat="false" ht="33.75" hidden="false" customHeight="true" outlineLevel="0" collapsed="false">
      <c r="A23" s="799" t="inlineStr">
        <is>
          <t xml:space="preserve">23-A-038</t>
        </is>
      </c>
      <c r="B23" s="800" t="inlineStr">
        <is>
          <t xml:space="preserve">○ 내연기관 방식의 펌프 설치 적정(제어반 기동, 채수구 원격조작, 기동표시등 설치, 
   축전지 설비) 여부</t>
        </is>
      </c>
      <c r="C23" s="734"/>
    </row>
    <row r="24" customFormat="false" ht="21.75" hidden="false" customHeight="true" outlineLevel="0" collapsed="false">
      <c r="A24" s="842" t="inlineStr">
        <is>
          <t xml:space="preserve"> 23-B. 상수도소화용수설비</t>
        </is>
      </c>
      <c r="B24" s="842"/>
      <c r="C24" s="842"/>
    </row>
    <row r="25" customFormat="false" ht="21.75" hidden="false" customHeight="true" outlineLevel="0" collapsed="false">
      <c r="A25" s="770" t="inlineStr">
        <is>
          <t xml:space="preserve">23-B-001</t>
        </is>
      </c>
      <c r="B25" s="802" t="inlineStr">
        <is>
          <t xml:space="preserve">○ 소화전 위치 적정 여부</t>
        </is>
      </c>
      <c r="C25" s="734"/>
    </row>
    <row r="26" customFormat="false" ht="21.75" hidden="false" customHeight="true" outlineLevel="0" collapsed="false">
      <c r="A26" s="775" t="inlineStr">
        <is>
          <t xml:space="preserve">23-B-002</t>
        </is>
      </c>
      <c r="B26" s="804" t="inlineStr">
        <is>
          <t xml:space="preserve">○ 소화전 관리상태(변형·손상 등) 및 방수 원활 여부</t>
        </is>
      </c>
      <c r="C26" s="734"/>
    </row>
    <row r="27" customFormat="false" ht="34.5" hidden="false" customHeight="true" outlineLevel="0" collapsed="false">
      <c r="A27" s="764" t="inlineStr">
        <is>
          <t xml:space="preserve">비고</t>
        </is>
      </c>
      <c r="B27" s="820"/>
      <c r="C27" s="820"/>
    </row>
  </sheetData>
  <mergeCells count="4">
    <mergeCell ref="A1:C1"/>
    <mergeCell ref="A3:C3"/>
    <mergeCell ref="A24:C24"/>
    <mergeCell ref="B27:C27"/>
  </mergeCells>
  <dataValidations count="2">
    <dataValidation allowBlank="true" errorStyle="stop" operator="between" showDropDown="false" showErrorMessage="true" showInputMessage="false" sqref="H6:H8" type="list">
      <formula1>$C$4:$C$11</formula1>
      <formula2>0</formula2>
    </dataValidation>
    <dataValidation allowBlank="true" errorStyle="stop" operator="between" showDropDown="false" showErrorMessage="true" showInputMessage="false" sqref="C5 C7:C9 C11:C14 C16:C23 C25:C26" type="list">
      <formula1>$H$6:$H$8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0" activeCellId="0" sqref="J20"/>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25. 특별피난계단의 계단실 및 부속실 제연설비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25-A. 과압방지조치</t>
        </is>
      </c>
      <c r="B3" s="759"/>
      <c r="C3" s="759"/>
    </row>
    <row r="4" customFormat="false" ht="21.75" hidden="false" customHeight="true" outlineLevel="0" collapsed="false">
      <c r="A4" s="760" t="inlineStr">
        <is>
          <t xml:space="preserve">25-A-001</t>
        </is>
      </c>
      <c r="B4" s="761" t="inlineStr">
        <is>
          <t xml:space="preserve">● 자동차압·과압조절형 댐퍼(또는 플랩댐퍼)를 사용한 경우 성능 적정 여부</t>
        </is>
      </c>
      <c r="C4" s="744"/>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59" t="inlineStr">
        <is>
          <t xml:space="preserve"> 25-B. 수직풍도에 따른 배출</t>
        </is>
      </c>
      <c r="B5" s="759"/>
      <c r="C5" s="759"/>
      <c r="D5" s="728"/>
      <c r="E5" s="728"/>
      <c r="F5" s="728"/>
      <c r="G5" s="728"/>
      <c r="H5" s="727" t="inlineStr">
        <is>
          <t xml:space="preserve">○</t>
        </is>
      </c>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5" t="inlineStr">
        <is>
          <t xml:space="preserve">25-B-001</t>
        </is>
      </c>
      <c r="B6" s="796" t="inlineStr">
        <is>
          <t xml:space="preserve">○ 배출댐퍼 설치(개폐여부 확인 기능, 화재감지기 동작에 따른 개방) 적정 여부</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9" t="inlineStr">
        <is>
          <t xml:space="preserve">25-B-002</t>
        </is>
      </c>
      <c r="B7" s="800" t="inlineStr">
        <is>
          <t xml:space="preserve">○ 배출용송풍기가 설치된 경우 화재감지기 연동 기능 적정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59" t="inlineStr">
        <is>
          <t xml:space="preserve"> 25-C. 급기구</t>
        </is>
      </c>
      <c r="B8" s="759"/>
      <c r="C8" s="759"/>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60" t="inlineStr">
        <is>
          <t xml:space="preserve">25-C-001</t>
        </is>
      </c>
      <c r="B9" s="761" t="inlineStr">
        <is>
          <t xml:space="preserve">○ 급기댐퍼 설치 상태(화재감지기 동작에 따른 개방) 적정 여부</t>
        </is>
      </c>
      <c r="C9" s="737"/>
    </row>
    <row r="10" customFormat="false" ht="21.75" hidden="false" customHeight="true" outlineLevel="0" collapsed="false">
      <c r="A10" s="759" t="inlineStr">
        <is>
          <t xml:space="preserve"> 25-D. 송풍기</t>
        </is>
      </c>
      <c r="B10" s="759"/>
      <c r="C10" s="759"/>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5" t="inlineStr">
        <is>
          <t xml:space="preserve">25-D-001</t>
        </is>
      </c>
      <c r="B11" s="796" t="inlineStr">
        <is>
          <t xml:space="preserve">○ 설치장소 적정(화재영향, 접근·점검 용이성)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25-D-002</t>
        </is>
      </c>
      <c r="B12" s="746" t="inlineStr">
        <is>
          <t xml:space="preserve">○ 화재감지기 동작 및 수동조작에 따라 작동하는지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9" t="inlineStr">
        <is>
          <t xml:space="preserve">25-D-003</t>
        </is>
      </c>
      <c r="B13" s="800" t="inlineStr">
        <is>
          <t xml:space="preserve">● 송풍기와 연결되는 캔버스 내열성 확보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4" hidden="false" customHeight="true" outlineLevel="0" collapsed="false">
      <c r="A14" s="842" t="inlineStr">
        <is>
          <t xml:space="preserve"> 25-E. 외기취입구</t>
        </is>
      </c>
      <c r="B14" s="842"/>
      <c r="C14" s="842"/>
    </row>
    <row r="15" customFormat="false" ht="21.75" hidden="false" customHeight="true" outlineLevel="0" collapsed="false">
      <c r="A15" s="795" t="inlineStr">
        <is>
          <t xml:space="preserve">25-E-001</t>
        </is>
      </c>
      <c r="B15" s="796" t="inlineStr">
        <is>
          <t xml:space="preserve">○ 설치위치(오염공기 유입방지, 배기구 등으로부터 이격거리) 적정 여부</t>
        </is>
      </c>
      <c r="C15" s="737"/>
    </row>
    <row r="16" customFormat="false" ht="21.75" hidden="false" customHeight="true" outlineLevel="0" collapsed="false">
      <c r="A16" s="799" t="inlineStr">
        <is>
          <t xml:space="preserve">25-E-002</t>
        </is>
      </c>
      <c r="B16" s="800" t="inlineStr">
        <is>
          <t xml:space="preserve">● 설치구조(빗물·이물질 유입방지, 옥외의 풍속과 풍향에 영향) 적정 여부</t>
        </is>
      </c>
      <c r="C16" s="737"/>
    </row>
    <row r="17" customFormat="false" ht="21.75" hidden="false" customHeight="true" outlineLevel="0" collapsed="false">
      <c r="A17" s="842" t="inlineStr">
        <is>
          <t xml:space="preserve"> 25-F. 제연구역의 출입문</t>
        </is>
      </c>
      <c r="B17" s="842"/>
      <c r="C17" s="842"/>
    </row>
    <row r="18" customFormat="false" ht="21.75" hidden="false" customHeight="true" outlineLevel="0" collapsed="false">
      <c r="A18" s="795" t="inlineStr">
        <is>
          <t xml:space="preserve">25-F-001</t>
        </is>
      </c>
      <c r="B18" s="796" t="inlineStr">
        <is>
          <t xml:space="preserve">○ 폐쇄상태 유지 또는 화재 시 자동폐쇄 구조 여부</t>
        </is>
      </c>
      <c r="C18" s="737"/>
    </row>
    <row r="19" customFormat="false" ht="21.75" hidden="false" customHeight="true" outlineLevel="0" collapsed="false">
      <c r="A19" s="799" t="inlineStr">
        <is>
          <t xml:space="preserve">25-F-002</t>
        </is>
      </c>
      <c r="B19" s="800" t="inlineStr">
        <is>
          <t xml:space="preserve">● 자동폐쇄장치 폐쇄력 적정 여부</t>
        </is>
      </c>
      <c r="C19" s="737"/>
    </row>
    <row r="20" customFormat="false" ht="21.75" hidden="false" customHeight="true" outlineLevel="0" collapsed="false">
      <c r="A20" s="842" t="inlineStr">
        <is>
          <t xml:space="preserve"> 25-G. 수동기동장치</t>
        </is>
      </c>
      <c r="B20" s="842"/>
      <c r="C20" s="842"/>
    </row>
    <row r="21" customFormat="false" ht="21.75" hidden="false" customHeight="true" outlineLevel="0" collapsed="false">
      <c r="A21" s="795" t="inlineStr">
        <is>
          <t xml:space="preserve">25-G-001</t>
        </is>
      </c>
      <c r="B21" s="796" t="inlineStr">
        <is>
          <t xml:space="preserve">○ 기동장치 설치(위치, 전원표시등 등) 적정 여부</t>
        </is>
      </c>
      <c r="C21" s="737"/>
    </row>
    <row r="22" customFormat="false" ht="21.75" hidden="false" customHeight="true" outlineLevel="0" collapsed="false">
      <c r="A22" s="799" t="inlineStr">
        <is>
          <t xml:space="preserve">25-G-002</t>
        </is>
      </c>
      <c r="B22" s="800" t="inlineStr">
        <is>
          <t xml:space="preserve">○ 수동기동장치(옥내 수동발신기 포함) 조작 시 관련 장치 정상 작동 여부</t>
        </is>
      </c>
      <c r="C22" s="737"/>
    </row>
    <row r="23" customFormat="false" ht="21.75" hidden="false" customHeight="true" outlineLevel="0" collapsed="false">
      <c r="A23" s="842" t="inlineStr">
        <is>
          <t xml:space="preserve"> 25-H. 제어반</t>
        </is>
      </c>
      <c r="B23" s="842"/>
      <c r="C23" s="842"/>
    </row>
    <row r="24" customFormat="false" ht="21.75" hidden="false" customHeight="true" outlineLevel="0" collapsed="false">
      <c r="A24" s="795" t="inlineStr">
        <is>
          <t xml:space="preserve">25-H-001</t>
        </is>
      </c>
      <c r="B24" s="796" t="inlineStr">
        <is>
          <t xml:space="preserve">○ 비상용축전지의 정상 여부</t>
        </is>
      </c>
      <c r="C24" s="737"/>
    </row>
    <row r="25" customFormat="false" ht="21.75" hidden="false" customHeight="true" outlineLevel="0" collapsed="false">
      <c r="A25" s="799" t="inlineStr">
        <is>
          <t xml:space="preserve">25-H-002</t>
        </is>
      </c>
      <c r="B25" s="800" t="inlineStr">
        <is>
          <t xml:space="preserve">○ 제어반 감시 및 원격조작 기능 적정 여부</t>
        </is>
      </c>
      <c r="C25" s="737"/>
    </row>
    <row r="26" customFormat="false" ht="24" hidden="false" customHeight="true" outlineLevel="0" collapsed="false">
      <c r="A26" s="842" t="inlineStr">
        <is>
          <t xml:space="preserve"> 25-I. 비상전원</t>
        </is>
      </c>
      <c r="B26" s="842"/>
      <c r="C26" s="842"/>
    </row>
    <row r="27" customFormat="false" ht="21.75" hidden="false" customHeight="true" outlineLevel="0" collapsed="false">
      <c r="A27" s="795" t="inlineStr">
        <is>
          <t xml:space="preserve">25-I-001</t>
        </is>
      </c>
      <c r="B27" s="796" t="inlineStr">
        <is>
          <t xml:space="preserve">● 비상전원 설치장소 적정 및 관리 여부</t>
        </is>
      </c>
      <c r="C27" s="737"/>
    </row>
    <row r="28" customFormat="false" ht="21.75" hidden="false" customHeight="true" outlineLevel="0" collapsed="false">
      <c r="A28" s="798" t="inlineStr">
        <is>
          <t xml:space="preserve">25-I-002</t>
        </is>
      </c>
      <c r="B28" s="746" t="inlineStr">
        <is>
          <t xml:space="preserve">○ 자가발전설비인 경우 연료 적정량 보유 여부</t>
        </is>
      </c>
      <c r="C28" s="737"/>
    </row>
    <row r="29" customFormat="false" ht="21.75" hidden="false" customHeight="true" outlineLevel="0" collapsed="false">
      <c r="A29" s="799" t="inlineStr">
        <is>
          <t xml:space="preserve">25-I-003</t>
        </is>
      </c>
      <c r="B29" s="800" t="inlineStr">
        <is>
          <t xml:space="preserve">○ 자가발전설비인 경우「전기사업법」에 따른 정기점검 결과 확인</t>
        </is>
      </c>
      <c r="C29" s="737"/>
    </row>
    <row r="30" customFormat="false" ht="34.5" hidden="false" customHeight="true" outlineLevel="0" collapsed="false">
      <c r="A30" s="764" t="inlineStr">
        <is>
          <t xml:space="preserve">비고</t>
        </is>
      </c>
      <c r="B30" s="820"/>
      <c r="C30" s="820"/>
    </row>
  </sheetData>
  <mergeCells count="11">
    <mergeCell ref="A1:C1"/>
    <mergeCell ref="A3:C3"/>
    <mergeCell ref="A5:C5"/>
    <mergeCell ref="A8:C8"/>
    <mergeCell ref="A10:C10"/>
    <mergeCell ref="A14:C14"/>
    <mergeCell ref="A17:C17"/>
    <mergeCell ref="A20:C20"/>
    <mergeCell ref="A23:C23"/>
    <mergeCell ref="A26:C26"/>
    <mergeCell ref="B30:C30"/>
  </mergeCells>
  <dataValidations count="2">
    <dataValidation allowBlank="true" errorStyle="stop" operator="between" showDropDown="false" showErrorMessage="true" showInputMessage="false" sqref="H5:H7" type="list">
      <formula1>$C$4:$C$11</formula1>
      <formula2>0</formula2>
    </dataValidation>
    <dataValidation allowBlank="true" errorStyle="stop" operator="between" showDropDown="false" showErrorMessage="true" showInputMessage="false" sqref="C4 C6:C7 C9 C11:C13 C15:C16 C18:C19 C21:C22 C24:C25 C27:C29" type="list">
      <formula1>$H$5:$H$7</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0" activeCellId="0" sqref="H20"/>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26. 연결송수관설비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26-A. 송수구</t>
        </is>
      </c>
      <c r="B3" s="759"/>
      <c r="C3" s="759"/>
    </row>
    <row r="4" customFormat="false" ht="21.75" hidden="false" customHeight="true" outlineLevel="0" collapsed="false">
      <c r="A4" s="795" t="inlineStr">
        <is>
          <t xml:space="preserve">26-A-001</t>
        </is>
      </c>
      <c r="B4" s="796" t="inlineStr">
        <is>
          <t xml:space="preserve">○ 설치장소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26-A-002</t>
        </is>
      </c>
      <c r="B5" s="746" t="inlineStr">
        <is>
          <t xml:space="preserve">○ 지면으로부터 설치 높이 적정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26-A-003</t>
        </is>
      </c>
      <c r="B6" s="746" t="inlineStr">
        <is>
          <t xml:space="preserve">○ 급수개폐밸브가 설치된 경우 설치 상태 적정 및 정상 기능 여부</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26-A-004</t>
        </is>
      </c>
      <c r="B7" s="746" t="inlineStr">
        <is>
          <t xml:space="preserve">○ 수직배관별 1개 이상 송수구 설치 여부</t>
        </is>
      </c>
      <c r="C7" s="737"/>
      <c r="H7" s="727" t="inlineStr">
        <is>
          <t xml:space="preserve">/</t>
        </is>
      </c>
    </row>
    <row r="8" customFormat="false" ht="21.75" hidden="false" customHeight="true" outlineLevel="0" collapsed="false">
      <c r="A8" s="798" t="inlineStr">
        <is>
          <t xml:space="preserve">26-A-005</t>
        </is>
      </c>
      <c r="B8" s="746" t="inlineStr">
        <is>
          <t xml:space="preserve">○“연결송수관설비송수구”표지 및 송수압력범위 표지 적정 설치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9" t="inlineStr">
        <is>
          <t xml:space="preserve">26-A-006</t>
        </is>
      </c>
      <c r="B9" s="800" t="inlineStr">
        <is>
          <t xml:space="preserve">○ 송수구 마개 설치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4" hidden="false" customHeight="true" outlineLevel="0" collapsed="false">
      <c r="A10" s="842" t="inlineStr">
        <is>
          <t xml:space="preserve"> 26-B. 배관 등</t>
        </is>
      </c>
      <c r="B10" s="842"/>
      <c r="C10" s="842"/>
    </row>
    <row r="11" customFormat="false" ht="21.75" hidden="false" customHeight="true" outlineLevel="0" collapsed="false">
      <c r="A11" s="795" t="inlineStr">
        <is>
          <t xml:space="preserve">26-B-001</t>
        </is>
      </c>
      <c r="B11" s="796" t="inlineStr">
        <is>
          <t xml:space="preserve">● 겸용 급수배관 적정 여부</t>
        </is>
      </c>
      <c r="C11" s="737"/>
    </row>
    <row r="12" customFormat="false" ht="21.75" hidden="false" customHeight="true" outlineLevel="0" collapsed="false">
      <c r="A12" s="799" t="inlineStr">
        <is>
          <t xml:space="preserve">26-B-002</t>
        </is>
      </c>
      <c r="B12" s="800" t="inlineStr">
        <is>
          <t xml:space="preserve">● 다른 설비의 배관과의 구분 상태 적정 여부</t>
        </is>
      </c>
      <c r="C12" s="737"/>
    </row>
    <row r="13" customFormat="false" ht="21.75" hidden="false" customHeight="true" outlineLevel="0" collapsed="false">
      <c r="A13" s="842" t="inlineStr">
        <is>
          <t xml:space="preserve"> 26-C. 방수구</t>
        </is>
      </c>
      <c r="B13" s="842"/>
      <c r="C13" s="842"/>
    </row>
    <row r="14" customFormat="false" ht="21.75" hidden="false" customHeight="true" outlineLevel="0" collapsed="false">
      <c r="A14" s="795" t="inlineStr">
        <is>
          <t xml:space="preserve">26-C-001</t>
        </is>
      </c>
      <c r="B14" s="796" t="inlineStr">
        <is>
          <t xml:space="preserve">● 설치기준(층, 개수, 위치, 높이) 적정 여부</t>
        </is>
      </c>
      <c r="C14" s="737"/>
    </row>
    <row r="15" customFormat="false" ht="21.75" hidden="false" customHeight="true" outlineLevel="0" collapsed="false">
      <c r="A15" s="798" t="inlineStr">
        <is>
          <t xml:space="preserve">26-C-002</t>
        </is>
      </c>
      <c r="B15" s="746" t="inlineStr">
        <is>
          <t xml:space="preserve">○ 방수구 형태 및 구경 적정 여부</t>
        </is>
      </c>
      <c r="C15" s="737"/>
    </row>
    <row r="16" customFormat="false" ht="21.75" hidden="false" customHeight="true" outlineLevel="0" collapsed="false">
      <c r="A16" s="798" t="inlineStr">
        <is>
          <t xml:space="preserve">26-C-003</t>
        </is>
      </c>
      <c r="B16" s="746" t="inlineStr">
        <is>
          <t xml:space="preserve">○ 위치표시(표시등, 축광식표지) 적정 여부</t>
        </is>
      </c>
      <c r="C16" s="737"/>
    </row>
    <row r="17" customFormat="false" ht="21.75" hidden="false" customHeight="true" outlineLevel="0" collapsed="false">
      <c r="A17" s="799" t="inlineStr">
        <is>
          <t xml:space="preserve">26-C-004</t>
        </is>
      </c>
      <c r="B17" s="800" t="inlineStr">
        <is>
          <t xml:space="preserve">○ 개폐기능 설치 여부 및 상태 적정(닫힌 상태) 여부</t>
        </is>
      </c>
      <c r="C17" s="737"/>
    </row>
    <row r="18" customFormat="false" ht="21.75" hidden="false" customHeight="true" outlineLevel="0" collapsed="false">
      <c r="A18" s="842" t="inlineStr">
        <is>
          <t xml:space="preserve"> 26-D. 방수기구함</t>
        </is>
      </c>
      <c r="B18" s="842"/>
      <c r="C18" s="842"/>
    </row>
    <row r="19" customFormat="false" ht="21.75" hidden="false" customHeight="true" outlineLevel="0" collapsed="false">
      <c r="A19" s="795" t="inlineStr">
        <is>
          <t xml:space="preserve">26-D-001</t>
        </is>
      </c>
      <c r="B19" s="796" t="inlineStr">
        <is>
          <t xml:space="preserve">● 설치기준(층, 위치) 적정 여부</t>
        </is>
      </c>
      <c r="C19" s="737"/>
    </row>
    <row r="20" customFormat="false" ht="21.75" hidden="false" customHeight="true" outlineLevel="0" collapsed="false">
      <c r="A20" s="798" t="inlineStr">
        <is>
          <t xml:space="preserve">26-D-002</t>
        </is>
      </c>
      <c r="B20" s="746" t="inlineStr">
        <is>
          <t xml:space="preserve">○ 호스 및 관창 비치 적정 여부</t>
        </is>
      </c>
      <c r="C20" s="737"/>
    </row>
    <row r="21" customFormat="false" ht="21.75" hidden="false" customHeight="true" outlineLevel="0" collapsed="false">
      <c r="A21" s="799" t="inlineStr">
        <is>
          <t xml:space="preserve">26-D-003</t>
        </is>
      </c>
      <c r="B21" s="800" t="inlineStr">
        <is>
          <t xml:space="preserve">○“방수기구함”표지 설치상태 적정 여부</t>
        </is>
      </c>
      <c r="C21" s="737"/>
    </row>
    <row r="22" customFormat="false" ht="21.75" hidden="false" customHeight="true" outlineLevel="0" collapsed="false">
      <c r="A22" s="842" t="inlineStr">
        <is>
          <t xml:space="preserve"> 26-E. 가압송수장치</t>
        </is>
      </c>
      <c r="B22" s="842"/>
      <c r="C22" s="842"/>
    </row>
    <row r="23" customFormat="false" ht="21.75" hidden="false" customHeight="true" outlineLevel="0" collapsed="false">
      <c r="A23" s="795" t="inlineStr">
        <is>
          <t xml:space="preserve">26-E-001</t>
        </is>
      </c>
      <c r="B23" s="796" t="inlineStr">
        <is>
          <t xml:space="preserve">● 가압송수장치 설치장소 기준 적합 여부</t>
        </is>
      </c>
      <c r="C23" s="737"/>
    </row>
    <row r="24" customFormat="false" ht="21.75" hidden="false" customHeight="true" outlineLevel="0" collapsed="false">
      <c r="A24" s="798" t="inlineStr">
        <is>
          <t xml:space="preserve">26-E-002</t>
        </is>
      </c>
      <c r="B24" s="746" t="inlineStr">
        <is>
          <t xml:space="preserve">● 펌프 흡입측 연성계·진공계 및 토출측 압력계 설치 여부</t>
        </is>
      </c>
      <c r="C24" s="737"/>
    </row>
    <row r="25" customFormat="false" ht="21.75" hidden="false" customHeight="true" outlineLevel="0" collapsed="false">
      <c r="A25" s="798" t="inlineStr">
        <is>
          <t xml:space="preserve">26-E-003</t>
        </is>
      </c>
      <c r="B25" s="746" t="inlineStr">
        <is>
          <t xml:space="preserve">● 성능시험배관 및 순환배관 설치 적정 여부</t>
        </is>
      </c>
      <c r="C25" s="737"/>
    </row>
    <row r="26" customFormat="false" ht="21.75" hidden="false" customHeight="true" outlineLevel="0" collapsed="false">
      <c r="A26" s="798" t="inlineStr">
        <is>
          <t xml:space="preserve">26-E-004</t>
        </is>
      </c>
      <c r="B26" s="746" t="inlineStr">
        <is>
          <t xml:space="preserve">○ 펌프 토출량 및 양정 적정 여부</t>
        </is>
      </c>
      <c r="C26" s="737"/>
    </row>
    <row r="27" customFormat="false" ht="21.75" hidden="false" customHeight="true" outlineLevel="0" collapsed="false">
      <c r="A27" s="798" t="inlineStr">
        <is>
          <t xml:space="preserve">26-E-005</t>
        </is>
      </c>
      <c r="B27" s="746" t="inlineStr">
        <is>
          <t xml:space="preserve">○ 방수구 개방시 자동기동 여부</t>
        </is>
      </c>
      <c r="C27" s="737"/>
    </row>
    <row r="28" customFormat="false" ht="21.75" hidden="false" customHeight="true" outlineLevel="0" collapsed="false">
      <c r="A28" s="798" t="inlineStr">
        <is>
          <t xml:space="preserve">26-E-006</t>
        </is>
      </c>
      <c r="B28" s="746" t="inlineStr">
        <is>
          <t xml:space="preserve">○ 수동기동스위치 설치 상태 적정 및 수동스위치 조작에 따른 기동 여부</t>
        </is>
      </c>
      <c r="C28" s="737"/>
    </row>
    <row r="29" customFormat="false" ht="21.75" hidden="false" customHeight="true" outlineLevel="0" collapsed="false">
      <c r="A29" s="798" t="inlineStr">
        <is>
          <t xml:space="preserve">26-E-007</t>
        </is>
      </c>
      <c r="B29" s="746" t="inlineStr">
        <is>
          <t xml:space="preserve">○ 가압송수장치“연결송수관펌프”표지 설치 여부</t>
        </is>
      </c>
      <c r="C29" s="737"/>
    </row>
    <row r="30" customFormat="false" ht="21.75" hidden="false" customHeight="true" outlineLevel="0" collapsed="false">
      <c r="A30" s="798" t="inlineStr">
        <is>
          <t xml:space="preserve">26-E-008</t>
        </is>
      </c>
      <c r="B30" s="746" t="inlineStr">
        <is>
          <t xml:space="preserve">● 비상전원 설치장소 적정 및 관리 여부</t>
        </is>
      </c>
      <c r="C30" s="737"/>
    </row>
    <row r="31" customFormat="false" ht="21.75" hidden="false" customHeight="true" outlineLevel="0" collapsed="false">
      <c r="A31" s="798" t="inlineStr">
        <is>
          <t xml:space="preserve">26-E-009</t>
        </is>
      </c>
      <c r="B31" s="746" t="inlineStr">
        <is>
          <t xml:space="preserve">○ 자가발전설비인 경우 연료 적정량 보유 여부</t>
        </is>
      </c>
      <c r="C31" s="737"/>
    </row>
    <row r="32" customFormat="false" ht="21.75" hidden="false" customHeight="true" outlineLevel="0" collapsed="false">
      <c r="A32" s="799" t="inlineStr">
        <is>
          <t xml:space="preserve">26-E-010</t>
        </is>
      </c>
      <c r="B32" s="800" t="inlineStr">
        <is>
          <t xml:space="preserve">○ 자가발전설비인 경우「전기사업법」에 따른 정기점검 결과 확인</t>
        </is>
      </c>
      <c r="C32" s="737"/>
    </row>
    <row r="33" customFormat="false" ht="34.5" hidden="false" customHeight="true" outlineLevel="0" collapsed="false">
      <c r="A33" s="764" t="inlineStr">
        <is>
          <t xml:space="preserve">비고</t>
        </is>
      </c>
      <c r="B33" s="820"/>
      <c r="C33" s="820"/>
    </row>
  </sheetData>
  <mergeCells count="7">
    <mergeCell ref="A1:C1"/>
    <mergeCell ref="A3:C3"/>
    <mergeCell ref="A10:C10"/>
    <mergeCell ref="A13:C13"/>
    <mergeCell ref="A18:C18"/>
    <mergeCell ref="A22:C22"/>
    <mergeCell ref="B33:C33"/>
  </mergeCells>
  <dataValidations count="2">
    <dataValidation allowBlank="true" errorStyle="stop" operator="between" showDropDown="false" showErrorMessage="true" showInputMessage="false" sqref="H6:H8" type="list">
      <formula1>$C$4:$C$11</formula1>
      <formula2>0</formula2>
    </dataValidation>
    <dataValidation allowBlank="true" errorStyle="stop" operator="between" showDropDown="false" showErrorMessage="true" showInputMessage="false" sqref="C4:C9 C11:C12 C14:C17 C19:C21 C23:C32" type="list">
      <formula1>$H$6:$H$8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9" activeCellId="0" sqref="I1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27. 연결살수설비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27-A. 송수구</t>
        </is>
      </c>
      <c r="B3" s="759"/>
      <c r="C3" s="759"/>
    </row>
    <row r="4" customFormat="false" ht="21.75" hidden="false" customHeight="true" outlineLevel="0" collapsed="false">
      <c r="A4" s="795" t="inlineStr">
        <is>
          <t xml:space="preserve">27-A-001</t>
        </is>
      </c>
      <c r="B4" s="796" t="inlineStr">
        <is>
          <t xml:space="preserve">○ 설치장소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27-A-002</t>
        </is>
      </c>
      <c r="B5" s="746" t="inlineStr">
        <is>
          <t xml:space="preserve">○ 송수구 구경(65mm) 및 형태(쌍구형) 적정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27-A-003</t>
        </is>
      </c>
      <c r="B6" s="746" t="inlineStr">
        <is>
          <t xml:space="preserve">○ 송수구역별 호스접결구 설치 여부(개방형 헤드의 경우)</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27-A-004</t>
        </is>
      </c>
      <c r="B7" s="746" t="inlineStr">
        <is>
          <t xml:space="preserve">○ 설치 높이 적정 여부</t>
        </is>
      </c>
      <c r="C7" s="737"/>
      <c r="H7" s="727" t="inlineStr">
        <is>
          <t xml:space="preserve">/</t>
        </is>
      </c>
    </row>
    <row r="8" customFormat="false" ht="21.75" hidden="false" customHeight="true" outlineLevel="0" collapsed="false">
      <c r="A8" s="798" t="inlineStr">
        <is>
          <t xml:space="preserve">27-A-005</t>
        </is>
      </c>
      <c r="B8" s="746" t="inlineStr">
        <is>
          <t xml:space="preserve">● 송수구에서 주배관 상 연결배관 개폐밸브 설치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98" t="inlineStr">
        <is>
          <t xml:space="preserve">27-A-006</t>
        </is>
      </c>
      <c r="B9" s="746" t="inlineStr">
        <is>
          <t xml:space="preserve">○“연결살수설비 송수구”표지 및 송수구역 일람표 설치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27-A-007</t>
        </is>
      </c>
      <c r="B10" s="746" t="inlineStr">
        <is>
          <t xml:space="preserve">○ 송수구 마개 설치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27-A-008</t>
        </is>
      </c>
      <c r="B11" s="746" t="inlineStr">
        <is>
          <t xml:space="preserve">○ 송수구의 변형 또는 손상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27-A-009</t>
        </is>
      </c>
      <c r="B12" s="746" t="inlineStr">
        <is>
          <t xml:space="preserve">● 자동배수밸브 및 체크밸브 설치 순서 적정 여부</t>
        </is>
      </c>
      <c r="C12" s="737"/>
    </row>
    <row r="13" customFormat="false" ht="21.75" hidden="false" customHeight="true" outlineLevel="0" collapsed="false">
      <c r="A13" s="798" t="inlineStr">
        <is>
          <t xml:space="preserve">27-A-010</t>
        </is>
      </c>
      <c r="B13" s="746" t="inlineStr">
        <is>
          <t xml:space="preserve">○ 자동배수밸브 설치 상태 적정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1.75" hidden="false" customHeight="true" outlineLevel="0" collapsed="false">
      <c r="A14" s="799" t="inlineStr">
        <is>
          <t xml:space="preserve">27-A-011</t>
        </is>
      </c>
      <c r="B14" s="800" t="inlineStr">
        <is>
          <t xml:space="preserve">● 1개 송수구역 설치 살수헤드 수량 적정 여부(개방형 헤드의 경우)</t>
        </is>
      </c>
      <c r="C14" s="73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8"/>
      <c r="BI14" s="728"/>
      <c r="BJ14" s="728"/>
      <c r="BK14" s="728"/>
      <c r="BL14" s="728"/>
      <c r="BM14" s="728"/>
      <c r="BN14" s="728"/>
      <c r="BO14" s="728"/>
      <c r="BP14" s="728"/>
      <c r="BQ14" s="728"/>
      <c r="BR14" s="728"/>
      <c r="BS14" s="728"/>
      <c r="BT14" s="728"/>
      <c r="BU14" s="728"/>
      <c r="BV14" s="728"/>
      <c r="BW14" s="728"/>
      <c r="BX14" s="728"/>
      <c r="BY14" s="728"/>
      <c r="BZ14" s="728"/>
      <c r="CA14" s="728"/>
      <c r="CB14" s="728"/>
      <c r="CC14" s="728"/>
      <c r="CD14" s="728"/>
      <c r="CE14" s="728"/>
      <c r="CF14" s="728"/>
      <c r="CG14" s="728"/>
      <c r="CH14" s="728"/>
      <c r="CI14" s="728"/>
      <c r="CJ14" s="728"/>
      <c r="CK14" s="728"/>
      <c r="CL14" s="728"/>
      <c r="CM14" s="728"/>
      <c r="CN14" s="728"/>
      <c r="CO14" s="728"/>
      <c r="CP14" s="728"/>
      <c r="CQ14" s="728"/>
      <c r="CR14" s="728"/>
      <c r="CS14" s="728"/>
      <c r="CT14" s="728"/>
      <c r="CU14" s="728"/>
      <c r="CV14" s="728"/>
      <c r="CW14" s="728"/>
      <c r="CX14" s="728"/>
      <c r="CY14" s="728"/>
      <c r="CZ14" s="728"/>
      <c r="DA14" s="728"/>
      <c r="DB14" s="728"/>
      <c r="DC14" s="728"/>
      <c r="DD14" s="728"/>
      <c r="DE14" s="728"/>
      <c r="DF14" s="728"/>
      <c r="DG14" s="728"/>
      <c r="DH14" s="728"/>
      <c r="DI14" s="728"/>
      <c r="DJ14" s="728"/>
      <c r="DK14" s="728"/>
      <c r="DL14" s="728"/>
      <c r="DM14" s="728"/>
      <c r="DN14" s="728"/>
      <c r="DO14" s="728"/>
      <c r="DP14" s="728"/>
      <c r="DQ14" s="728"/>
      <c r="DR14" s="728"/>
      <c r="DS14" s="728"/>
      <c r="DT14" s="728"/>
      <c r="DU14" s="728"/>
      <c r="DV14" s="728"/>
      <c r="DW14" s="728"/>
      <c r="DX14" s="728"/>
      <c r="DY14" s="728"/>
      <c r="DZ14" s="728"/>
      <c r="EA14" s="728"/>
      <c r="EB14" s="728"/>
      <c r="EC14" s="728"/>
      <c r="ED14" s="728"/>
      <c r="EE14" s="728"/>
      <c r="EF14" s="728"/>
      <c r="EG14" s="728"/>
      <c r="EH14" s="728"/>
      <c r="EI14" s="728"/>
      <c r="EJ14" s="728"/>
      <c r="EK14" s="728"/>
      <c r="EL14" s="728"/>
      <c r="EM14" s="728"/>
      <c r="EN14" s="728"/>
      <c r="EO14" s="728"/>
      <c r="EP14" s="728"/>
      <c r="EQ14" s="728"/>
      <c r="ER14" s="728"/>
      <c r="ES14" s="728"/>
      <c r="ET14" s="728"/>
      <c r="EU14" s="728"/>
      <c r="EV14" s="728"/>
      <c r="EW14" s="728"/>
      <c r="EX14" s="728"/>
      <c r="EY14" s="728"/>
      <c r="EZ14" s="728"/>
      <c r="FA14" s="728"/>
      <c r="FB14" s="728"/>
      <c r="FC14" s="728"/>
      <c r="FD14" s="728"/>
      <c r="FE14" s="728"/>
      <c r="FF14" s="728"/>
      <c r="FG14" s="728"/>
      <c r="FH14" s="728"/>
      <c r="FI14" s="728"/>
      <c r="FJ14" s="728"/>
      <c r="FK14" s="728"/>
      <c r="FL14" s="728"/>
      <c r="FM14" s="728"/>
      <c r="FN14" s="728"/>
      <c r="FO14" s="728"/>
      <c r="FP14" s="728"/>
      <c r="FQ14" s="728"/>
      <c r="FR14" s="728"/>
      <c r="FS14" s="728"/>
      <c r="FT14" s="728"/>
      <c r="FU14" s="728"/>
      <c r="FV14" s="728"/>
      <c r="FW14" s="728"/>
      <c r="FX14" s="728"/>
      <c r="FY14" s="728"/>
      <c r="FZ14" s="728"/>
      <c r="GA14" s="728"/>
      <c r="GB14" s="728"/>
      <c r="GC14" s="728"/>
      <c r="GD14" s="728"/>
      <c r="GE14" s="728"/>
      <c r="GF14" s="728"/>
      <c r="GG14" s="728"/>
      <c r="GH14" s="728"/>
      <c r="GI14" s="728"/>
      <c r="GJ14" s="728"/>
      <c r="GK14" s="728"/>
      <c r="GL14" s="728"/>
      <c r="GM14" s="728"/>
      <c r="GN14" s="728"/>
      <c r="GO14" s="728"/>
      <c r="GP14" s="728"/>
      <c r="GQ14" s="728"/>
      <c r="GR14" s="728"/>
      <c r="GS14" s="728"/>
      <c r="GT14" s="728"/>
      <c r="GU14" s="728"/>
      <c r="GV14" s="728"/>
      <c r="GW14" s="728"/>
      <c r="GX14" s="728"/>
      <c r="GY14" s="728"/>
      <c r="GZ14" s="728"/>
      <c r="HA14" s="728"/>
      <c r="HB14" s="728"/>
      <c r="HC14" s="728"/>
      <c r="HD14" s="728"/>
      <c r="HE14" s="728"/>
      <c r="HF14" s="728"/>
      <c r="HG14" s="728"/>
      <c r="HH14" s="728"/>
      <c r="HI14" s="728"/>
      <c r="HJ14" s="728"/>
      <c r="HK14" s="728"/>
      <c r="HL14" s="728"/>
      <c r="HM14" s="728"/>
      <c r="HN14" s="728"/>
      <c r="HO14" s="728"/>
      <c r="HP14" s="728"/>
      <c r="HQ14" s="728"/>
      <c r="HR14" s="728"/>
      <c r="HS14" s="728"/>
      <c r="HT14" s="728"/>
      <c r="HU14" s="728"/>
      <c r="HV14" s="728"/>
      <c r="HW14" s="728"/>
      <c r="HX14" s="728"/>
      <c r="HY14" s="728"/>
      <c r="HZ14" s="728"/>
      <c r="IA14" s="728"/>
      <c r="IB14" s="728"/>
      <c r="IC14" s="728"/>
      <c r="ID14" s="728"/>
      <c r="IE14" s="728"/>
      <c r="IF14" s="728"/>
      <c r="IG14" s="728"/>
      <c r="IH14" s="728"/>
      <c r="II14" s="728"/>
      <c r="IJ14" s="728"/>
      <c r="IK14" s="728"/>
      <c r="IL14" s="728"/>
      <c r="IM14" s="728"/>
      <c r="IN14" s="728"/>
      <c r="IO14" s="728"/>
      <c r="IP14" s="728"/>
      <c r="IQ14" s="728"/>
      <c r="IR14" s="728"/>
      <c r="IS14" s="728"/>
      <c r="IT14" s="728"/>
      <c r="IU14" s="728"/>
      <c r="IV14" s="728"/>
      <c r="IW14" s="728"/>
    </row>
    <row r="15" customFormat="false" ht="24" hidden="false" customHeight="true" outlineLevel="0" collapsed="false">
      <c r="A15" s="842" t="inlineStr">
        <is>
          <t xml:space="preserve"> 27-B. 선택밸브</t>
        </is>
      </c>
      <c r="B15" s="842"/>
      <c r="C15" s="842"/>
    </row>
    <row r="16" customFormat="false" ht="21.75" hidden="false" customHeight="true" outlineLevel="0" collapsed="false">
      <c r="A16" s="795" t="inlineStr">
        <is>
          <t xml:space="preserve">27-B-001</t>
        </is>
      </c>
      <c r="B16" s="796" t="inlineStr">
        <is>
          <t xml:space="preserve">○ 선택밸브 적정 설치 및 정상 작동 여부</t>
        </is>
      </c>
      <c r="C16" s="737"/>
    </row>
    <row r="17" customFormat="false" ht="21.75" hidden="false" customHeight="true" outlineLevel="0" collapsed="false">
      <c r="A17" s="799" t="inlineStr">
        <is>
          <t xml:space="preserve">27-B-002</t>
        </is>
      </c>
      <c r="B17" s="800" t="inlineStr">
        <is>
          <t xml:space="preserve">○ 선택밸브 부근 송수구역 일람표 설치 여부</t>
        </is>
      </c>
      <c r="C17" s="737"/>
    </row>
    <row r="18" customFormat="false" ht="21.75" hidden="false" customHeight="true" outlineLevel="0" collapsed="false">
      <c r="A18" s="842" t="inlineStr">
        <is>
          <t xml:space="preserve"> 27-C. 배관 등</t>
        </is>
      </c>
      <c r="B18" s="842"/>
      <c r="C18" s="842"/>
    </row>
    <row r="19" customFormat="false" ht="21.75" hidden="false" customHeight="true" outlineLevel="0" collapsed="false">
      <c r="A19" s="795" t="inlineStr">
        <is>
          <t xml:space="preserve">27-C-001</t>
        </is>
      </c>
      <c r="B19" s="796" t="inlineStr">
        <is>
          <t xml:space="preserve">○ 급수배관 개폐밸브 설치 적정(개폐표시형, 흡입측 버터플라이 제외) 여부</t>
        </is>
      </c>
      <c r="C19" s="737"/>
    </row>
    <row r="20" customFormat="false" ht="21.75" hidden="false" customHeight="true" outlineLevel="0" collapsed="false">
      <c r="A20" s="798" t="inlineStr">
        <is>
          <t xml:space="preserve">27-C-002</t>
        </is>
      </c>
      <c r="B20" s="746" t="inlineStr">
        <is>
          <t xml:space="preserve">● 동결방지조치 상태 적정 여부(습식의 경우)</t>
        </is>
      </c>
      <c r="C20" s="737"/>
    </row>
    <row r="21" customFormat="false" ht="21.75" hidden="false" customHeight="true" outlineLevel="0" collapsed="false">
      <c r="A21" s="798" t="inlineStr">
        <is>
          <t xml:space="preserve">27-C-003</t>
        </is>
      </c>
      <c r="B21" s="746" t="inlineStr">
        <is>
          <t xml:space="preserve">● 주배관과 타 설비 배관 및 수조 접속 적정 여부(폐쇄형 헤드의 경우)</t>
        </is>
      </c>
      <c r="C21" s="737"/>
    </row>
    <row r="22" customFormat="false" ht="21.75" hidden="false" customHeight="true" outlineLevel="0" collapsed="false">
      <c r="A22" s="798" t="inlineStr">
        <is>
          <t xml:space="preserve">27-C-004</t>
        </is>
      </c>
      <c r="B22" s="746" t="inlineStr">
        <is>
          <t xml:space="preserve">○ 시험장치 설치 적정 여부(폐쇄형 헤드의 경우)</t>
        </is>
      </c>
      <c r="C22" s="737"/>
    </row>
    <row r="23" customFormat="false" ht="21.75" hidden="false" customHeight="true" outlineLevel="0" collapsed="false">
      <c r="A23" s="799" t="inlineStr">
        <is>
          <t xml:space="preserve">27-C-005</t>
        </is>
      </c>
      <c r="B23" s="800" t="inlineStr">
        <is>
          <t xml:space="preserve">● 다른 설비의 배관과의 구분 상태 적정 여부</t>
        </is>
      </c>
      <c r="C23" s="737"/>
    </row>
    <row r="24" customFormat="false" ht="21.75" hidden="false" customHeight="true" outlineLevel="0" collapsed="false">
      <c r="A24" s="842" t="inlineStr">
        <is>
          <t xml:space="preserve"> 27-D. 헤드</t>
        </is>
      </c>
      <c r="B24" s="842"/>
      <c r="C24" s="842"/>
    </row>
    <row r="25" customFormat="false" ht="21.75" hidden="false" customHeight="true" outlineLevel="0" collapsed="false">
      <c r="A25" s="795" t="inlineStr">
        <is>
          <t xml:space="preserve">27-D-001</t>
        </is>
      </c>
      <c r="B25" s="796" t="inlineStr">
        <is>
          <t xml:space="preserve">○ 헤드의 변형·손상 유무</t>
        </is>
      </c>
      <c r="C25" s="737"/>
    </row>
    <row r="26" customFormat="false" ht="21.75" hidden="false" customHeight="true" outlineLevel="0" collapsed="false">
      <c r="A26" s="798" t="inlineStr">
        <is>
          <t xml:space="preserve">27-D-002</t>
        </is>
      </c>
      <c r="B26" s="746" t="inlineStr">
        <is>
          <t xml:space="preserve">○ 헤드 설치 위치·장소·상태(고정) 적정 여부</t>
        </is>
      </c>
      <c r="C26" s="737"/>
    </row>
    <row r="27" customFormat="false" ht="21.75" hidden="false" customHeight="true" outlineLevel="0" collapsed="false">
      <c r="A27" s="799" t="inlineStr">
        <is>
          <t xml:space="preserve">27-D-003</t>
        </is>
      </c>
      <c r="B27" s="800" t="inlineStr">
        <is>
          <t xml:space="preserve">○ 헤드 살수장애 여부</t>
        </is>
      </c>
      <c r="C27" s="737"/>
    </row>
    <row r="28" customFormat="false" ht="34.5" hidden="false" customHeight="true" outlineLevel="0" collapsed="false">
      <c r="A28" s="764" t="inlineStr">
        <is>
          <t xml:space="preserve">비고</t>
        </is>
      </c>
      <c r="B28" s="820"/>
      <c r="C28" s="820"/>
    </row>
  </sheetData>
  <mergeCells count="6">
    <mergeCell ref="A1:C1"/>
    <mergeCell ref="A3:C3"/>
    <mergeCell ref="A15:C15"/>
    <mergeCell ref="A18:C18"/>
    <mergeCell ref="A24:C24"/>
    <mergeCell ref="B28:C28"/>
  </mergeCells>
  <dataValidations count="2">
    <dataValidation allowBlank="true" errorStyle="stop" operator="between" showDropDown="false" showErrorMessage="true" showInputMessage="false" sqref="H6:H8" type="list">
      <formula1>$C$4:$C$11</formula1>
      <formula2>0</formula2>
    </dataValidation>
    <dataValidation allowBlank="true" errorStyle="stop" operator="between" showDropDown="false" showErrorMessage="true" showInputMessage="false" sqref="C4:C14 C16:C17 C19:C23 C25:C27" type="list">
      <formula1>$H$6:$H$8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8" activeCellId="0" sqref="J18"/>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28. 비상콘센트설비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28-A. 전원</t>
        </is>
      </c>
      <c r="B3" s="759"/>
      <c r="C3" s="759"/>
    </row>
    <row r="4" customFormat="false" ht="21.75" hidden="false" customHeight="true" outlineLevel="0" collapsed="false">
      <c r="A4" s="795" t="inlineStr">
        <is>
          <t xml:space="preserve">28-A-001</t>
        </is>
      </c>
      <c r="B4" s="796" t="inlineStr">
        <is>
          <t xml:space="preserve">● 상용전원 적정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28-A-002</t>
        </is>
      </c>
      <c r="B5" s="746" t="inlineStr">
        <is>
          <t xml:space="preserve">● 비상전원 설치장소 적정 및 관리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28-A-003</t>
        </is>
      </c>
      <c r="B6" s="746" t="inlineStr">
        <is>
          <t xml:space="preserve">○ 자가발전설비인 경우 연료 적정량 보유 여부</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9" t="inlineStr">
        <is>
          <t xml:space="preserve">28-A-004</t>
        </is>
      </c>
      <c r="B7" s="800" t="inlineStr">
        <is>
          <t xml:space="preserve">○ 자가발전설비인 경우「전기사업법」에 따른 정기점검 결과 확인</t>
        </is>
      </c>
      <c r="C7" s="737"/>
      <c r="I7" s="727" t="inlineStr">
        <is>
          <t xml:space="preserve">○</t>
        </is>
      </c>
    </row>
    <row r="8" customFormat="false" ht="24" hidden="false" customHeight="true" outlineLevel="0" collapsed="false">
      <c r="A8" s="842" t="inlineStr">
        <is>
          <t xml:space="preserve"> 28-B. 전원회로</t>
        </is>
      </c>
      <c r="B8" s="842"/>
      <c r="C8" s="842"/>
      <c r="I8" s="727" t="inlineStr">
        <is>
          <t xml:space="preserve">/</t>
        </is>
      </c>
    </row>
    <row r="9" customFormat="false" ht="21.75" hidden="false" customHeight="true" outlineLevel="0" collapsed="false">
      <c r="A9" s="795" t="inlineStr">
        <is>
          <t xml:space="preserve">28-B-001</t>
        </is>
      </c>
      <c r="B9" s="796" t="inlineStr">
        <is>
          <t xml:space="preserve">● 전원회로 방식(단상교류 220V) 및 공급용량(1.5kVA 이상) 적정 여부</t>
        </is>
      </c>
      <c r="C9" s="737"/>
      <c r="D9" s="728"/>
      <c r="E9" s="728"/>
      <c r="F9" s="728"/>
      <c r="G9" s="728"/>
      <c r="H9" s="728"/>
      <c r="I9" s="727" t="inlineStr">
        <is>
          <t xml:space="preserve">×</t>
        </is>
      </c>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1.75" hidden="false" customHeight="true" outlineLevel="0" collapsed="false">
      <c r="A10" s="798" t="inlineStr">
        <is>
          <t xml:space="preserve">28-B-002</t>
        </is>
      </c>
      <c r="B10" s="746" t="inlineStr">
        <is>
          <t xml:space="preserve">● 전원회로 설치개수(각 층에 2이상) 적정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28-B-003</t>
        </is>
      </c>
      <c r="B11" s="746" t="inlineStr">
        <is>
          <t xml:space="preserve">● 전용 전원회로 사용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28-B-004</t>
        </is>
      </c>
      <c r="B12" s="746" t="inlineStr">
        <is>
          <t xml:space="preserve">● 1개 전용회로에 설치되는 비상콘센트 수량 적정(10개 이하) 여부</t>
        </is>
      </c>
      <c r="C12" s="737"/>
    </row>
    <row r="13" customFormat="false" ht="21.75" hidden="false" customHeight="true" outlineLevel="0" collapsed="false">
      <c r="A13" s="799" t="inlineStr">
        <is>
          <t xml:space="preserve">28-B-005</t>
        </is>
      </c>
      <c r="B13" s="800" t="inlineStr">
        <is>
          <t xml:space="preserve">● 보호함 내부에 분기배선용 차단기 설치 여부</t>
        </is>
      </c>
      <c r="C13" s="737"/>
    </row>
    <row r="14" customFormat="false" ht="21.75" hidden="false" customHeight="true" outlineLevel="0" collapsed="false">
      <c r="A14" s="842" t="inlineStr">
        <is>
          <t xml:space="preserve"> 28-C. 콘센트</t>
        </is>
      </c>
      <c r="B14" s="842"/>
      <c r="C14" s="842"/>
    </row>
    <row r="15" customFormat="false" ht="21.75" hidden="false" customHeight="true" outlineLevel="0" collapsed="false">
      <c r="A15" s="795" t="inlineStr">
        <is>
          <t xml:space="preserve">28-C-001</t>
        </is>
      </c>
      <c r="B15" s="796" t="inlineStr">
        <is>
          <t xml:space="preserve">○ 변형·손상·현저한 부식이 없고 전원의 정상 공급여부</t>
        </is>
      </c>
      <c r="C15" s="737"/>
    </row>
    <row r="16" customFormat="false" ht="21.75" hidden="false" customHeight="true" outlineLevel="0" collapsed="false">
      <c r="A16" s="798" t="inlineStr">
        <is>
          <t xml:space="preserve">28-C-002</t>
        </is>
      </c>
      <c r="B16" s="746" t="inlineStr">
        <is>
          <t xml:space="preserve">● 콘센트별 배선용 차단기 설치 및 충전부 노출 방지 여부</t>
        </is>
      </c>
      <c r="C16" s="737"/>
    </row>
    <row r="17" customFormat="false" ht="21.75" hidden="false" customHeight="true" outlineLevel="0" collapsed="false">
      <c r="A17" s="799" t="inlineStr">
        <is>
          <t xml:space="preserve">28-C-003</t>
        </is>
      </c>
      <c r="B17" s="800" t="inlineStr">
        <is>
          <t xml:space="preserve">○ 비상콘센트 설치 높이, 설치 위치 및 설치 수량 적정 여부</t>
        </is>
      </c>
      <c r="C17" s="737"/>
    </row>
    <row r="18" customFormat="false" ht="21.75" hidden="false" customHeight="true" outlineLevel="0" collapsed="false">
      <c r="A18" s="842" t="inlineStr">
        <is>
          <t xml:space="preserve"> 28-D. 보호함 및 배선</t>
        </is>
      </c>
      <c r="B18" s="842"/>
      <c r="C18" s="842"/>
    </row>
    <row r="19" customFormat="false" ht="21.75" hidden="false" customHeight="true" outlineLevel="0" collapsed="false">
      <c r="A19" s="795" t="inlineStr">
        <is>
          <t xml:space="preserve">28-D-001</t>
        </is>
      </c>
      <c r="B19" s="796" t="inlineStr">
        <is>
          <t xml:space="preserve">○ 보호함 개폐용이한 문 설치 여부</t>
        </is>
      </c>
      <c r="C19" s="737"/>
    </row>
    <row r="20" customFormat="false" ht="21.75" hidden="false" customHeight="true" outlineLevel="0" collapsed="false">
      <c r="A20" s="798" t="inlineStr">
        <is>
          <t xml:space="preserve">28-D-002</t>
        </is>
      </c>
      <c r="B20" s="746" t="inlineStr">
        <is>
          <t xml:space="preserve">○“비상콘센트”표지 설치상태 적정 여부</t>
        </is>
      </c>
      <c r="C20" s="737"/>
    </row>
    <row r="21" customFormat="false" ht="21.75" hidden="false" customHeight="true" outlineLevel="0" collapsed="false">
      <c r="A21" s="798" t="inlineStr">
        <is>
          <t xml:space="preserve">28-D-003</t>
        </is>
      </c>
      <c r="B21" s="746" t="inlineStr">
        <is>
          <t xml:space="preserve">○ 위치표시등 설치 및 정상 점등 여부</t>
        </is>
      </c>
      <c r="C21" s="737"/>
    </row>
    <row r="22" customFormat="false" ht="21.75" hidden="false" customHeight="true" outlineLevel="0" collapsed="false">
      <c r="A22" s="799" t="inlineStr">
        <is>
          <t xml:space="preserve">28-D-004</t>
        </is>
      </c>
      <c r="B22" s="800" t="inlineStr">
        <is>
          <t xml:space="preserve">○ 점검 또는 사용상 장애물 유무</t>
        </is>
      </c>
      <c r="C22" s="737"/>
    </row>
    <row r="23" customFormat="false" ht="34.5" hidden="false" customHeight="true" outlineLevel="0" collapsed="false">
      <c r="A23" s="764" t="inlineStr">
        <is>
          <t xml:space="preserve">비고</t>
        </is>
      </c>
      <c r="B23" s="820"/>
      <c r="C23" s="820"/>
    </row>
  </sheetData>
  <mergeCells count="6">
    <mergeCell ref="A1:C1"/>
    <mergeCell ref="A3:C3"/>
    <mergeCell ref="A8:C8"/>
    <mergeCell ref="A14:C14"/>
    <mergeCell ref="A18:C18"/>
    <mergeCell ref="B23:C23"/>
  </mergeCells>
  <dataValidations count="2">
    <dataValidation allowBlank="true" errorStyle="stop" operator="between" showDropDown="false" showErrorMessage="true" showInputMessage="false" sqref="I7:I9" type="list">
      <formula1>$C$4:$C$11</formula1>
      <formula2>0</formula2>
    </dataValidation>
    <dataValidation allowBlank="true" errorStyle="stop" operator="between" showDropDown="false" showErrorMessage="true" showInputMessage="false" sqref="C4:C7 C9:C13 C15:C17 C19:C22" type="list">
      <formula1>$I$7:$I$9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0"/>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B19" activeCellId="0" sqref="B19"/>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29. 무선통신보조설비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29-A. 누설동축케이블등</t>
        </is>
      </c>
      <c r="B3" s="759"/>
      <c r="C3" s="759"/>
    </row>
    <row r="4" customFormat="false" ht="21.75" hidden="false" customHeight="true" outlineLevel="0" collapsed="false">
      <c r="A4" s="795" t="inlineStr">
        <is>
          <t xml:space="preserve">29-A-001</t>
        </is>
      </c>
      <c r="B4" s="796" t="inlineStr">
        <is>
          <t xml:space="preserve">○ 피난 및 통행 지장 여부(노출하여 설치한 경우)</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8" t="inlineStr">
        <is>
          <t xml:space="preserve">29-A-002</t>
        </is>
      </c>
      <c r="B5" s="746" t="inlineStr">
        <is>
          <t xml:space="preserve">● 케이블 구성 적정(누설동축케이블 + 안테나 또는 동축케이블 + 안테나)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1.75" hidden="false" customHeight="true" outlineLevel="0" collapsed="false">
      <c r="A6" s="798" t="inlineStr">
        <is>
          <t xml:space="preserve">29-A-003</t>
        </is>
      </c>
      <c r="B6" s="746" t="inlineStr">
        <is>
          <t xml:space="preserve">● 지지금구 변형·손상 여부</t>
        </is>
      </c>
      <c r="C6" s="737"/>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1.75" hidden="false" customHeight="true" outlineLevel="0" collapsed="false">
      <c r="A7" s="798" t="inlineStr">
        <is>
          <t xml:space="preserve">29-A-004</t>
        </is>
      </c>
      <c r="B7" s="746" t="inlineStr">
        <is>
          <t xml:space="preserve">● 누설동축케이블 및 안테나 설치 적정 및 변형·손상 여부</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9" t="inlineStr">
        <is>
          <t xml:space="preserve">29-A-005</t>
        </is>
      </c>
      <c r="B8" s="800" t="inlineStr">
        <is>
          <t xml:space="preserve">● 누설동축케이블 말단‘무반사 종단저항’설치 여부</t>
        </is>
      </c>
      <c r="C8" s="737"/>
      <c r="H8" s="727" t="inlineStr">
        <is>
          <t xml:space="preserve">/</t>
        </is>
      </c>
    </row>
    <row r="9" customFormat="false" ht="24" hidden="false" customHeight="true" outlineLevel="0" collapsed="false">
      <c r="A9" s="842" t="inlineStr">
        <is>
          <t xml:space="preserve"> 29-B. 무선기기접속단자, 옥외안테나</t>
        </is>
      </c>
      <c r="B9" s="842"/>
      <c r="C9" s="842"/>
      <c r="H9" s="727" t="inlineStr">
        <is>
          <t xml:space="preserve">×</t>
        </is>
      </c>
    </row>
    <row r="10" customFormat="false" ht="21.75" hidden="false" customHeight="true" outlineLevel="0" collapsed="false">
      <c r="A10" s="795" t="inlineStr">
        <is>
          <t xml:space="preserve">29-B-001</t>
        </is>
      </c>
      <c r="B10" s="796" t="inlineStr">
        <is>
          <t xml:space="preserve">○ 설치장소(소방활동 용이성, 상시 근무장소) 적정 여부</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1.75" hidden="false" customHeight="true" outlineLevel="0" collapsed="false">
      <c r="A11" s="798" t="inlineStr">
        <is>
          <t xml:space="preserve">29-B-002</t>
        </is>
      </c>
      <c r="B11" s="746" t="inlineStr">
        <is>
          <t xml:space="preserve">● 단자 설치높이 적정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1.75" hidden="false" customHeight="true" outlineLevel="0" collapsed="false">
      <c r="A12" s="798" t="inlineStr">
        <is>
          <t xml:space="preserve">29-B-003</t>
        </is>
      </c>
      <c r="B12" s="746" t="inlineStr">
        <is>
          <t xml:space="preserve">● 지상 접속단자 설치거리 적정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1.75" hidden="false" customHeight="true" outlineLevel="0" collapsed="false">
      <c r="A13" s="798" t="inlineStr">
        <is>
          <t xml:space="preserve">29-B-004</t>
        </is>
      </c>
      <c r="B13" s="746" t="inlineStr">
        <is>
          <t xml:space="preserve">● 접속단자 보호함 구조 적정 여부</t>
        </is>
      </c>
      <c r="C13" s="737"/>
    </row>
    <row r="14" customFormat="false" ht="21.75" hidden="false" customHeight="true" outlineLevel="0" collapsed="false">
      <c r="A14" s="798" t="inlineStr">
        <is>
          <t xml:space="preserve">29-B-005</t>
        </is>
      </c>
      <c r="B14" s="746" t="inlineStr">
        <is>
          <t xml:space="preserve">○ 접속단자 보호함“무선기기접속단자”표지 설치 여부</t>
        </is>
      </c>
      <c r="C14" s="737"/>
    </row>
    <row r="15" customFormat="false" ht="21.75" hidden="false" customHeight="true" outlineLevel="0" collapsed="false">
      <c r="A15" s="798" t="inlineStr">
        <is>
          <t xml:space="preserve">29-B-006</t>
        </is>
      </c>
      <c r="B15" s="746" t="inlineStr">
        <is>
          <t xml:space="preserve">○ 옥외안테나 통신장애 발생여부</t>
        </is>
      </c>
      <c r="C15" s="737"/>
    </row>
    <row r="16" customFormat="false" ht="21.75" hidden="false" customHeight="true" outlineLevel="0" collapsed="false">
      <c r="A16" s="798" t="inlineStr">
        <is>
          <t xml:space="preserve">29-B-007</t>
        </is>
      </c>
      <c r="B16" s="746" t="inlineStr">
        <is>
          <t xml:space="preserve">○ 안테나 설치 적정(견고함, 파손우려) 여부</t>
        </is>
      </c>
      <c r="C16" s="737"/>
    </row>
    <row r="17" customFormat="false" ht="21.75" hidden="false" customHeight="true" outlineLevel="0" collapsed="false">
      <c r="A17" s="798" t="inlineStr">
        <is>
          <t xml:space="preserve">29-B-008</t>
        </is>
      </c>
      <c r="B17" s="746" t="inlineStr">
        <is>
          <t xml:space="preserve">○ 옥외안테나에 "무선통신보조설비 안테나" 표지 설치 여부</t>
        </is>
      </c>
      <c r="C17" s="737"/>
    </row>
    <row r="18" customFormat="false" ht="21.75" hidden="false" customHeight="true" outlineLevel="0" collapsed="false">
      <c r="A18" s="798" t="inlineStr">
        <is>
          <t xml:space="preserve">29-B-009</t>
        </is>
      </c>
      <c r="B18" s="746" t="inlineStr">
        <is>
          <t xml:space="preserve">○ 옥외안테나 통신 가능거리 표지 설치 여부</t>
        </is>
      </c>
      <c r="C18" s="737"/>
    </row>
    <row r="19" customFormat="false" ht="21.75" hidden="false" customHeight="true" outlineLevel="0" collapsed="false">
      <c r="A19" s="799" t="inlineStr">
        <is>
          <t xml:space="preserve">29-B-010</t>
        </is>
      </c>
      <c r="B19" s="800" t="inlineStr">
        <is>
          <t xml:space="preserve">○ 수신기 설치장소 등에 옥외안테나 위치표시도 비치 여부</t>
        </is>
      </c>
      <c r="C19" s="737"/>
    </row>
    <row r="20" customFormat="false" ht="21.75" hidden="false" customHeight="true" outlineLevel="0" collapsed="false">
      <c r="A20" s="842" t="inlineStr">
        <is>
          <t xml:space="preserve"> 29-C. 분배기, 분파기, 혼합기</t>
        </is>
      </c>
      <c r="B20" s="842"/>
      <c r="C20" s="842"/>
    </row>
    <row r="21" customFormat="false" ht="21.75" hidden="false" customHeight="true" outlineLevel="0" collapsed="false">
      <c r="A21" s="795" t="inlineStr">
        <is>
          <t xml:space="preserve">29-C-001</t>
        </is>
      </c>
      <c r="B21" s="796" t="inlineStr">
        <is>
          <t xml:space="preserve">● 먼지, 습기, 부식 등에 의한 기능 이상 여부</t>
        </is>
      </c>
      <c r="C21" s="737"/>
    </row>
    <row r="22" customFormat="false" ht="21.75" hidden="false" customHeight="true" outlineLevel="0" collapsed="false">
      <c r="A22" s="799" t="inlineStr">
        <is>
          <t xml:space="preserve">29-C-002</t>
        </is>
      </c>
      <c r="B22" s="800" t="inlineStr">
        <is>
          <t xml:space="preserve">● 설치장소 적정 및 관리 여부</t>
        </is>
      </c>
      <c r="C22" s="737"/>
    </row>
    <row r="23" customFormat="false" ht="21.75" hidden="false" customHeight="true" outlineLevel="0" collapsed="false">
      <c r="A23" s="842" t="inlineStr">
        <is>
          <t xml:space="preserve"> 29-D. 증폭기 및 무선이동중계기</t>
        </is>
      </c>
      <c r="B23" s="842"/>
      <c r="C23" s="842"/>
    </row>
    <row r="24" customFormat="false" ht="21.75" hidden="false" customHeight="true" outlineLevel="0" collapsed="false">
      <c r="A24" s="795" t="inlineStr">
        <is>
          <t xml:space="preserve">29-D-001</t>
        </is>
      </c>
      <c r="B24" s="796" t="inlineStr">
        <is>
          <t xml:space="preserve">● 상용전원 적정 여부</t>
        </is>
      </c>
      <c r="C24" s="737"/>
    </row>
    <row r="25" customFormat="false" ht="21.75" hidden="false" customHeight="true" outlineLevel="0" collapsed="false">
      <c r="A25" s="798" t="inlineStr">
        <is>
          <t xml:space="preserve">29-D-002</t>
        </is>
      </c>
      <c r="B25" s="746" t="inlineStr">
        <is>
          <t xml:space="preserve">○ 전원표시등 및 전압계 설치상태 적정 여부</t>
        </is>
      </c>
      <c r="C25" s="737"/>
    </row>
    <row r="26" customFormat="false" ht="21.75" hidden="false" customHeight="true" outlineLevel="0" collapsed="false">
      <c r="A26" s="798" t="inlineStr">
        <is>
          <t xml:space="preserve">29-D-003</t>
        </is>
      </c>
      <c r="B26" s="746" t="inlineStr">
        <is>
          <t xml:space="preserve">● 증폭기 비상전원 부착 상태 및 용량 적정 여부</t>
        </is>
      </c>
      <c r="C26" s="737"/>
    </row>
    <row r="27" customFormat="false" ht="21.75" hidden="false" customHeight="true" outlineLevel="0" collapsed="false">
      <c r="A27" s="799" t="inlineStr">
        <is>
          <t xml:space="preserve">29-D-004</t>
        </is>
      </c>
      <c r="B27" s="800" t="inlineStr">
        <is>
          <t xml:space="preserve">○ 적합성 평가 결과 임의 변경 여부</t>
        </is>
      </c>
      <c r="C27" s="793"/>
    </row>
    <row r="28" customFormat="false" ht="21.75" hidden="false" customHeight="true" outlineLevel="0" collapsed="false">
      <c r="A28" s="842" t="inlineStr">
        <is>
          <t xml:space="preserve"> 29-E. 기능점검</t>
        </is>
      </c>
      <c r="B28" s="842"/>
      <c r="C28" s="842"/>
    </row>
    <row r="29" customFormat="false" ht="21.75" hidden="false" customHeight="true" outlineLevel="0" collapsed="false">
      <c r="A29" s="760" t="inlineStr">
        <is>
          <t xml:space="preserve">29-E-001</t>
        </is>
      </c>
      <c r="B29" s="761" t="inlineStr">
        <is>
          <t xml:space="preserve">● 무선통신 가능 여부</t>
        </is>
      </c>
      <c r="C29" s="737"/>
    </row>
    <row r="30" customFormat="false" ht="34.5" hidden="false" customHeight="true" outlineLevel="0" collapsed="false">
      <c r="A30" s="764" t="inlineStr">
        <is>
          <t xml:space="preserve">비고</t>
        </is>
      </c>
      <c r="B30" s="820"/>
      <c r="C30" s="820"/>
    </row>
  </sheetData>
  <mergeCells count="7">
    <mergeCell ref="A1:C1"/>
    <mergeCell ref="A3:C3"/>
    <mergeCell ref="A9:C9"/>
    <mergeCell ref="A20:C20"/>
    <mergeCell ref="A23:C23"/>
    <mergeCell ref="A28:C28"/>
    <mergeCell ref="B30:C30"/>
  </mergeCells>
  <dataValidations count="2">
    <dataValidation allowBlank="true" errorStyle="stop" operator="between" showDropDown="false" showErrorMessage="true" showInputMessage="false" sqref="H7:H9" type="list">
      <formula1>$C$4:$C$11</formula1>
      <formula2>0</formula2>
    </dataValidation>
    <dataValidation allowBlank="true" errorStyle="stop" operator="between" showDropDown="false" showErrorMessage="true" showInputMessage="false" sqref="C4:C8 C10:C19 C21:C22 C24:C27 C29" type="list">
      <formula1>$H$7:$H$9</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2" activeCellId="0" sqref="L22"/>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24.95" hidden="false" customHeight="true" outlineLevel="0" collapsed="false">
      <c r="A1" s="742" t="inlineStr">
        <is>
          <t xml:space="preserve">31. 기타사항 점검표</t>
        </is>
      </c>
      <c r="B1" s="742"/>
      <c r="C1" s="742"/>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4" hidden="false" customHeight="true" outlineLevel="0" collapsed="false">
      <c r="A3" s="759" t="inlineStr">
        <is>
          <t xml:space="preserve"> 31-A. 피난‧방화시설</t>
        </is>
      </c>
      <c r="B3" s="759"/>
      <c r="C3" s="759"/>
    </row>
    <row r="4" customFormat="false" ht="21.75" hidden="false" customHeight="true" outlineLevel="0" collapsed="false">
      <c r="A4" s="795" t="inlineStr">
        <is>
          <t xml:space="preserve">31-A-001</t>
        </is>
      </c>
      <c r="B4" s="796" t="inlineStr">
        <is>
          <t xml:space="preserve">○ 방화문 및 방화셔터의 관리 상태(폐쇄·훼손·변경) 및 정상 기능 적정 여부</t>
        </is>
      </c>
      <c r="C4" s="854"/>
      <c r="D4" s="728"/>
      <c r="E4" s="728"/>
      <c r="F4" s="728"/>
      <c r="G4" s="728"/>
      <c r="H4" s="727" t="inlineStr">
        <is>
          <t xml:space="preserve">○</t>
        </is>
      </c>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1.75" hidden="false" customHeight="true" outlineLevel="0" collapsed="false">
      <c r="A5" s="799" t="inlineStr">
        <is>
          <t xml:space="preserve">31-A-002</t>
        </is>
      </c>
      <c r="B5" s="800" t="inlineStr">
        <is>
          <t xml:space="preserve">● 비상구 및 피난통로 확보 적정 여부(피난․방화시설 주변 장애물 적치 포함)</t>
        </is>
      </c>
      <c r="C5" s="737"/>
      <c r="D5" s="728"/>
      <c r="E5" s="728"/>
      <c r="F5" s="728"/>
      <c r="G5" s="728"/>
      <c r="H5" s="727" t="inlineStr">
        <is>
          <t xml:space="preserve">/</t>
        </is>
      </c>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4" hidden="false" customHeight="true" outlineLevel="0" collapsed="false">
      <c r="A6" s="842" t="inlineStr">
        <is>
          <t xml:space="preserve"> 31-B. 방염</t>
        </is>
      </c>
      <c r="B6" s="842"/>
      <c r="C6" s="842"/>
      <c r="H6" s="727" t="inlineStr">
        <is>
          <t xml:space="preserve">×</t>
        </is>
      </c>
    </row>
    <row r="7" customFormat="false" ht="21.75" hidden="false" customHeight="true" outlineLevel="0" collapsed="false">
      <c r="A7" s="795" t="inlineStr">
        <is>
          <t xml:space="preserve">31-B-001</t>
        </is>
      </c>
      <c r="B7" s="796" t="inlineStr">
        <is>
          <t xml:space="preserve">● 선처리 방염대상물품의 적합 여부(방염성능시험성적서 및 합격표시 확인)</t>
        </is>
      </c>
      <c r="C7" s="737"/>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1.75" hidden="false" customHeight="true" outlineLevel="0" collapsed="false">
      <c r="A8" s="799" t="inlineStr">
        <is>
          <t xml:space="preserve">31-B-002</t>
        </is>
      </c>
      <c r="B8" s="800" t="inlineStr">
        <is>
          <t xml:space="preserve">● 후처리 방염대상물품의 적합 여부(방염성능검사결과 확인)</t>
        </is>
      </c>
      <c r="C8" s="737"/>
      <c r="D8" s="728"/>
      <c r="E8" s="728"/>
      <c r="F8" s="728"/>
      <c r="G8" s="728"/>
      <c r="H8" s="728"/>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1.75" hidden="false" customHeight="true" outlineLevel="0" collapsed="false">
      <c r="A9" s="764" t="inlineStr">
        <is>
          <t xml:space="preserve">비고</t>
        </is>
      </c>
      <c r="B9" s="855" t="inlineStr">
        <is>
          <t xml:space="preserve">※ 방염성능시험성적서, 합격표시 및 방염성능검사결과의 확인이 불가한 경우 비고에 기재한다.</t>
        </is>
      </c>
      <c r="C9" s="855"/>
    </row>
  </sheetData>
  <mergeCells count="4">
    <mergeCell ref="A1:C1"/>
    <mergeCell ref="A3:C3"/>
    <mergeCell ref="A6:C6"/>
    <mergeCell ref="B9:C9"/>
  </mergeCells>
  <dataValidations count="2">
    <dataValidation allowBlank="true" errorStyle="stop" operator="between" showDropDown="false" showErrorMessage="true" showInputMessage="false" sqref="H4:H6" type="list">
      <formula1>$C$4:$C$11</formula1>
      <formula2>0</formula2>
    </dataValidation>
    <dataValidation allowBlank="true" errorStyle="stop" operator="between" showDropDown="false" showErrorMessage="true" showInputMessage="false" sqref="C4:C5 C7:C8" type="list">
      <formula1>$H$4:$H$6</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5"/>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A18" activeCellId="0" sqref="A18:B18"/>
    </sheetView>
  </sheetViews>
  <sheetFormatPr defaultColWidth="8.88671875" defaultRowHeight="13.5" customHeight="false" zeroHeight="false" outlineLevelRow="0" outlineLevelCol="0"/>
  <cols>
    <col collapsed="false" customWidth="true" hidden="false" outlineLevel="0" max="1" min="1" style="766" width="3.33"/>
    <col collapsed="false" customWidth="true" hidden="false" outlineLevel="0" max="2" min="2" style="766" width="6.55"/>
    <col collapsed="false" customWidth="true" hidden="false" outlineLevel="0" max="3" min="3" style="766" width="5.66"/>
    <col collapsed="false" customWidth="true" hidden="false" outlineLevel="0" max="5" min="4" style="766" width="9.66"/>
    <col collapsed="false" customWidth="true" hidden="false" outlineLevel="0" max="7" min="6" style="766" width="5.44"/>
    <col collapsed="false" customWidth="true" hidden="false" outlineLevel="0" max="8" min="8" style="766" width="10.88"/>
    <col collapsed="false" customWidth="true" hidden="false" outlineLevel="0" max="9" min="9" style="766" width="12.33"/>
    <col collapsed="false" customWidth="true" hidden="false" outlineLevel="0" max="11" min="10" style="766" width="7.44"/>
    <col collapsed="false" customWidth="false" hidden="false" outlineLevel="0" max="257" min="12" style="766" width="8.88"/>
  </cols>
  <sheetData>
    <row r="1" customFormat="false" ht="24.95" hidden="false" customHeight="true" outlineLevel="0" collapsed="false">
      <c r="A1" s="742" t="inlineStr">
        <is>
          <t xml:space="preserve">32. 다중이용업소 점검표</t>
        </is>
      </c>
      <c r="B1" s="742"/>
      <c r="C1" s="742"/>
      <c r="D1" s="742"/>
      <c r="E1" s="742"/>
      <c r="F1" s="742"/>
      <c r="G1" s="742"/>
      <c r="H1" s="742"/>
      <c r="I1" s="742"/>
      <c r="J1" s="742"/>
      <c r="K1" s="742"/>
      <c r="L1" s="719"/>
      <c r="M1" s="719"/>
      <c r="N1" s="719"/>
      <c r="O1" s="719"/>
      <c r="P1" s="719"/>
      <c r="Q1" s="719"/>
      <c r="R1" s="719"/>
      <c r="S1" s="719"/>
      <c r="T1" s="719"/>
      <c r="U1" s="719"/>
      <c r="V1" s="719"/>
      <c r="W1" s="719"/>
      <c r="X1" s="719"/>
      <c r="Y1" s="719"/>
      <c r="Z1" s="719"/>
      <c r="AA1" s="719"/>
      <c r="AB1" s="719"/>
      <c r="AC1" s="719"/>
      <c r="AD1" s="719"/>
      <c r="AE1" s="719"/>
      <c r="AF1" s="719"/>
      <c r="AG1" s="719"/>
      <c r="AH1" s="719"/>
      <c r="AI1" s="719"/>
      <c r="AJ1" s="719"/>
      <c r="AK1" s="719"/>
      <c r="AL1" s="719"/>
      <c r="AM1" s="719"/>
      <c r="AN1" s="719"/>
      <c r="AO1" s="719"/>
      <c r="AP1" s="719"/>
      <c r="AQ1" s="719"/>
      <c r="AR1" s="719"/>
      <c r="AS1" s="719"/>
      <c r="AT1" s="719"/>
      <c r="AU1" s="719"/>
      <c r="AV1" s="719"/>
      <c r="AW1" s="719"/>
      <c r="AX1" s="719"/>
      <c r="AY1" s="719"/>
      <c r="AZ1" s="719"/>
      <c r="BA1" s="719"/>
      <c r="BB1" s="719"/>
      <c r="BC1" s="719"/>
      <c r="BD1" s="719"/>
      <c r="BE1" s="719"/>
      <c r="BF1" s="719"/>
      <c r="BG1" s="719"/>
      <c r="BH1" s="719"/>
      <c r="BI1" s="719"/>
      <c r="BJ1" s="719"/>
      <c r="BK1" s="719"/>
      <c r="BL1" s="719"/>
      <c r="BM1" s="719"/>
      <c r="BN1" s="719"/>
      <c r="BO1" s="719"/>
      <c r="BP1" s="719"/>
      <c r="BQ1" s="719"/>
      <c r="BR1" s="719"/>
      <c r="BS1" s="719"/>
      <c r="BT1" s="719"/>
      <c r="BU1" s="719"/>
      <c r="BV1" s="719"/>
      <c r="BW1" s="719"/>
      <c r="BX1" s="719"/>
      <c r="BY1" s="719"/>
      <c r="BZ1" s="719"/>
      <c r="CA1" s="719"/>
      <c r="CB1" s="719"/>
      <c r="CC1" s="719"/>
      <c r="CD1" s="719"/>
      <c r="CE1" s="719"/>
      <c r="CF1" s="719"/>
      <c r="CG1" s="719"/>
      <c r="CH1" s="719"/>
      <c r="CI1" s="719"/>
      <c r="CJ1" s="719"/>
      <c r="CK1" s="719"/>
      <c r="CL1" s="719"/>
      <c r="CM1" s="719"/>
      <c r="CN1" s="719"/>
      <c r="CO1" s="719"/>
      <c r="CP1" s="719"/>
      <c r="CQ1" s="719"/>
      <c r="CR1" s="719"/>
      <c r="CS1" s="719"/>
      <c r="CT1" s="719"/>
      <c r="CU1" s="719"/>
      <c r="CV1" s="719"/>
      <c r="CW1" s="719"/>
      <c r="CX1" s="719"/>
      <c r="CY1" s="719"/>
      <c r="CZ1" s="719"/>
      <c r="DA1" s="719"/>
      <c r="DB1" s="719"/>
      <c r="DC1" s="719"/>
      <c r="DD1" s="719"/>
      <c r="DE1" s="719"/>
      <c r="DF1" s="719"/>
      <c r="DG1" s="719"/>
      <c r="DH1" s="719"/>
      <c r="DI1" s="719"/>
      <c r="DJ1" s="719"/>
      <c r="DK1" s="719"/>
      <c r="DL1" s="719"/>
      <c r="DM1" s="719"/>
      <c r="DN1" s="719"/>
      <c r="DO1" s="719"/>
      <c r="DP1" s="719"/>
      <c r="DQ1" s="719"/>
      <c r="DR1" s="719"/>
      <c r="DS1" s="719"/>
      <c r="DT1" s="719"/>
      <c r="DU1" s="719"/>
      <c r="DV1" s="719"/>
      <c r="DW1" s="719"/>
      <c r="DX1" s="719"/>
      <c r="DY1" s="719"/>
      <c r="DZ1" s="719"/>
      <c r="EA1" s="719"/>
      <c r="EB1" s="719"/>
      <c r="EC1" s="719"/>
      <c r="ED1" s="719"/>
      <c r="EE1" s="719"/>
      <c r="EF1" s="719"/>
      <c r="EG1" s="719"/>
      <c r="EH1" s="719"/>
      <c r="EI1" s="719"/>
      <c r="EJ1" s="719"/>
      <c r="EK1" s="719"/>
      <c r="EL1" s="719"/>
      <c r="EM1" s="719"/>
      <c r="EN1" s="719"/>
      <c r="EO1" s="719"/>
      <c r="EP1" s="719"/>
      <c r="EQ1" s="719"/>
      <c r="ER1" s="719"/>
      <c r="ES1" s="719"/>
      <c r="ET1" s="719"/>
      <c r="EU1" s="719"/>
      <c r="EV1" s="719"/>
      <c r="EW1" s="719"/>
      <c r="EX1" s="719"/>
      <c r="EY1" s="719"/>
      <c r="EZ1" s="719"/>
      <c r="FA1" s="719"/>
      <c r="FB1" s="719"/>
      <c r="FC1" s="719"/>
      <c r="FD1" s="719"/>
      <c r="FE1" s="719"/>
      <c r="FF1" s="719"/>
      <c r="FG1" s="719"/>
      <c r="FH1" s="719"/>
      <c r="FI1" s="719"/>
      <c r="FJ1" s="719"/>
      <c r="FK1" s="719"/>
      <c r="FL1" s="719"/>
      <c r="FM1" s="719"/>
      <c r="FN1" s="719"/>
      <c r="FO1" s="719"/>
      <c r="FP1" s="719"/>
      <c r="FQ1" s="719"/>
      <c r="FR1" s="719"/>
      <c r="FS1" s="719"/>
      <c r="FT1" s="719"/>
      <c r="FU1" s="719"/>
      <c r="FV1" s="719"/>
      <c r="FW1" s="719"/>
      <c r="FX1" s="719"/>
      <c r="FY1" s="719"/>
      <c r="FZ1" s="719"/>
      <c r="GA1" s="719"/>
      <c r="GB1" s="719"/>
      <c r="GC1" s="719"/>
      <c r="GD1" s="719"/>
      <c r="GE1" s="719"/>
      <c r="GF1" s="719"/>
      <c r="GG1" s="719"/>
      <c r="GH1" s="719"/>
      <c r="GI1" s="719"/>
      <c r="GJ1" s="719"/>
      <c r="GK1" s="719"/>
      <c r="GL1" s="719"/>
      <c r="GM1" s="719"/>
      <c r="GN1" s="719"/>
      <c r="GO1" s="719"/>
      <c r="GP1" s="719"/>
      <c r="GQ1" s="719"/>
      <c r="GR1" s="719"/>
      <c r="GS1" s="719"/>
      <c r="GT1" s="719"/>
      <c r="GU1" s="719"/>
      <c r="GV1" s="719"/>
      <c r="GW1" s="719"/>
      <c r="GX1" s="719"/>
      <c r="GY1" s="719"/>
      <c r="GZ1" s="719"/>
      <c r="HA1" s="719"/>
      <c r="HB1" s="719"/>
      <c r="HC1" s="719"/>
      <c r="HD1" s="719"/>
      <c r="HE1" s="719"/>
      <c r="HF1" s="719"/>
      <c r="HG1" s="719"/>
      <c r="HH1" s="719"/>
      <c r="HI1" s="719"/>
      <c r="HJ1" s="719"/>
      <c r="HK1" s="719"/>
      <c r="HL1" s="719"/>
      <c r="HM1" s="719"/>
      <c r="HN1" s="719"/>
      <c r="HO1" s="719"/>
      <c r="HP1" s="719"/>
      <c r="HQ1" s="719"/>
      <c r="HR1" s="719"/>
      <c r="HS1" s="719"/>
      <c r="HT1" s="719"/>
      <c r="HU1" s="719"/>
      <c r="HV1" s="719"/>
      <c r="HW1" s="719"/>
      <c r="HX1" s="719"/>
      <c r="HY1" s="719"/>
      <c r="HZ1" s="719"/>
      <c r="IA1" s="719"/>
      <c r="IB1" s="719"/>
      <c r="IC1" s="719"/>
      <c r="ID1" s="719"/>
      <c r="IE1" s="719"/>
      <c r="IF1" s="719"/>
      <c r="IG1" s="719"/>
      <c r="IH1" s="719"/>
      <c r="II1" s="719"/>
      <c r="IJ1" s="719"/>
      <c r="IK1" s="719"/>
      <c r="IL1" s="719"/>
      <c r="IM1" s="719"/>
      <c r="IN1" s="719"/>
      <c r="IO1" s="719"/>
      <c r="IP1" s="719"/>
      <c r="IQ1" s="719"/>
      <c r="IR1" s="719"/>
      <c r="IS1" s="719"/>
      <c r="IT1" s="719"/>
      <c r="IU1" s="719"/>
      <c r="IV1" s="719"/>
      <c r="IW1" s="719"/>
    </row>
    <row r="2" customFormat="false" ht="26.25" hidden="false" customHeight="true" outlineLevel="0" collapsed="false">
      <c r="A2" s="721" t="inlineStr">
        <is>
          <t xml:space="preserve">번호</t>
        </is>
      </c>
      <c r="B2" s="721"/>
      <c r="C2" s="722" t="inlineStr">
        <is>
          <t xml:space="preserve">점검항목</t>
        </is>
      </c>
      <c r="D2" s="722"/>
      <c r="E2" s="722"/>
      <c r="F2" s="722"/>
      <c r="G2" s="722"/>
      <c r="H2" s="722"/>
      <c r="I2" s="722"/>
      <c r="J2" s="769" t="inlineStr">
        <is>
          <t xml:space="preserve">점검결과</t>
        </is>
      </c>
      <c r="K2" s="769"/>
    </row>
    <row r="3" customFormat="false" ht="21" hidden="false" customHeight="true" outlineLevel="0" collapsed="false">
      <c r="A3" s="818" t="inlineStr">
        <is>
          <t xml:space="preserve"> 32-A. 소화설비</t>
        </is>
      </c>
      <c r="B3" s="818"/>
      <c r="C3" s="818"/>
      <c r="D3" s="818"/>
      <c r="E3" s="818"/>
      <c r="F3" s="818"/>
      <c r="G3" s="818"/>
      <c r="H3" s="818"/>
      <c r="I3" s="818"/>
      <c r="J3" s="818"/>
      <c r="K3" s="818"/>
    </row>
    <row r="4" customFormat="false" ht="21" hidden="false" customHeight="true" outlineLevel="0" collapsed="false">
      <c r="A4" s="770"/>
      <c r="B4" s="770"/>
      <c r="C4" s="856" t="inlineStr">
        <is>
          <t xml:space="preserve"> 소화기구(소화기, 자동확산소화기)</t>
        </is>
      </c>
      <c r="D4" s="856"/>
      <c r="E4" s="856"/>
      <c r="F4" s="856"/>
      <c r="G4" s="856"/>
      <c r="H4" s="856"/>
      <c r="I4" s="856"/>
      <c r="J4" s="772"/>
      <c r="K4" s="772"/>
    </row>
    <row r="5" customFormat="false" ht="21" hidden="false" customHeight="true" outlineLevel="0" collapsed="false">
      <c r="A5" s="763" t="inlineStr">
        <is>
          <t xml:space="preserve">32-A-001</t>
        </is>
      </c>
      <c r="B5" s="763"/>
      <c r="C5" s="857" t="inlineStr">
        <is>
          <t xml:space="preserve">○ 설치수량(구획된 실 등) 및 설치거리(보행거리) 적정 여부</t>
        </is>
      </c>
      <c r="D5" s="857"/>
      <c r="E5" s="857"/>
      <c r="F5" s="857"/>
      <c r="G5" s="857"/>
      <c r="H5" s="857"/>
      <c r="I5" s="857"/>
      <c r="J5" s="772"/>
      <c r="K5" s="772"/>
      <c r="P5" s="727" t="inlineStr">
        <is>
          <t xml:space="preserve">○</t>
        </is>
      </c>
    </row>
    <row r="6" customFormat="false" ht="21" hidden="false" customHeight="true" outlineLevel="0" collapsed="false">
      <c r="A6" s="763" t="inlineStr">
        <is>
          <t xml:space="preserve">32-A-002</t>
        </is>
      </c>
      <c r="B6" s="763"/>
      <c r="C6" s="858" t="inlineStr">
        <is>
          <t xml:space="preserve">○ 설치장소(손쉬운 사용) 및 설치 높이 적정 여부</t>
        </is>
      </c>
      <c r="D6" s="858"/>
      <c r="E6" s="858"/>
      <c r="F6" s="858"/>
      <c r="G6" s="858"/>
      <c r="H6" s="858"/>
      <c r="I6" s="858"/>
      <c r="J6" s="772"/>
      <c r="K6" s="772"/>
      <c r="P6" s="727" t="inlineStr">
        <is>
          <t xml:space="preserve">/</t>
        </is>
      </c>
    </row>
    <row r="7" customFormat="false" ht="21" hidden="false" customHeight="true" outlineLevel="0" collapsed="false">
      <c r="A7" s="763" t="inlineStr">
        <is>
          <t xml:space="preserve">32-A-003</t>
        </is>
      </c>
      <c r="B7" s="763"/>
      <c r="C7" s="858" t="inlineStr">
        <is>
          <t xml:space="preserve">○ 소화기 표지 설치상태 적정 여부</t>
        </is>
      </c>
      <c r="D7" s="858"/>
      <c r="E7" s="858"/>
      <c r="F7" s="858"/>
      <c r="G7" s="858"/>
      <c r="H7" s="858"/>
      <c r="I7" s="858"/>
      <c r="J7" s="772"/>
      <c r="K7" s="772"/>
      <c r="P7" s="727" t="inlineStr">
        <is>
          <t xml:space="preserve">×</t>
        </is>
      </c>
    </row>
    <row r="8" customFormat="false" ht="21" hidden="false" customHeight="true" outlineLevel="0" collapsed="false">
      <c r="A8" s="763" t="inlineStr">
        <is>
          <t xml:space="preserve">32-A-004</t>
        </is>
      </c>
      <c r="B8" s="763"/>
      <c r="C8" s="858" t="inlineStr">
        <is>
          <t xml:space="preserve">○ 외형의 이상 또는 사용상 장애 여부</t>
        </is>
      </c>
      <c r="D8" s="858"/>
      <c r="E8" s="858"/>
      <c r="F8" s="858"/>
      <c r="G8" s="858"/>
      <c r="H8" s="858"/>
      <c r="I8" s="858"/>
      <c r="J8" s="772"/>
      <c r="K8" s="772"/>
    </row>
    <row r="9" customFormat="false" ht="21" hidden="false" customHeight="true" outlineLevel="0" collapsed="false">
      <c r="A9" s="775" t="inlineStr">
        <is>
          <t xml:space="preserve">32-A-005</t>
        </is>
      </c>
      <c r="B9" s="775"/>
      <c r="C9" s="773" t="inlineStr">
        <is>
          <t xml:space="preserve">○ 수동식 분말소화기 내용연수 적정여부</t>
        </is>
      </c>
      <c r="D9" s="773"/>
      <c r="E9" s="773"/>
      <c r="F9" s="773"/>
      <c r="G9" s="773"/>
      <c r="H9" s="773"/>
      <c r="I9" s="773"/>
      <c r="J9" s="772"/>
      <c r="K9" s="772"/>
    </row>
    <row r="10" customFormat="false" ht="21" hidden="false" customHeight="true" outlineLevel="0" collapsed="false">
      <c r="A10" s="770"/>
      <c r="B10" s="770"/>
      <c r="C10" s="856" t="inlineStr">
        <is>
          <t xml:space="preserve"> 간이스프링클러설비</t>
        </is>
      </c>
      <c r="D10" s="856"/>
      <c r="E10" s="856"/>
      <c r="F10" s="856"/>
      <c r="G10" s="856"/>
      <c r="H10" s="856"/>
      <c r="I10" s="856"/>
      <c r="J10" s="772"/>
      <c r="K10" s="772"/>
    </row>
    <row r="11" customFormat="false" ht="21" hidden="false" customHeight="true" outlineLevel="0" collapsed="false">
      <c r="A11" s="763" t="inlineStr">
        <is>
          <t xml:space="preserve">32-A-011</t>
        </is>
      </c>
      <c r="B11" s="763"/>
      <c r="C11" s="857" t="inlineStr">
        <is>
          <t xml:space="preserve">○ 수원의 양 적정 여부</t>
        </is>
      </c>
      <c r="D11" s="857"/>
      <c r="E11" s="857"/>
      <c r="F11" s="857"/>
      <c r="G11" s="857"/>
      <c r="H11" s="857"/>
      <c r="I11" s="857"/>
      <c r="J11" s="772"/>
      <c r="K11" s="772"/>
    </row>
    <row r="12" customFormat="false" ht="21" hidden="false" customHeight="true" outlineLevel="0" collapsed="false">
      <c r="A12" s="763" t="inlineStr">
        <is>
          <t xml:space="preserve">32-A-012</t>
        </is>
      </c>
      <c r="B12" s="763"/>
      <c r="C12" s="858" t="inlineStr">
        <is>
          <t xml:space="preserve">○ 가압송수장치의 정상 작동 여부</t>
        </is>
      </c>
      <c r="D12" s="858"/>
      <c r="E12" s="858"/>
      <c r="F12" s="858"/>
      <c r="G12" s="858"/>
      <c r="H12" s="858"/>
      <c r="I12" s="858"/>
      <c r="J12" s="772"/>
      <c r="K12" s="772"/>
    </row>
    <row r="13" customFormat="false" ht="21" hidden="false" customHeight="true" outlineLevel="0" collapsed="false">
      <c r="A13" s="763" t="inlineStr">
        <is>
          <t xml:space="preserve">32-A-013</t>
        </is>
      </c>
      <c r="B13" s="763"/>
      <c r="C13" s="858" t="inlineStr">
        <is>
          <t xml:space="preserve">○ 배관 및 밸브의 파손, 변형 및 잠김 여부</t>
        </is>
      </c>
      <c r="D13" s="858"/>
      <c r="E13" s="858"/>
      <c r="F13" s="858"/>
      <c r="G13" s="858"/>
      <c r="H13" s="858"/>
      <c r="I13" s="858"/>
      <c r="J13" s="772"/>
      <c r="K13" s="772"/>
    </row>
    <row r="14" customFormat="false" ht="21" hidden="false" customHeight="true" outlineLevel="0" collapsed="false">
      <c r="A14" s="763" t="inlineStr">
        <is>
          <t xml:space="preserve">32-A-014</t>
        </is>
      </c>
      <c r="B14" s="763"/>
      <c r="C14" s="858" t="inlineStr">
        <is>
          <t xml:space="preserve">○ 상용전원 및 비상전원의 이상 여부</t>
        </is>
      </c>
      <c r="D14" s="858"/>
      <c r="E14" s="858"/>
      <c r="F14" s="858"/>
      <c r="G14" s="858"/>
      <c r="H14" s="858"/>
      <c r="I14" s="858"/>
      <c r="J14" s="772"/>
      <c r="K14" s="772"/>
    </row>
    <row r="15" customFormat="false" ht="21" hidden="false" customHeight="true" outlineLevel="0" collapsed="false">
      <c r="A15" s="763" t="inlineStr">
        <is>
          <t xml:space="preserve">32-A-015</t>
        </is>
      </c>
      <c r="B15" s="763"/>
      <c r="C15" s="857" t="inlineStr">
        <is>
          <t xml:space="preserve">● 유수검지장치의 정상 작동 여부</t>
        </is>
      </c>
      <c r="D15" s="857"/>
      <c r="E15" s="857"/>
      <c r="F15" s="857"/>
      <c r="G15" s="857"/>
      <c r="H15" s="857"/>
      <c r="I15" s="857"/>
      <c r="J15" s="772"/>
      <c r="K15" s="772"/>
    </row>
    <row r="16" customFormat="false" ht="21" hidden="false" customHeight="true" outlineLevel="0" collapsed="false">
      <c r="A16" s="763" t="inlineStr">
        <is>
          <t xml:space="preserve">32-A-016</t>
        </is>
      </c>
      <c r="B16" s="763"/>
      <c r="C16" s="858" t="inlineStr">
        <is>
          <t xml:space="preserve">● 헤드의 적정 설치 여부(미설치, 살수장애, 도색 등)</t>
        </is>
      </c>
      <c r="D16" s="858"/>
      <c r="E16" s="858"/>
      <c r="F16" s="858"/>
      <c r="G16" s="858"/>
      <c r="H16" s="858"/>
      <c r="I16" s="858"/>
      <c r="J16" s="772"/>
      <c r="K16" s="772"/>
    </row>
    <row r="17" customFormat="false" ht="21" hidden="false" customHeight="true" outlineLevel="0" collapsed="false">
      <c r="A17" s="763" t="inlineStr">
        <is>
          <t xml:space="preserve">32-A-017</t>
        </is>
      </c>
      <c r="B17" s="763"/>
      <c r="C17" s="858" t="inlineStr">
        <is>
          <t xml:space="preserve">● 송수구 결합부의 이상 여부</t>
        </is>
      </c>
      <c r="D17" s="858"/>
      <c r="E17" s="858"/>
      <c r="F17" s="858"/>
      <c r="G17" s="858"/>
      <c r="H17" s="858"/>
      <c r="I17" s="858"/>
      <c r="J17" s="772"/>
      <c r="K17" s="772"/>
    </row>
    <row r="18" customFormat="false" ht="21" hidden="false" customHeight="true" outlineLevel="0" collapsed="false">
      <c r="A18" s="775" t="inlineStr">
        <is>
          <t xml:space="preserve">32-A-018</t>
        </is>
      </c>
      <c r="B18" s="775"/>
      <c r="C18" s="773" t="inlineStr">
        <is>
          <t xml:space="preserve">● 시험밸브 개방시 펌프기동 및 음향 경보 여부</t>
        </is>
      </c>
      <c r="D18" s="773"/>
      <c r="E18" s="773"/>
      <c r="F18" s="773"/>
      <c r="G18" s="773"/>
      <c r="H18" s="773"/>
      <c r="I18" s="773"/>
      <c r="J18" s="772"/>
      <c r="K18" s="772"/>
    </row>
    <row r="19" customFormat="false" ht="21" hidden="false" customHeight="true" outlineLevel="0" collapsed="false">
      <c r="A19" s="818" t="inlineStr">
        <is>
          <t xml:space="preserve">* 펌프성능시험(펌프 명판 및 설계치 참조)</t>
        </is>
      </c>
      <c r="B19" s="818"/>
      <c r="C19" s="818"/>
      <c r="D19" s="818"/>
      <c r="E19" s="818"/>
      <c r="F19" s="818"/>
      <c r="G19" s="818"/>
      <c r="H19" s="818"/>
      <c r="I19" s="818"/>
      <c r="J19" s="818"/>
      <c r="K19" s="818"/>
    </row>
    <row r="20" customFormat="false" ht="31.5" hidden="false" customHeight="true" outlineLevel="0" collapsed="false">
      <c r="A20" s="779" t="inlineStr">
        <is>
          <t xml:space="preserve">구분</t>
        </is>
      </c>
      <c r="B20" s="779"/>
      <c r="C20" s="779"/>
      <c r="D20" s="780" t="inlineStr">
        <is>
          <t xml:space="preserve">체절운전</t>
        </is>
      </c>
      <c r="E20" s="781" t="inlineStr">
        <is>
          <t xml:space="preserve">정격운전
(100%)</t>
        </is>
      </c>
      <c r="F20" s="781" t="inlineStr">
        <is>
          <t xml:space="preserve">정격유량의
150%운전</t>
        </is>
      </c>
      <c r="G20" s="781"/>
      <c r="H20" s="782" t="inlineStr">
        <is>
          <t xml:space="preserve">적   정   여   부</t>
        </is>
      </c>
      <c r="I20" s="782"/>
      <c r="J20" s="783" t="inlineStr">
        <is>
          <t xml:space="preserve">o 설정압력:
o 주펌프
기동:        MPa
정지:        MPa
o 예비펌프
기동:        MPa
정지:        MPa 
o 충압펌프
기동:        MPa
정지:        MPa</t>
        </is>
      </c>
      <c r="K20" s="783"/>
    </row>
    <row r="21" customFormat="false" ht="24" hidden="false" customHeight="true" outlineLevel="0" collapsed="false">
      <c r="A21" s="784" t="inlineStr">
        <is>
          <t xml:space="preserve">토출량
(ℓ/min)</t>
        </is>
      </c>
      <c r="B21" s="784"/>
      <c r="C21" s="781" t="inlineStr">
        <is>
          <t xml:space="preserve">주</t>
        </is>
      </c>
      <c r="D21" s="785"/>
      <c r="E21" s="786"/>
      <c r="F21" s="787"/>
      <c r="G21" s="787"/>
      <c r="H21" s="859" t="inlineStr">
        <is>
          <t xml:space="preserve">1. 체절운전시 토출압은 
  정격토출압의 140% 이하 (   )
2. 정격운전시 토출량과 
  토출압이 규정치 이상(   )
3. 정격토출량 150%에서 토출압이 
  정격토출압의 65%이상 (   )</t>
        </is>
      </c>
      <c r="I21" s="859"/>
      <c r="J21" s="783"/>
      <c r="K21" s="783"/>
    </row>
    <row r="22" customFormat="false" ht="24" hidden="false" customHeight="true" outlineLevel="0" collapsed="false">
      <c r="A22" s="784"/>
      <c r="B22" s="784"/>
      <c r="C22" s="781" t="inlineStr">
        <is>
          <t xml:space="preserve">예비</t>
        </is>
      </c>
      <c r="D22" s="785"/>
      <c r="E22" s="789"/>
      <c r="F22" s="789"/>
      <c r="G22" s="789"/>
      <c r="H22" s="859"/>
      <c r="I22" s="859"/>
      <c r="J22" s="783"/>
      <c r="K22" s="783"/>
    </row>
    <row r="23" customFormat="false" ht="24" hidden="false" customHeight="true" outlineLevel="0" collapsed="false">
      <c r="A23" s="860" t="inlineStr">
        <is>
          <t xml:space="preserve">토출압
(MPa)</t>
        </is>
      </c>
      <c r="B23" s="860"/>
      <c r="C23" s="781" t="inlineStr">
        <is>
          <t xml:space="preserve">주</t>
        </is>
      </c>
      <c r="D23" s="785"/>
      <c r="E23" s="786"/>
      <c r="F23" s="787"/>
      <c r="G23" s="787"/>
      <c r="H23" s="859"/>
      <c r="I23" s="859"/>
      <c r="J23" s="783"/>
      <c r="K23" s="783"/>
    </row>
    <row r="24" customFormat="false" ht="24" hidden="false" customHeight="true" outlineLevel="0" collapsed="false">
      <c r="A24" s="860"/>
      <c r="B24" s="860"/>
      <c r="C24" s="861" t="inlineStr">
        <is>
          <t xml:space="preserve">예비</t>
        </is>
      </c>
      <c r="D24" s="862"/>
      <c r="E24" s="863"/>
      <c r="F24" s="863"/>
      <c r="G24" s="863"/>
      <c r="H24" s="859"/>
      <c r="I24" s="859"/>
      <c r="J24" s="783"/>
      <c r="K24" s="783"/>
    </row>
    <row r="25" customFormat="false" ht="21" hidden="false" customHeight="true" outlineLevel="0" collapsed="false">
      <c r="A25" s="864" t="inlineStr">
        <is>
          <t xml:space="preserve">* 릴리프밸브 작동 압력 :  1.60/1.70  MPa</t>
        </is>
      </c>
      <c r="B25" s="864"/>
      <c r="C25" s="864"/>
      <c r="D25" s="864"/>
      <c r="E25" s="864"/>
      <c r="F25" s="864"/>
      <c r="G25" s="864"/>
      <c r="H25" s="864"/>
      <c r="I25" s="864"/>
      <c r="J25" s="864"/>
      <c r="K25" s="864"/>
    </row>
    <row r="26" customFormat="false" ht="21" hidden="false" customHeight="true" outlineLevel="0" collapsed="false">
      <c r="A26" s="818" t="inlineStr">
        <is>
          <t xml:space="preserve"> 32-B. 경보설비</t>
        </is>
      </c>
      <c r="B26" s="818"/>
      <c r="C26" s="818"/>
      <c r="D26" s="818"/>
      <c r="E26" s="818"/>
      <c r="F26" s="818"/>
      <c r="G26" s="818"/>
      <c r="H26" s="818"/>
      <c r="I26" s="818"/>
      <c r="J26" s="818"/>
      <c r="K26" s="818"/>
    </row>
    <row r="27" customFormat="false" ht="21" hidden="false" customHeight="true" outlineLevel="0" collapsed="false">
      <c r="A27" s="770"/>
      <c r="B27" s="770"/>
      <c r="C27" s="856" t="inlineStr">
        <is>
          <t xml:space="preserve"> 비상벨‧자동화재탐지설비</t>
        </is>
      </c>
      <c r="D27" s="856"/>
      <c r="E27" s="856"/>
      <c r="F27" s="856"/>
      <c r="G27" s="856"/>
      <c r="H27" s="856"/>
      <c r="I27" s="856"/>
      <c r="J27" s="865"/>
      <c r="K27" s="865"/>
    </row>
    <row r="28" customFormat="false" ht="21" hidden="false" customHeight="true" outlineLevel="0" collapsed="false">
      <c r="A28" s="763" t="inlineStr">
        <is>
          <t xml:space="preserve">32-B-001</t>
        </is>
      </c>
      <c r="B28" s="763"/>
      <c r="C28" s="857" t="inlineStr">
        <is>
          <t xml:space="preserve">○ 구획된 실마다 감지기(발신기), 음향장치 설치 및 정상 작동 여부</t>
        </is>
      </c>
      <c r="D28" s="857"/>
      <c r="E28" s="857"/>
      <c r="F28" s="857"/>
      <c r="G28" s="857"/>
      <c r="H28" s="857"/>
      <c r="I28" s="857"/>
      <c r="J28" s="772"/>
      <c r="K28" s="772"/>
    </row>
    <row r="29" customFormat="false" ht="21" hidden="false" customHeight="true" outlineLevel="0" collapsed="false">
      <c r="A29" s="763" t="inlineStr">
        <is>
          <t xml:space="preserve">32-B-002</t>
        </is>
      </c>
      <c r="B29" s="763"/>
      <c r="C29" s="858" t="inlineStr">
        <is>
          <t xml:space="preserve">○ 전용 수신기가 설치된 경우 주수신기와 상호 연동되는지 여부</t>
        </is>
      </c>
      <c r="D29" s="858"/>
      <c r="E29" s="858"/>
      <c r="F29" s="858"/>
      <c r="G29" s="858"/>
      <c r="H29" s="858"/>
      <c r="I29" s="858"/>
      <c r="J29" s="772"/>
      <c r="K29" s="772"/>
    </row>
    <row r="30" customFormat="false" ht="24" hidden="false" customHeight="true" outlineLevel="0" collapsed="false">
      <c r="A30" s="763" t="inlineStr">
        <is>
          <t xml:space="preserve">32-B-003</t>
        </is>
      </c>
      <c r="B30" s="763"/>
      <c r="C30" s="858" t="inlineStr">
        <is>
          <t xml:space="preserve">○ 수신기 예비전원(축전지) 상태 적정 여부(상시 충전, 상용전원 차단 시 자동절환)</t>
        </is>
      </c>
      <c r="D30" s="858"/>
      <c r="E30" s="858"/>
      <c r="F30" s="858"/>
      <c r="G30" s="858"/>
      <c r="H30" s="858"/>
      <c r="I30" s="858"/>
      <c r="J30" s="772"/>
      <c r="K30" s="772"/>
    </row>
    <row r="31" customFormat="false" ht="21" hidden="false" customHeight="true" outlineLevel="0" collapsed="false">
      <c r="A31" s="770"/>
      <c r="B31" s="770"/>
      <c r="C31" s="856" t="inlineStr">
        <is>
          <t xml:space="preserve"> 가스누설경보기</t>
        </is>
      </c>
      <c r="D31" s="856"/>
      <c r="E31" s="856"/>
      <c r="F31" s="856"/>
      <c r="G31" s="856"/>
      <c r="H31" s="856"/>
      <c r="I31" s="856"/>
      <c r="J31" s="865"/>
      <c r="K31" s="865"/>
    </row>
    <row r="32" customFormat="false" ht="21" hidden="false" customHeight="true" outlineLevel="0" collapsed="false">
      <c r="A32" s="775" t="inlineStr">
        <is>
          <t xml:space="preserve">32-B-011</t>
        </is>
      </c>
      <c r="B32" s="775"/>
      <c r="C32" s="773" t="inlineStr">
        <is>
          <t xml:space="preserve">● 주방 또는 난방시설이 설치된 장소에 설치 및 정상 작동 여부</t>
        </is>
      </c>
      <c r="D32" s="773"/>
      <c r="E32" s="773"/>
      <c r="F32" s="773"/>
      <c r="G32" s="773"/>
      <c r="H32" s="773"/>
      <c r="I32" s="773"/>
      <c r="J32" s="772"/>
      <c r="K32" s="772"/>
    </row>
    <row r="33" customFormat="false" ht="21" hidden="false" customHeight="true" outlineLevel="0" collapsed="false">
      <c r="A33" s="818" t="inlineStr">
        <is>
          <t xml:space="preserve"> 32-C. 피난구조설비</t>
        </is>
      </c>
      <c r="B33" s="818"/>
      <c r="C33" s="818"/>
      <c r="D33" s="818"/>
      <c r="E33" s="818"/>
      <c r="F33" s="818"/>
      <c r="G33" s="818"/>
      <c r="H33" s="818"/>
      <c r="I33" s="818"/>
      <c r="J33" s="818"/>
      <c r="K33" s="818"/>
    </row>
    <row r="34" customFormat="false" ht="21" hidden="false" customHeight="true" outlineLevel="0" collapsed="false">
      <c r="A34" s="770"/>
      <c r="B34" s="770"/>
      <c r="C34" s="856" t="inlineStr">
        <is>
          <t xml:space="preserve"> 피난기구</t>
        </is>
      </c>
      <c r="D34" s="856"/>
      <c r="E34" s="856"/>
      <c r="F34" s="856"/>
      <c r="G34" s="856"/>
      <c r="H34" s="856"/>
      <c r="I34" s="856"/>
      <c r="J34" s="865"/>
      <c r="K34" s="865"/>
    </row>
    <row r="35" customFormat="false" ht="21" hidden="false" customHeight="true" outlineLevel="0" collapsed="false">
      <c r="A35" s="764" t="inlineStr">
        <is>
          <t xml:space="preserve">32-C-001</t>
        </is>
      </c>
      <c r="B35" s="764"/>
      <c r="C35" s="866" t="inlineStr">
        <is>
          <t xml:space="preserve">● 피난기구 종류 및 설치개수 적정 여부</t>
        </is>
      </c>
      <c r="D35" s="866"/>
      <c r="E35" s="866"/>
      <c r="F35" s="866"/>
      <c r="G35" s="866"/>
      <c r="H35" s="866"/>
      <c r="I35" s="866"/>
      <c r="J35" s="867"/>
      <c r="K35" s="867"/>
    </row>
  </sheetData>
  <mergeCells count="89">
    <mergeCell ref="A1:K1"/>
    <mergeCell ref="A2:B2"/>
    <mergeCell ref="C2:I2"/>
    <mergeCell ref="J2:K2"/>
    <mergeCell ref="A3:K3"/>
    <mergeCell ref="A4:B4"/>
    <mergeCell ref="C4:I4"/>
    <mergeCell ref="J4:K4"/>
    <mergeCell ref="A5:B5"/>
    <mergeCell ref="C5:I5"/>
    <mergeCell ref="J5:K5"/>
    <mergeCell ref="A6:B6"/>
    <mergeCell ref="C6:I6"/>
    <mergeCell ref="J6:K6"/>
    <mergeCell ref="A7:B7"/>
    <mergeCell ref="C7:I7"/>
    <mergeCell ref="J7:K7"/>
    <mergeCell ref="A8:B8"/>
    <mergeCell ref="C8:I8"/>
    <mergeCell ref="J8:K8"/>
    <mergeCell ref="A9:B9"/>
    <mergeCell ref="C9:I9"/>
    <mergeCell ref="J9:K9"/>
    <mergeCell ref="A10:B10"/>
    <mergeCell ref="C10:I10"/>
    <mergeCell ref="J10:K10"/>
    <mergeCell ref="A11:B11"/>
    <mergeCell ref="C11:I11"/>
    <mergeCell ref="J11:K11"/>
    <mergeCell ref="A12:B12"/>
    <mergeCell ref="C12:I12"/>
    <mergeCell ref="J12:K12"/>
    <mergeCell ref="A13:B13"/>
    <mergeCell ref="C13:I13"/>
    <mergeCell ref="J13:K13"/>
    <mergeCell ref="A14:B14"/>
    <mergeCell ref="C14:I14"/>
    <mergeCell ref="J14:K14"/>
    <mergeCell ref="A15:B15"/>
    <mergeCell ref="C15:I15"/>
    <mergeCell ref="J15:K15"/>
    <mergeCell ref="A16:B16"/>
    <mergeCell ref="C16:I16"/>
    <mergeCell ref="J16:K16"/>
    <mergeCell ref="A17:B17"/>
    <mergeCell ref="C17:I17"/>
    <mergeCell ref="J17:K17"/>
    <mergeCell ref="A18:B18"/>
    <mergeCell ref="C18:I18"/>
    <mergeCell ref="J18:K18"/>
    <mergeCell ref="A19:K19"/>
    <mergeCell ref="A20:C20"/>
    <mergeCell ref="F20:G20"/>
    <mergeCell ref="H20:I20"/>
    <mergeCell ref="J20:K24"/>
    <mergeCell ref="A21:B22"/>
    <mergeCell ref="F21:G21"/>
    <mergeCell ref="H21:I24"/>
    <mergeCell ref="F22:G22"/>
    <mergeCell ref="A23:B24"/>
    <mergeCell ref="F23:G23"/>
    <mergeCell ref="F24:G24"/>
    <mergeCell ref="A25:K25"/>
    <mergeCell ref="A26:K26"/>
    <mergeCell ref="A27:B27"/>
    <mergeCell ref="C27:I27"/>
    <mergeCell ref="J27:K27"/>
    <mergeCell ref="A28:B28"/>
    <mergeCell ref="C28:I28"/>
    <mergeCell ref="J28:K28"/>
    <mergeCell ref="A29:B29"/>
    <mergeCell ref="C29:I29"/>
    <mergeCell ref="J29:K29"/>
    <mergeCell ref="A30:B30"/>
    <mergeCell ref="C30:I30"/>
    <mergeCell ref="J30:K30"/>
    <mergeCell ref="A31:B31"/>
    <mergeCell ref="C31:I31"/>
    <mergeCell ref="J31:K31"/>
    <mergeCell ref="A32:B32"/>
    <mergeCell ref="C32:I32"/>
    <mergeCell ref="J32:K32"/>
    <mergeCell ref="A33:K33"/>
    <mergeCell ref="A34:B34"/>
    <mergeCell ref="C34:I34"/>
    <mergeCell ref="J34:K34"/>
    <mergeCell ref="A35:B35"/>
    <mergeCell ref="C35:I35"/>
    <mergeCell ref="J35:K35"/>
  </mergeCells>
  <dataValidations count="2">
    <dataValidation allowBlank="true" errorStyle="stop" operator="between" showDropDown="false" showErrorMessage="true" showInputMessage="false" sqref="P5:P7" type="list">
      <formula1>$C$4:$C$11</formula1>
      <formula2>0</formula2>
    </dataValidation>
    <dataValidation allowBlank="true" errorStyle="stop" operator="between" showDropDown="false" showErrorMessage="true" showInputMessage="false" sqref="J4:K18 J27:K32 J34:K35" type="list">
      <formula1>$P$5:$P$7</formula1>
      <formula2>0</formula2>
    </dataValidation>
  </dataValidations>
  <printOptions headings="false" gridLines="false" gridLinesSet="true" horizontalCentered="false" verticalCentered="false"/>
  <pageMargins left="0.32" right="0.15748031496062992" top="0.29" bottom="0.39" header="0.27" footer="0.3937007874015748"/>
  <pageSetup paperSize="9" scale="10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D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4" activeCellId="0" sqref="M14"/>
    </sheetView>
  </sheetViews>
  <sheetFormatPr defaultColWidth="8.88671875" defaultRowHeight="13.5" customHeight="false" zeroHeight="false" outlineLevelRow="0" outlineLevelCol="0"/>
  <cols>
    <col collapsed="false" customWidth="true" hidden="false" outlineLevel="0" max="1" min="1" style="719" width="10.99"/>
    <col collapsed="false" customWidth="true" hidden="false" outlineLevel="0" max="2" min="2" style="719" width="64.33"/>
    <col collapsed="false" customWidth="true" hidden="false" outlineLevel="0" max="3" min="3" style="719" width="10.88"/>
    <col collapsed="false" customWidth="false" hidden="false" outlineLevel="0" max="257" min="4" style="719" width="8.88"/>
  </cols>
  <sheetData>
    <row r="1" customFormat="false" ht="18" hidden="false" customHeight="true" outlineLevel="0" collapsed="false">
      <c r="A1" s="755" t="inlineStr">
        <is>
          <t xml:space="preserve">                      (2면)</t>
        </is>
      </c>
      <c r="B1" s="755"/>
      <c r="C1" s="755"/>
    </row>
    <row r="2" customFormat="false" ht="26.25" hidden="false" customHeight="true" outlineLevel="0" collapsed="false">
      <c r="A2" s="721" t="inlineStr">
        <is>
          <t xml:space="preserve">번호</t>
        </is>
      </c>
      <c r="B2" s="722" t="inlineStr">
        <is>
          <t xml:space="preserve">점검항목</t>
        </is>
      </c>
      <c r="C2" s="723" t="inlineStr">
        <is>
          <t xml:space="preserve">점검결과</t>
        </is>
      </c>
    </row>
    <row r="3" customFormat="false" ht="20.25" hidden="false" customHeight="true" outlineLevel="0" collapsed="false">
      <c r="A3" s="795" t="inlineStr">
        <is>
          <t xml:space="preserve">32-C-002</t>
        </is>
      </c>
      <c r="B3" s="796" t="inlineStr">
        <is>
          <t xml:space="preserve">○ 피난기구의 부착 위치 및 부착 방법 적정 여부</t>
        </is>
      </c>
      <c r="C3" s="737"/>
      <c r="D3" s="728"/>
      <c r="E3" s="728"/>
      <c r="F3" s="728"/>
      <c r="G3" s="728"/>
      <c r="H3" s="728"/>
      <c r="I3" s="728"/>
      <c r="J3" s="728"/>
      <c r="K3" s="728"/>
      <c r="L3" s="728"/>
      <c r="M3" s="728"/>
      <c r="N3" s="728"/>
      <c r="O3" s="728"/>
      <c r="P3" s="728"/>
      <c r="Q3" s="728"/>
      <c r="R3" s="728"/>
      <c r="S3" s="728"/>
      <c r="T3" s="728"/>
      <c r="U3" s="728"/>
      <c r="V3" s="728"/>
      <c r="W3" s="728"/>
      <c r="X3" s="728"/>
      <c r="Y3" s="728"/>
      <c r="Z3" s="728"/>
      <c r="AA3" s="728"/>
      <c r="AB3" s="728"/>
      <c r="AC3" s="728"/>
      <c r="AD3" s="728"/>
      <c r="AE3" s="728"/>
      <c r="AF3" s="728"/>
      <c r="AG3" s="728"/>
      <c r="AH3" s="728"/>
      <c r="AI3" s="728"/>
      <c r="AJ3" s="728"/>
      <c r="AK3" s="728"/>
      <c r="AL3" s="728"/>
      <c r="AM3" s="728"/>
      <c r="AN3" s="728"/>
      <c r="AO3" s="728"/>
      <c r="AP3" s="728"/>
      <c r="AQ3" s="728"/>
      <c r="AR3" s="728"/>
      <c r="AS3" s="728"/>
      <c r="AT3" s="728"/>
      <c r="AU3" s="728"/>
      <c r="AV3" s="728"/>
      <c r="AW3" s="728"/>
      <c r="AX3" s="728"/>
      <c r="AY3" s="728"/>
      <c r="AZ3" s="728"/>
      <c r="BA3" s="728"/>
      <c r="BB3" s="728"/>
      <c r="BC3" s="728"/>
      <c r="BD3" s="728"/>
      <c r="BE3" s="728"/>
      <c r="BF3" s="728"/>
      <c r="BG3" s="728"/>
      <c r="BH3" s="728"/>
      <c r="BI3" s="728"/>
      <c r="BJ3" s="728"/>
      <c r="BK3" s="728"/>
      <c r="BL3" s="728"/>
      <c r="BM3" s="728"/>
      <c r="BN3" s="728"/>
      <c r="BO3" s="728"/>
      <c r="BP3" s="728"/>
      <c r="BQ3" s="728"/>
      <c r="BR3" s="728"/>
      <c r="BS3" s="728"/>
      <c r="BT3" s="728"/>
      <c r="BU3" s="728"/>
      <c r="BV3" s="728"/>
      <c r="BW3" s="728"/>
      <c r="BX3" s="728"/>
      <c r="BY3" s="728"/>
      <c r="BZ3" s="728"/>
      <c r="CA3" s="728"/>
      <c r="CB3" s="728"/>
      <c r="CC3" s="728"/>
      <c r="CD3" s="728"/>
      <c r="CE3" s="728"/>
      <c r="CF3" s="728"/>
      <c r="CG3" s="728"/>
      <c r="CH3" s="728"/>
      <c r="CI3" s="728"/>
      <c r="CJ3" s="728"/>
      <c r="CK3" s="728"/>
      <c r="CL3" s="728"/>
      <c r="CM3" s="728"/>
      <c r="CN3" s="728"/>
      <c r="CO3" s="728"/>
      <c r="CP3" s="728"/>
      <c r="CQ3" s="728"/>
      <c r="CR3" s="728"/>
      <c r="CS3" s="728"/>
      <c r="CT3" s="728"/>
      <c r="CU3" s="728"/>
      <c r="CV3" s="728"/>
      <c r="CW3" s="728"/>
      <c r="CX3" s="728"/>
      <c r="CY3" s="728"/>
      <c r="CZ3" s="728"/>
      <c r="DA3" s="728"/>
      <c r="DB3" s="728"/>
      <c r="DC3" s="728"/>
      <c r="DD3" s="728"/>
      <c r="DE3" s="728"/>
      <c r="DF3" s="728"/>
      <c r="DG3" s="728"/>
      <c r="DH3" s="728"/>
      <c r="DI3" s="728"/>
      <c r="DJ3" s="728"/>
      <c r="DK3" s="728"/>
      <c r="DL3" s="728"/>
      <c r="DM3" s="728"/>
      <c r="DN3" s="728"/>
      <c r="DO3" s="728"/>
      <c r="DP3" s="728"/>
      <c r="DQ3" s="728"/>
      <c r="DR3" s="728"/>
      <c r="DS3" s="728"/>
      <c r="DT3" s="728"/>
      <c r="DU3" s="728"/>
      <c r="DV3" s="728"/>
      <c r="DW3" s="728"/>
      <c r="DX3" s="728"/>
      <c r="DY3" s="728"/>
      <c r="DZ3" s="728"/>
      <c r="EA3" s="728"/>
      <c r="EB3" s="728"/>
      <c r="EC3" s="728"/>
      <c r="ED3" s="728"/>
      <c r="EE3" s="728"/>
      <c r="EF3" s="728"/>
      <c r="EG3" s="728"/>
      <c r="EH3" s="728"/>
      <c r="EI3" s="728"/>
      <c r="EJ3" s="728"/>
      <c r="EK3" s="728"/>
      <c r="EL3" s="728"/>
      <c r="EM3" s="728"/>
      <c r="EN3" s="728"/>
      <c r="EO3" s="728"/>
      <c r="EP3" s="728"/>
      <c r="EQ3" s="728"/>
      <c r="ER3" s="728"/>
      <c r="ES3" s="728"/>
      <c r="ET3" s="728"/>
      <c r="EU3" s="728"/>
      <c r="EV3" s="728"/>
      <c r="EW3" s="728"/>
      <c r="EX3" s="728"/>
      <c r="EY3" s="728"/>
      <c r="EZ3" s="728"/>
      <c r="FA3" s="728"/>
      <c r="FB3" s="728"/>
      <c r="FC3" s="728"/>
      <c r="FD3" s="728"/>
      <c r="FE3" s="728"/>
      <c r="FF3" s="728"/>
      <c r="FG3" s="728"/>
      <c r="FH3" s="728"/>
      <c r="FI3" s="728"/>
      <c r="FJ3" s="728"/>
      <c r="FK3" s="728"/>
      <c r="FL3" s="728"/>
      <c r="FM3" s="728"/>
      <c r="FN3" s="728"/>
      <c r="FO3" s="728"/>
      <c r="FP3" s="728"/>
      <c r="FQ3" s="728"/>
      <c r="FR3" s="728"/>
      <c r="FS3" s="728"/>
      <c r="FT3" s="728"/>
      <c r="FU3" s="728"/>
      <c r="FV3" s="728"/>
      <c r="FW3" s="728"/>
      <c r="FX3" s="728"/>
      <c r="FY3" s="728"/>
      <c r="FZ3" s="728"/>
      <c r="GA3" s="728"/>
      <c r="GB3" s="728"/>
      <c r="GC3" s="728"/>
      <c r="GD3" s="728"/>
      <c r="GE3" s="728"/>
      <c r="GF3" s="728"/>
      <c r="GG3" s="728"/>
      <c r="GH3" s="728"/>
      <c r="GI3" s="728"/>
      <c r="GJ3" s="728"/>
      <c r="GK3" s="728"/>
      <c r="GL3" s="728"/>
      <c r="GM3" s="728"/>
      <c r="GN3" s="728"/>
      <c r="GO3" s="728"/>
      <c r="GP3" s="728"/>
      <c r="GQ3" s="728"/>
      <c r="GR3" s="728"/>
      <c r="GS3" s="728"/>
      <c r="GT3" s="728"/>
      <c r="GU3" s="728"/>
      <c r="GV3" s="728"/>
      <c r="GW3" s="728"/>
      <c r="GX3" s="728"/>
      <c r="GY3" s="728"/>
      <c r="GZ3" s="728"/>
      <c r="HA3" s="728"/>
      <c r="HB3" s="728"/>
      <c r="HC3" s="728"/>
      <c r="HD3" s="728"/>
      <c r="HE3" s="728"/>
      <c r="HF3" s="728"/>
      <c r="HG3" s="728"/>
      <c r="HH3" s="728"/>
      <c r="HI3" s="728"/>
      <c r="HJ3" s="728"/>
      <c r="HK3" s="728"/>
      <c r="HL3" s="728"/>
      <c r="HM3" s="728"/>
      <c r="HN3" s="728"/>
      <c r="HO3" s="728"/>
      <c r="HP3" s="728"/>
      <c r="HQ3" s="728"/>
      <c r="HR3" s="728"/>
      <c r="HS3" s="728"/>
      <c r="HT3" s="728"/>
      <c r="HU3" s="728"/>
      <c r="HV3" s="728"/>
      <c r="HW3" s="728"/>
      <c r="HX3" s="728"/>
      <c r="HY3" s="728"/>
      <c r="HZ3" s="728"/>
      <c r="IA3" s="728"/>
      <c r="IB3" s="728"/>
      <c r="IC3" s="728"/>
      <c r="ID3" s="728"/>
      <c r="IE3" s="728"/>
      <c r="IF3" s="728"/>
      <c r="IG3" s="728"/>
      <c r="IH3" s="728"/>
      <c r="II3" s="728"/>
      <c r="IJ3" s="728"/>
      <c r="IK3" s="728"/>
      <c r="IL3" s="728"/>
      <c r="IM3" s="728"/>
      <c r="IN3" s="728"/>
      <c r="IO3" s="728"/>
      <c r="IP3" s="728"/>
      <c r="IQ3" s="728"/>
      <c r="IR3" s="728"/>
      <c r="IS3" s="728"/>
      <c r="IT3" s="728"/>
      <c r="IU3" s="728"/>
      <c r="IV3" s="728"/>
      <c r="IW3" s="728"/>
    </row>
    <row r="4" customFormat="false" ht="20.25" hidden="false" customHeight="true" outlineLevel="0" collapsed="false">
      <c r="A4" s="798" t="inlineStr">
        <is>
          <t xml:space="preserve">32-C-003</t>
        </is>
      </c>
      <c r="B4" s="746" t="inlineStr">
        <is>
          <t xml:space="preserve">○ 피난기구(지지대 포함)의 변형·손상 또는 부식이 있는지 여부</t>
        </is>
      </c>
      <c r="C4" s="737"/>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728"/>
      <c r="AD4" s="728"/>
      <c r="AE4" s="728"/>
      <c r="AF4" s="728"/>
      <c r="AG4" s="728"/>
      <c r="AH4" s="728"/>
      <c r="AI4" s="728"/>
      <c r="AJ4" s="728"/>
      <c r="AK4" s="728"/>
      <c r="AL4" s="728"/>
      <c r="AM4" s="728"/>
      <c r="AN4" s="728"/>
      <c r="AO4" s="728"/>
      <c r="AP4" s="728"/>
      <c r="AQ4" s="728"/>
      <c r="AR4" s="728"/>
      <c r="AS4" s="728"/>
      <c r="AT4" s="728"/>
      <c r="AU4" s="728"/>
      <c r="AV4" s="728"/>
      <c r="AW4" s="728"/>
      <c r="AX4" s="728"/>
      <c r="AY4" s="728"/>
      <c r="AZ4" s="728"/>
      <c r="BA4" s="728"/>
      <c r="BB4" s="728"/>
      <c r="BC4" s="728"/>
      <c r="BD4" s="728"/>
      <c r="BE4" s="728"/>
      <c r="BF4" s="728"/>
      <c r="BG4" s="728"/>
      <c r="BH4" s="728"/>
      <c r="BI4" s="728"/>
      <c r="BJ4" s="728"/>
      <c r="BK4" s="728"/>
      <c r="BL4" s="728"/>
      <c r="BM4" s="728"/>
      <c r="BN4" s="728"/>
      <c r="BO4" s="728"/>
      <c r="BP4" s="728"/>
      <c r="BQ4" s="728"/>
      <c r="BR4" s="728"/>
      <c r="BS4" s="728"/>
      <c r="BT4" s="728"/>
      <c r="BU4" s="728"/>
      <c r="BV4" s="728"/>
      <c r="BW4" s="728"/>
      <c r="BX4" s="728"/>
      <c r="BY4" s="728"/>
      <c r="BZ4" s="728"/>
      <c r="CA4" s="728"/>
      <c r="CB4" s="728"/>
      <c r="CC4" s="728"/>
      <c r="CD4" s="728"/>
      <c r="CE4" s="728"/>
      <c r="CF4" s="728"/>
      <c r="CG4" s="728"/>
      <c r="CH4" s="728"/>
      <c r="CI4" s="728"/>
      <c r="CJ4" s="728"/>
      <c r="CK4" s="728"/>
      <c r="CL4" s="728"/>
      <c r="CM4" s="728"/>
      <c r="CN4" s="728"/>
      <c r="CO4" s="728"/>
      <c r="CP4" s="728"/>
      <c r="CQ4" s="728"/>
      <c r="CR4" s="728"/>
      <c r="CS4" s="728"/>
      <c r="CT4" s="728"/>
      <c r="CU4" s="728"/>
      <c r="CV4" s="728"/>
      <c r="CW4" s="728"/>
      <c r="CX4" s="728"/>
      <c r="CY4" s="728"/>
      <c r="CZ4" s="728"/>
      <c r="DA4" s="728"/>
      <c r="DB4" s="728"/>
      <c r="DC4" s="728"/>
      <c r="DD4" s="728"/>
      <c r="DE4" s="728"/>
      <c r="DF4" s="728"/>
      <c r="DG4" s="728"/>
      <c r="DH4" s="728"/>
      <c r="DI4" s="728"/>
      <c r="DJ4" s="728"/>
      <c r="DK4" s="728"/>
      <c r="DL4" s="728"/>
      <c r="DM4" s="728"/>
      <c r="DN4" s="728"/>
      <c r="DO4" s="728"/>
      <c r="DP4" s="728"/>
      <c r="DQ4" s="728"/>
      <c r="DR4" s="728"/>
      <c r="DS4" s="728"/>
      <c r="DT4" s="728"/>
      <c r="DU4" s="728"/>
      <c r="DV4" s="728"/>
      <c r="DW4" s="728"/>
      <c r="DX4" s="728"/>
      <c r="DY4" s="728"/>
      <c r="DZ4" s="728"/>
      <c r="EA4" s="728"/>
      <c r="EB4" s="728"/>
      <c r="EC4" s="728"/>
      <c r="ED4" s="728"/>
      <c r="EE4" s="728"/>
      <c r="EF4" s="728"/>
      <c r="EG4" s="728"/>
      <c r="EH4" s="728"/>
      <c r="EI4" s="728"/>
      <c r="EJ4" s="728"/>
      <c r="EK4" s="728"/>
      <c r="EL4" s="728"/>
      <c r="EM4" s="728"/>
      <c r="EN4" s="728"/>
      <c r="EO4" s="728"/>
      <c r="EP4" s="728"/>
      <c r="EQ4" s="728"/>
      <c r="ER4" s="728"/>
      <c r="ES4" s="728"/>
      <c r="ET4" s="728"/>
      <c r="EU4" s="728"/>
      <c r="EV4" s="728"/>
      <c r="EW4" s="728"/>
      <c r="EX4" s="728"/>
      <c r="EY4" s="728"/>
      <c r="EZ4" s="728"/>
      <c r="FA4" s="728"/>
      <c r="FB4" s="728"/>
      <c r="FC4" s="728"/>
      <c r="FD4" s="728"/>
      <c r="FE4" s="728"/>
      <c r="FF4" s="728"/>
      <c r="FG4" s="728"/>
      <c r="FH4" s="728"/>
      <c r="FI4" s="728"/>
      <c r="FJ4" s="728"/>
      <c r="FK4" s="728"/>
      <c r="FL4" s="728"/>
      <c r="FM4" s="728"/>
      <c r="FN4" s="728"/>
      <c r="FO4" s="728"/>
      <c r="FP4" s="728"/>
      <c r="FQ4" s="728"/>
      <c r="FR4" s="728"/>
      <c r="FS4" s="728"/>
      <c r="FT4" s="728"/>
      <c r="FU4" s="728"/>
      <c r="FV4" s="728"/>
      <c r="FW4" s="728"/>
      <c r="FX4" s="728"/>
      <c r="FY4" s="728"/>
      <c r="FZ4" s="728"/>
      <c r="GA4" s="728"/>
      <c r="GB4" s="728"/>
      <c r="GC4" s="728"/>
      <c r="GD4" s="728"/>
      <c r="GE4" s="728"/>
      <c r="GF4" s="728"/>
      <c r="GG4" s="728"/>
      <c r="GH4" s="728"/>
      <c r="GI4" s="728"/>
      <c r="GJ4" s="728"/>
      <c r="GK4" s="728"/>
      <c r="GL4" s="728"/>
      <c r="GM4" s="728"/>
      <c r="GN4" s="728"/>
      <c r="GO4" s="728"/>
      <c r="GP4" s="728"/>
      <c r="GQ4" s="728"/>
      <c r="GR4" s="728"/>
      <c r="GS4" s="728"/>
      <c r="GT4" s="728"/>
      <c r="GU4" s="728"/>
      <c r="GV4" s="728"/>
      <c r="GW4" s="728"/>
      <c r="GX4" s="728"/>
      <c r="GY4" s="728"/>
      <c r="GZ4" s="728"/>
      <c r="HA4" s="728"/>
      <c r="HB4" s="728"/>
      <c r="HC4" s="728"/>
      <c r="HD4" s="728"/>
      <c r="HE4" s="728"/>
      <c r="HF4" s="728"/>
      <c r="HG4" s="728"/>
      <c r="HH4" s="728"/>
      <c r="HI4" s="728"/>
      <c r="HJ4" s="728"/>
      <c r="HK4" s="728"/>
      <c r="HL4" s="728"/>
      <c r="HM4" s="728"/>
      <c r="HN4" s="728"/>
      <c r="HO4" s="728"/>
      <c r="HP4" s="728"/>
      <c r="HQ4" s="728"/>
      <c r="HR4" s="728"/>
      <c r="HS4" s="728"/>
      <c r="HT4" s="728"/>
      <c r="HU4" s="728"/>
      <c r="HV4" s="728"/>
      <c r="HW4" s="728"/>
      <c r="HX4" s="728"/>
      <c r="HY4" s="728"/>
      <c r="HZ4" s="728"/>
      <c r="IA4" s="728"/>
      <c r="IB4" s="728"/>
      <c r="IC4" s="728"/>
      <c r="ID4" s="728"/>
      <c r="IE4" s="728"/>
      <c r="IF4" s="728"/>
      <c r="IG4" s="728"/>
      <c r="IH4" s="728"/>
      <c r="II4" s="728"/>
      <c r="IJ4" s="728"/>
      <c r="IK4" s="728"/>
      <c r="IL4" s="728"/>
      <c r="IM4" s="728"/>
      <c r="IN4" s="728"/>
      <c r="IO4" s="728"/>
      <c r="IP4" s="728"/>
      <c r="IQ4" s="728"/>
      <c r="IR4" s="728"/>
      <c r="IS4" s="728"/>
      <c r="IT4" s="728"/>
      <c r="IU4" s="728"/>
      <c r="IV4" s="728"/>
      <c r="IW4" s="728"/>
    </row>
    <row r="5" customFormat="false" ht="20.25" hidden="false" customHeight="true" outlineLevel="0" collapsed="false">
      <c r="A5" s="798" t="inlineStr">
        <is>
          <t xml:space="preserve">32-C-004</t>
        </is>
      </c>
      <c r="B5" s="746" t="inlineStr">
        <is>
          <t xml:space="preserve">○ 피난기구의 위치표시 표지 및 사용방법 표지 부착 적정 여부</t>
        </is>
      </c>
      <c r="C5" s="737"/>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728"/>
      <c r="AD5" s="728"/>
      <c r="AE5" s="728"/>
      <c r="AF5" s="728"/>
      <c r="AG5" s="728"/>
      <c r="AH5" s="728"/>
      <c r="AI5" s="728"/>
      <c r="AJ5" s="728"/>
      <c r="AK5" s="728"/>
      <c r="AL5" s="728"/>
      <c r="AM5" s="728"/>
      <c r="AN5" s="728"/>
      <c r="AO5" s="728"/>
      <c r="AP5" s="728"/>
      <c r="AQ5" s="728"/>
      <c r="AR5" s="728"/>
      <c r="AS5" s="728"/>
      <c r="AT5" s="728"/>
      <c r="AU5" s="728"/>
      <c r="AV5" s="728"/>
      <c r="AW5" s="728"/>
      <c r="AX5" s="728"/>
      <c r="AY5" s="728"/>
      <c r="AZ5" s="728"/>
      <c r="BA5" s="728"/>
      <c r="BB5" s="728"/>
      <c r="BC5" s="728"/>
      <c r="BD5" s="728"/>
      <c r="BE5" s="728"/>
      <c r="BF5" s="728"/>
      <c r="BG5" s="728"/>
      <c r="BH5" s="728"/>
      <c r="BI5" s="728"/>
      <c r="BJ5" s="728"/>
      <c r="BK5" s="728"/>
      <c r="BL5" s="728"/>
      <c r="BM5" s="728"/>
      <c r="BN5" s="728"/>
      <c r="BO5" s="728"/>
      <c r="BP5" s="728"/>
      <c r="BQ5" s="728"/>
      <c r="BR5" s="728"/>
      <c r="BS5" s="728"/>
      <c r="BT5" s="728"/>
      <c r="BU5" s="728"/>
      <c r="BV5" s="728"/>
      <c r="BW5" s="728"/>
      <c r="BX5" s="728"/>
      <c r="BY5" s="728"/>
      <c r="BZ5" s="728"/>
      <c r="CA5" s="728"/>
      <c r="CB5" s="728"/>
      <c r="CC5" s="728"/>
      <c r="CD5" s="728"/>
      <c r="CE5" s="728"/>
      <c r="CF5" s="728"/>
      <c r="CG5" s="728"/>
      <c r="CH5" s="728"/>
      <c r="CI5" s="728"/>
      <c r="CJ5" s="728"/>
      <c r="CK5" s="728"/>
      <c r="CL5" s="728"/>
      <c r="CM5" s="728"/>
      <c r="CN5" s="728"/>
      <c r="CO5" s="728"/>
      <c r="CP5" s="728"/>
      <c r="CQ5" s="728"/>
      <c r="CR5" s="728"/>
      <c r="CS5" s="728"/>
      <c r="CT5" s="728"/>
      <c r="CU5" s="728"/>
      <c r="CV5" s="728"/>
      <c r="CW5" s="728"/>
      <c r="CX5" s="728"/>
      <c r="CY5" s="728"/>
      <c r="CZ5" s="728"/>
      <c r="DA5" s="728"/>
      <c r="DB5" s="728"/>
      <c r="DC5" s="728"/>
      <c r="DD5" s="728"/>
      <c r="DE5" s="728"/>
      <c r="DF5" s="728"/>
      <c r="DG5" s="728"/>
      <c r="DH5" s="728"/>
      <c r="DI5" s="728"/>
      <c r="DJ5" s="728"/>
      <c r="DK5" s="728"/>
      <c r="DL5" s="728"/>
      <c r="DM5" s="728"/>
      <c r="DN5" s="728"/>
      <c r="DO5" s="728"/>
      <c r="DP5" s="728"/>
      <c r="DQ5" s="728"/>
      <c r="DR5" s="728"/>
      <c r="DS5" s="728"/>
      <c r="DT5" s="728"/>
      <c r="DU5" s="728"/>
      <c r="DV5" s="728"/>
      <c r="DW5" s="728"/>
      <c r="DX5" s="728"/>
      <c r="DY5" s="728"/>
      <c r="DZ5" s="728"/>
      <c r="EA5" s="728"/>
      <c r="EB5" s="728"/>
      <c r="EC5" s="728"/>
      <c r="ED5" s="728"/>
      <c r="EE5" s="728"/>
      <c r="EF5" s="728"/>
      <c r="EG5" s="728"/>
      <c r="EH5" s="728"/>
      <c r="EI5" s="728"/>
      <c r="EJ5" s="728"/>
      <c r="EK5" s="728"/>
      <c r="EL5" s="728"/>
      <c r="EM5" s="728"/>
      <c r="EN5" s="728"/>
      <c r="EO5" s="728"/>
      <c r="EP5" s="728"/>
      <c r="EQ5" s="728"/>
      <c r="ER5" s="728"/>
      <c r="ES5" s="728"/>
      <c r="ET5" s="728"/>
      <c r="EU5" s="728"/>
      <c r="EV5" s="728"/>
      <c r="EW5" s="728"/>
      <c r="EX5" s="728"/>
      <c r="EY5" s="728"/>
      <c r="EZ5" s="728"/>
      <c r="FA5" s="728"/>
      <c r="FB5" s="728"/>
      <c r="FC5" s="728"/>
      <c r="FD5" s="728"/>
      <c r="FE5" s="728"/>
      <c r="FF5" s="728"/>
      <c r="FG5" s="728"/>
      <c r="FH5" s="728"/>
      <c r="FI5" s="728"/>
      <c r="FJ5" s="728"/>
      <c r="FK5" s="728"/>
      <c r="FL5" s="728"/>
      <c r="FM5" s="728"/>
      <c r="FN5" s="728"/>
      <c r="FO5" s="728"/>
      <c r="FP5" s="728"/>
      <c r="FQ5" s="728"/>
      <c r="FR5" s="728"/>
      <c r="FS5" s="728"/>
      <c r="FT5" s="728"/>
      <c r="FU5" s="728"/>
      <c r="FV5" s="728"/>
      <c r="FW5" s="728"/>
      <c r="FX5" s="728"/>
      <c r="FY5" s="728"/>
      <c r="FZ5" s="728"/>
      <c r="GA5" s="728"/>
      <c r="GB5" s="728"/>
      <c r="GC5" s="728"/>
      <c r="GD5" s="728"/>
      <c r="GE5" s="728"/>
      <c r="GF5" s="728"/>
      <c r="GG5" s="728"/>
      <c r="GH5" s="728"/>
      <c r="GI5" s="728"/>
      <c r="GJ5" s="728"/>
      <c r="GK5" s="728"/>
      <c r="GL5" s="728"/>
      <c r="GM5" s="728"/>
      <c r="GN5" s="728"/>
      <c r="GO5" s="728"/>
      <c r="GP5" s="728"/>
      <c r="GQ5" s="728"/>
      <c r="GR5" s="728"/>
      <c r="GS5" s="728"/>
      <c r="GT5" s="728"/>
      <c r="GU5" s="728"/>
      <c r="GV5" s="728"/>
      <c r="GW5" s="728"/>
      <c r="GX5" s="728"/>
      <c r="GY5" s="728"/>
      <c r="GZ5" s="728"/>
      <c r="HA5" s="728"/>
      <c r="HB5" s="728"/>
      <c r="HC5" s="728"/>
      <c r="HD5" s="728"/>
      <c r="HE5" s="728"/>
      <c r="HF5" s="728"/>
      <c r="HG5" s="728"/>
      <c r="HH5" s="728"/>
      <c r="HI5" s="728"/>
      <c r="HJ5" s="728"/>
      <c r="HK5" s="728"/>
      <c r="HL5" s="728"/>
      <c r="HM5" s="728"/>
      <c r="HN5" s="728"/>
      <c r="HO5" s="728"/>
      <c r="HP5" s="728"/>
      <c r="HQ5" s="728"/>
      <c r="HR5" s="728"/>
      <c r="HS5" s="728"/>
      <c r="HT5" s="728"/>
      <c r="HU5" s="728"/>
      <c r="HV5" s="728"/>
      <c r="HW5" s="728"/>
      <c r="HX5" s="728"/>
      <c r="HY5" s="728"/>
      <c r="HZ5" s="728"/>
      <c r="IA5" s="728"/>
      <c r="IB5" s="728"/>
      <c r="IC5" s="728"/>
      <c r="ID5" s="728"/>
      <c r="IE5" s="728"/>
      <c r="IF5" s="728"/>
      <c r="IG5" s="728"/>
      <c r="IH5" s="728"/>
      <c r="II5" s="728"/>
      <c r="IJ5" s="728"/>
      <c r="IK5" s="728"/>
      <c r="IL5" s="728"/>
      <c r="IM5" s="728"/>
      <c r="IN5" s="728"/>
      <c r="IO5" s="728"/>
      <c r="IP5" s="728"/>
      <c r="IQ5" s="728"/>
      <c r="IR5" s="728"/>
      <c r="IS5" s="728"/>
      <c r="IT5" s="728"/>
      <c r="IU5" s="728"/>
      <c r="IV5" s="728"/>
      <c r="IW5" s="728"/>
    </row>
    <row r="6" customFormat="false" ht="20.25" hidden="false" customHeight="true" outlineLevel="0" collapsed="false">
      <c r="A6" s="799" t="inlineStr">
        <is>
          <t xml:space="preserve">32-C-005</t>
        </is>
      </c>
      <c r="B6" s="800" t="inlineStr">
        <is>
          <t xml:space="preserve">● 피난에 유효한 개구부 확보(크기, 높이에 따른 발판, 창문 파괴장치) 및 관리상태</t>
        </is>
      </c>
      <c r="C6" s="737"/>
      <c r="D6" s="728"/>
      <c r="E6" s="728"/>
      <c r="F6" s="728"/>
      <c r="G6" s="728"/>
      <c r="H6" s="727" t="inlineStr">
        <is>
          <t xml:space="preserve">○</t>
        </is>
      </c>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c r="AX6" s="728"/>
      <c r="AY6" s="728"/>
      <c r="AZ6" s="728"/>
      <c r="BA6" s="728"/>
      <c r="BB6" s="728"/>
      <c r="BC6" s="728"/>
      <c r="BD6" s="728"/>
      <c r="BE6" s="728"/>
      <c r="BF6" s="728"/>
      <c r="BG6" s="728"/>
      <c r="BH6" s="728"/>
      <c r="BI6" s="728"/>
      <c r="BJ6" s="728"/>
      <c r="BK6" s="728"/>
      <c r="BL6" s="728"/>
      <c r="BM6" s="728"/>
      <c r="BN6" s="728"/>
      <c r="BO6" s="728"/>
      <c r="BP6" s="728"/>
      <c r="BQ6" s="728"/>
      <c r="BR6" s="728"/>
      <c r="BS6" s="728"/>
      <c r="BT6" s="728"/>
      <c r="BU6" s="728"/>
      <c r="BV6" s="728"/>
      <c r="BW6" s="728"/>
      <c r="BX6" s="728"/>
      <c r="BY6" s="728"/>
      <c r="BZ6" s="728"/>
      <c r="CA6" s="728"/>
      <c r="CB6" s="728"/>
      <c r="CC6" s="728"/>
      <c r="CD6" s="728"/>
      <c r="CE6" s="728"/>
      <c r="CF6" s="728"/>
      <c r="CG6" s="728"/>
      <c r="CH6" s="728"/>
      <c r="CI6" s="728"/>
      <c r="CJ6" s="728"/>
      <c r="CK6" s="728"/>
      <c r="CL6" s="728"/>
      <c r="CM6" s="728"/>
      <c r="CN6" s="728"/>
      <c r="CO6" s="728"/>
      <c r="CP6" s="728"/>
      <c r="CQ6" s="728"/>
      <c r="CR6" s="728"/>
      <c r="CS6" s="728"/>
      <c r="CT6" s="728"/>
      <c r="CU6" s="728"/>
      <c r="CV6" s="728"/>
      <c r="CW6" s="728"/>
      <c r="CX6" s="728"/>
      <c r="CY6" s="728"/>
      <c r="CZ6" s="728"/>
      <c r="DA6" s="728"/>
      <c r="DB6" s="728"/>
      <c r="DC6" s="728"/>
      <c r="DD6" s="728"/>
      <c r="DE6" s="728"/>
      <c r="DF6" s="728"/>
      <c r="DG6" s="728"/>
      <c r="DH6" s="728"/>
      <c r="DI6" s="728"/>
      <c r="DJ6" s="728"/>
      <c r="DK6" s="728"/>
      <c r="DL6" s="728"/>
      <c r="DM6" s="728"/>
      <c r="DN6" s="728"/>
      <c r="DO6" s="728"/>
      <c r="DP6" s="728"/>
      <c r="DQ6" s="728"/>
      <c r="DR6" s="728"/>
      <c r="DS6" s="728"/>
      <c r="DT6" s="728"/>
      <c r="DU6" s="728"/>
      <c r="DV6" s="728"/>
      <c r="DW6" s="728"/>
      <c r="DX6" s="728"/>
      <c r="DY6" s="728"/>
      <c r="DZ6" s="728"/>
      <c r="EA6" s="728"/>
      <c r="EB6" s="728"/>
      <c r="EC6" s="728"/>
      <c r="ED6" s="728"/>
      <c r="EE6" s="728"/>
      <c r="EF6" s="728"/>
      <c r="EG6" s="728"/>
      <c r="EH6" s="728"/>
      <c r="EI6" s="728"/>
      <c r="EJ6" s="728"/>
      <c r="EK6" s="728"/>
      <c r="EL6" s="728"/>
      <c r="EM6" s="728"/>
      <c r="EN6" s="728"/>
      <c r="EO6" s="728"/>
      <c r="EP6" s="728"/>
      <c r="EQ6" s="728"/>
      <c r="ER6" s="728"/>
      <c r="ES6" s="728"/>
      <c r="ET6" s="728"/>
      <c r="EU6" s="728"/>
      <c r="EV6" s="728"/>
      <c r="EW6" s="728"/>
      <c r="EX6" s="728"/>
      <c r="EY6" s="728"/>
      <c r="EZ6" s="728"/>
      <c r="FA6" s="728"/>
      <c r="FB6" s="728"/>
      <c r="FC6" s="728"/>
      <c r="FD6" s="728"/>
      <c r="FE6" s="728"/>
      <c r="FF6" s="728"/>
      <c r="FG6" s="728"/>
      <c r="FH6" s="728"/>
      <c r="FI6" s="728"/>
      <c r="FJ6" s="728"/>
      <c r="FK6" s="728"/>
      <c r="FL6" s="728"/>
      <c r="FM6" s="728"/>
      <c r="FN6" s="728"/>
      <c r="FO6" s="728"/>
      <c r="FP6" s="728"/>
      <c r="FQ6" s="728"/>
      <c r="FR6" s="728"/>
      <c r="FS6" s="728"/>
      <c r="FT6" s="728"/>
      <c r="FU6" s="728"/>
      <c r="FV6" s="728"/>
      <c r="FW6" s="728"/>
      <c r="FX6" s="728"/>
      <c r="FY6" s="728"/>
      <c r="FZ6" s="728"/>
      <c r="GA6" s="728"/>
      <c r="GB6" s="728"/>
      <c r="GC6" s="728"/>
      <c r="GD6" s="728"/>
      <c r="GE6" s="728"/>
      <c r="GF6" s="728"/>
      <c r="GG6" s="728"/>
      <c r="GH6" s="728"/>
      <c r="GI6" s="728"/>
      <c r="GJ6" s="728"/>
      <c r="GK6" s="728"/>
      <c r="GL6" s="728"/>
      <c r="GM6" s="728"/>
      <c r="GN6" s="728"/>
      <c r="GO6" s="728"/>
      <c r="GP6" s="728"/>
      <c r="GQ6" s="728"/>
      <c r="GR6" s="728"/>
      <c r="GS6" s="728"/>
      <c r="GT6" s="728"/>
      <c r="GU6" s="728"/>
      <c r="GV6" s="728"/>
      <c r="GW6" s="728"/>
      <c r="GX6" s="728"/>
      <c r="GY6" s="728"/>
      <c r="GZ6" s="728"/>
      <c r="HA6" s="728"/>
      <c r="HB6" s="728"/>
      <c r="HC6" s="728"/>
      <c r="HD6" s="728"/>
      <c r="HE6" s="728"/>
      <c r="HF6" s="728"/>
      <c r="HG6" s="728"/>
      <c r="HH6" s="728"/>
      <c r="HI6" s="728"/>
      <c r="HJ6" s="728"/>
      <c r="HK6" s="728"/>
      <c r="HL6" s="728"/>
      <c r="HM6" s="728"/>
      <c r="HN6" s="728"/>
      <c r="HO6" s="728"/>
      <c r="HP6" s="728"/>
      <c r="HQ6" s="728"/>
      <c r="HR6" s="728"/>
      <c r="HS6" s="728"/>
      <c r="HT6" s="728"/>
      <c r="HU6" s="728"/>
      <c r="HV6" s="728"/>
      <c r="HW6" s="728"/>
      <c r="HX6" s="728"/>
      <c r="HY6" s="728"/>
      <c r="HZ6" s="728"/>
      <c r="IA6" s="728"/>
      <c r="IB6" s="728"/>
      <c r="IC6" s="728"/>
      <c r="ID6" s="728"/>
      <c r="IE6" s="728"/>
      <c r="IF6" s="728"/>
      <c r="IG6" s="728"/>
      <c r="IH6" s="728"/>
      <c r="II6" s="728"/>
      <c r="IJ6" s="728"/>
      <c r="IK6" s="728"/>
      <c r="IL6" s="728"/>
      <c r="IM6" s="728"/>
      <c r="IN6" s="728"/>
      <c r="IO6" s="728"/>
      <c r="IP6" s="728"/>
      <c r="IQ6" s="728"/>
      <c r="IR6" s="728"/>
      <c r="IS6" s="728"/>
      <c r="IT6" s="728"/>
      <c r="IU6" s="728"/>
      <c r="IV6" s="728"/>
      <c r="IW6" s="728"/>
    </row>
    <row r="7" customFormat="false" ht="20.25" hidden="false" customHeight="true" outlineLevel="0" collapsed="false">
      <c r="A7" s="795" t="inlineStr">
        <is>
          <t xml:space="preserve">  </t>
        </is>
      </c>
      <c r="B7" s="817" t="inlineStr">
        <is>
          <t xml:space="preserve"> 피난유도선</t>
        </is>
      </c>
      <c r="C7" s="737"/>
      <c r="D7" s="728"/>
      <c r="E7" s="728"/>
      <c r="F7" s="728"/>
      <c r="G7" s="728"/>
      <c r="H7" s="727" t="inlineStr">
        <is>
          <t xml:space="preserve">/</t>
        </is>
      </c>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c r="AX7" s="728"/>
      <c r="AY7" s="728"/>
      <c r="AZ7" s="728"/>
      <c r="BA7" s="728"/>
      <c r="BB7" s="728"/>
      <c r="BC7" s="728"/>
      <c r="BD7" s="728"/>
      <c r="BE7" s="728"/>
      <c r="BF7" s="728"/>
      <c r="BG7" s="728"/>
      <c r="BH7" s="728"/>
      <c r="BI7" s="728"/>
      <c r="BJ7" s="728"/>
      <c r="BK7" s="728"/>
      <c r="BL7" s="728"/>
      <c r="BM7" s="728"/>
      <c r="BN7" s="728"/>
      <c r="BO7" s="728"/>
      <c r="BP7" s="728"/>
      <c r="BQ7" s="728"/>
      <c r="BR7" s="728"/>
      <c r="BS7" s="728"/>
      <c r="BT7" s="728"/>
      <c r="BU7" s="728"/>
      <c r="BV7" s="728"/>
      <c r="BW7" s="728"/>
      <c r="BX7" s="728"/>
      <c r="BY7" s="728"/>
      <c r="BZ7" s="728"/>
      <c r="CA7" s="728"/>
      <c r="CB7" s="728"/>
      <c r="CC7" s="728"/>
      <c r="CD7" s="728"/>
      <c r="CE7" s="728"/>
      <c r="CF7" s="728"/>
      <c r="CG7" s="728"/>
      <c r="CH7" s="728"/>
      <c r="CI7" s="728"/>
      <c r="CJ7" s="728"/>
      <c r="CK7" s="728"/>
      <c r="CL7" s="728"/>
      <c r="CM7" s="728"/>
      <c r="CN7" s="728"/>
      <c r="CO7" s="728"/>
      <c r="CP7" s="728"/>
      <c r="CQ7" s="728"/>
      <c r="CR7" s="728"/>
      <c r="CS7" s="728"/>
      <c r="CT7" s="728"/>
      <c r="CU7" s="728"/>
      <c r="CV7" s="728"/>
      <c r="CW7" s="728"/>
      <c r="CX7" s="728"/>
      <c r="CY7" s="728"/>
      <c r="CZ7" s="728"/>
      <c r="DA7" s="728"/>
      <c r="DB7" s="728"/>
      <c r="DC7" s="728"/>
      <c r="DD7" s="728"/>
      <c r="DE7" s="728"/>
      <c r="DF7" s="728"/>
      <c r="DG7" s="728"/>
      <c r="DH7" s="728"/>
      <c r="DI7" s="728"/>
      <c r="DJ7" s="728"/>
      <c r="DK7" s="728"/>
      <c r="DL7" s="728"/>
      <c r="DM7" s="728"/>
      <c r="DN7" s="728"/>
      <c r="DO7" s="728"/>
      <c r="DP7" s="728"/>
      <c r="DQ7" s="728"/>
      <c r="DR7" s="728"/>
      <c r="DS7" s="728"/>
      <c r="DT7" s="728"/>
      <c r="DU7" s="728"/>
      <c r="DV7" s="728"/>
      <c r="DW7" s="728"/>
      <c r="DX7" s="728"/>
      <c r="DY7" s="728"/>
      <c r="DZ7" s="728"/>
      <c r="EA7" s="728"/>
      <c r="EB7" s="728"/>
      <c r="EC7" s="728"/>
      <c r="ED7" s="728"/>
      <c r="EE7" s="728"/>
      <c r="EF7" s="728"/>
      <c r="EG7" s="728"/>
      <c r="EH7" s="728"/>
      <c r="EI7" s="728"/>
      <c r="EJ7" s="728"/>
      <c r="EK7" s="728"/>
      <c r="EL7" s="728"/>
      <c r="EM7" s="728"/>
      <c r="EN7" s="728"/>
      <c r="EO7" s="728"/>
      <c r="EP7" s="728"/>
      <c r="EQ7" s="728"/>
      <c r="ER7" s="728"/>
      <c r="ES7" s="728"/>
      <c r="ET7" s="728"/>
      <c r="EU7" s="728"/>
      <c r="EV7" s="728"/>
      <c r="EW7" s="728"/>
      <c r="EX7" s="728"/>
      <c r="EY7" s="728"/>
      <c r="EZ7" s="728"/>
      <c r="FA7" s="728"/>
      <c r="FB7" s="728"/>
      <c r="FC7" s="728"/>
      <c r="FD7" s="728"/>
      <c r="FE7" s="728"/>
      <c r="FF7" s="728"/>
      <c r="FG7" s="728"/>
      <c r="FH7" s="728"/>
      <c r="FI7" s="728"/>
      <c r="FJ7" s="728"/>
      <c r="FK7" s="728"/>
      <c r="FL7" s="728"/>
      <c r="FM7" s="728"/>
      <c r="FN7" s="728"/>
      <c r="FO7" s="728"/>
      <c r="FP7" s="728"/>
      <c r="FQ7" s="728"/>
      <c r="FR7" s="728"/>
      <c r="FS7" s="728"/>
      <c r="FT7" s="728"/>
      <c r="FU7" s="728"/>
      <c r="FV7" s="728"/>
      <c r="FW7" s="728"/>
      <c r="FX7" s="728"/>
      <c r="FY7" s="728"/>
      <c r="FZ7" s="728"/>
      <c r="GA7" s="728"/>
      <c r="GB7" s="728"/>
      <c r="GC7" s="728"/>
      <c r="GD7" s="728"/>
      <c r="GE7" s="728"/>
      <c r="GF7" s="728"/>
      <c r="GG7" s="728"/>
      <c r="GH7" s="728"/>
      <c r="GI7" s="728"/>
      <c r="GJ7" s="728"/>
      <c r="GK7" s="728"/>
      <c r="GL7" s="728"/>
      <c r="GM7" s="728"/>
      <c r="GN7" s="728"/>
      <c r="GO7" s="728"/>
      <c r="GP7" s="728"/>
      <c r="GQ7" s="728"/>
      <c r="GR7" s="728"/>
      <c r="GS7" s="728"/>
      <c r="GT7" s="728"/>
      <c r="GU7" s="728"/>
      <c r="GV7" s="728"/>
      <c r="GW7" s="728"/>
      <c r="GX7" s="728"/>
      <c r="GY7" s="728"/>
      <c r="GZ7" s="728"/>
      <c r="HA7" s="728"/>
      <c r="HB7" s="728"/>
      <c r="HC7" s="728"/>
      <c r="HD7" s="728"/>
      <c r="HE7" s="728"/>
      <c r="HF7" s="728"/>
      <c r="HG7" s="728"/>
      <c r="HH7" s="728"/>
      <c r="HI7" s="728"/>
      <c r="HJ7" s="728"/>
      <c r="HK7" s="728"/>
      <c r="HL7" s="728"/>
      <c r="HM7" s="728"/>
      <c r="HN7" s="728"/>
      <c r="HO7" s="728"/>
      <c r="HP7" s="728"/>
      <c r="HQ7" s="728"/>
      <c r="HR7" s="728"/>
      <c r="HS7" s="728"/>
      <c r="HT7" s="728"/>
      <c r="HU7" s="728"/>
      <c r="HV7" s="728"/>
      <c r="HW7" s="728"/>
      <c r="HX7" s="728"/>
      <c r="HY7" s="728"/>
      <c r="HZ7" s="728"/>
      <c r="IA7" s="728"/>
      <c r="IB7" s="728"/>
      <c r="IC7" s="728"/>
      <c r="ID7" s="728"/>
      <c r="IE7" s="728"/>
      <c r="IF7" s="728"/>
      <c r="IG7" s="728"/>
      <c r="IH7" s="728"/>
      <c r="II7" s="728"/>
      <c r="IJ7" s="728"/>
      <c r="IK7" s="728"/>
      <c r="IL7" s="728"/>
      <c r="IM7" s="728"/>
      <c r="IN7" s="728"/>
      <c r="IO7" s="728"/>
      <c r="IP7" s="728"/>
      <c r="IQ7" s="728"/>
      <c r="IR7" s="728"/>
      <c r="IS7" s="728"/>
      <c r="IT7" s="728"/>
      <c r="IU7" s="728"/>
      <c r="IV7" s="728"/>
      <c r="IW7" s="728"/>
    </row>
    <row r="8" customFormat="false" ht="20.25" hidden="false" customHeight="true" outlineLevel="0" collapsed="false">
      <c r="A8" s="798" t="inlineStr">
        <is>
          <t xml:space="preserve">32-C-011</t>
        </is>
      </c>
      <c r="B8" s="746" t="inlineStr">
        <is>
          <t xml:space="preserve">○ 피난유도선의 변형 및 손상 여부</t>
        </is>
      </c>
      <c r="C8" s="737"/>
      <c r="D8" s="728"/>
      <c r="E8" s="728"/>
      <c r="F8" s="728"/>
      <c r="G8" s="728"/>
      <c r="H8" s="727" t="inlineStr">
        <is>
          <t xml:space="preserve">×</t>
        </is>
      </c>
      <c r="I8" s="728"/>
      <c r="J8" s="728"/>
      <c r="K8" s="728"/>
      <c r="L8" s="728"/>
      <c r="M8" s="728"/>
      <c r="N8" s="728"/>
      <c r="O8" s="728"/>
      <c r="P8" s="728"/>
      <c r="Q8" s="728"/>
      <c r="R8" s="728"/>
      <c r="S8" s="728"/>
      <c r="T8" s="728"/>
      <c r="U8" s="728"/>
      <c r="V8" s="728"/>
      <c r="W8" s="728"/>
      <c r="X8" s="728"/>
      <c r="Y8" s="728"/>
      <c r="Z8" s="728"/>
      <c r="AA8" s="728"/>
      <c r="AB8" s="728"/>
      <c r="AC8" s="728"/>
      <c r="AD8" s="728"/>
      <c r="AE8" s="728"/>
      <c r="AF8" s="728"/>
      <c r="AG8" s="728"/>
      <c r="AH8" s="728"/>
      <c r="AI8" s="728"/>
      <c r="AJ8" s="728"/>
      <c r="AK8" s="728"/>
      <c r="AL8" s="728"/>
      <c r="AM8" s="728"/>
      <c r="AN8" s="728"/>
      <c r="AO8" s="728"/>
      <c r="AP8" s="728"/>
      <c r="AQ8" s="728"/>
      <c r="AR8" s="728"/>
      <c r="AS8" s="728"/>
      <c r="AT8" s="728"/>
      <c r="AU8" s="728"/>
      <c r="AV8" s="728"/>
      <c r="AW8" s="728"/>
      <c r="AX8" s="728"/>
      <c r="AY8" s="728"/>
      <c r="AZ8" s="728"/>
      <c r="BA8" s="728"/>
      <c r="BB8" s="728"/>
      <c r="BC8" s="728"/>
      <c r="BD8" s="728"/>
      <c r="BE8" s="728"/>
      <c r="BF8" s="728"/>
      <c r="BG8" s="728"/>
      <c r="BH8" s="728"/>
      <c r="BI8" s="728"/>
      <c r="BJ8" s="728"/>
      <c r="BK8" s="728"/>
      <c r="BL8" s="728"/>
      <c r="BM8" s="728"/>
      <c r="BN8" s="728"/>
      <c r="BO8" s="728"/>
      <c r="BP8" s="728"/>
      <c r="BQ8" s="728"/>
      <c r="BR8" s="728"/>
      <c r="BS8" s="728"/>
      <c r="BT8" s="728"/>
      <c r="BU8" s="728"/>
      <c r="BV8" s="728"/>
      <c r="BW8" s="728"/>
      <c r="BX8" s="728"/>
      <c r="BY8" s="728"/>
      <c r="BZ8" s="728"/>
      <c r="CA8" s="728"/>
      <c r="CB8" s="728"/>
      <c r="CC8" s="728"/>
      <c r="CD8" s="728"/>
      <c r="CE8" s="728"/>
      <c r="CF8" s="728"/>
      <c r="CG8" s="728"/>
      <c r="CH8" s="728"/>
      <c r="CI8" s="728"/>
      <c r="CJ8" s="728"/>
      <c r="CK8" s="728"/>
      <c r="CL8" s="728"/>
      <c r="CM8" s="728"/>
      <c r="CN8" s="728"/>
      <c r="CO8" s="728"/>
      <c r="CP8" s="728"/>
      <c r="CQ8" s="728"/>
      <c r="CR8" s="728"/>
      <c r="CS8" s="728"/>
      <c r="CT8" s="728"/>
      <c r="CU8" s="728"/>
      <c r="CV8" s="728"/>
      <c r="CW8" s="728"/>
      <c r="CX8" s="728"/>
      <c r="CY8" s="728"/>
      <c r="CZ8" s="728"/>
      <c r="DA8" s="728"/>
      <c r="DB8" s="728"/>
      <c r="DC8" s="728"/>
      <c r="DD8" s="728"/>
      <c r="DE8" s="728"/>
      <c r="DF8" s="728"/>
      <c r="DG8" s="728"/>
      <c r="DH8" s="728"/>
      <c r="DI8" s="728"/>
      <c r="DJ8" s="728"/>
      <c r="DK8" s="728"/>
      <c r="DL8" s="728"/>
      <c r="DM8" s="728"/>
      <c r="DN8" s="728"/>
      <c r="DO8" s="728"/>
      <c r="DP8" s="728"/>
      <c r="DQ8" s="728"/>
      <c r="DR8" s="728"/>
      <c r="DS8" s="728"/>
      <c r="DT8" s="728"/>
      <c r="DU8" s="728"/>
      <c r="DV8" s="728"/>
      <c r="DW8" s="728"/>
      <c r="DX8" s="728"/>
      <c r="DY8" s="728"/>
      <c r="DZ8" s="728"/>
      <c r="EA8" s="728"/>
      <c r="EB8" s="728"/>
      <c r="EC8" s="728"/>
      <c r="ED8" s="728"/>
      <c r="EE8" s="728"/>
      <c r="EF8" s="728"/>
      <c r="EG8" s="728"/>
      <c r="EH8" s="728"/>
      <c r="EI8" s="728"/>
      <c r="EJ8" s="728"/>
      <c r="EK8" s="728"/>
      <c r="EL8" s="728"/>
      <c r="EM8" s="728"/>
      <c r="EN8" s="728"/>
      <c r="EO8" s="728"/>
      <c r="EP8" s="728"/>
      <c r="EQ8" s="728"/>
      <c r="ER8" s="728"/>
      <c r="ES8" s="728"/>
      <c r="ET8" s="728"/>
      <c r="EU8" s="728"/>
      <c r="EV8" s="728"/>
      <c r="EW8" s="728"/>
      <c r="EX8" s="728"/>
      <c r="EY8" s="728"/>
      <c r="EZ8" s="728"/>
      <c r="FA8" s="728"/>
      <c r="FB8" s="728"/>
      <c r="FC8" s="728"/>
      <c r="FD8" s="728"/>
      <c r="FE8" s="728"/>
      <c r="FF8" s="728"/>
      <c r="FG8" s="728"/>
      <c r="FH8" s="728"/>
      <c r="FI8" s="728"/>
      <c r="FJ8" s="728"/>
      <c r="FK8" s="728"/>
      <c r="FL8" s="728"/>
      <c r="FM8" s="728"/>
      <c r="FN8" s="728"/>
      <c r="FO8" s="728"/>
      <c r="FP8" s="728"/>
      <c r="FQ8" s="728"/>
      <c r="FR8" s="728"/>
      <c r="FS8" s="728"/>
      <c r="FT8" s="728"/>
      <c r="FU8" s="728"/>
      <c r="FV8" s="728"/>
      <c r="FW8" s="728"/>
      <c r="FX8" s="728"/>
      <c r="FY8" s="728"/>
      <c r="FZ8" s="728"/>
      <c r="GA8" s="728"/>
      <c r="GB8" s="728"/>
      <c r="GC8" s="728"/>
      <c r="GD8" s="728"/>
      <c r="GE8" s="728"/>
      <c r="GF8" s="728"/>
      <c r="GG8" s="728"/>
      <c r="GH8" s="728"/>
      <c r="GI8" s="728"/>
      <c r="GJ8" s="728"/>
      <c r="GK8" s="728"/>
      <c r="GL8" s="728"/>
      <c r="GM8" s="728"/>
      <c r="GN8" s="728"/>
      <c r="GO8" s="728"/>
      <c r="GP8" s="728"/>
      <c r="GQ8" s="728"/>
      <c r="GR8" s="728"/>
      <c r="GS8" s="728"/>
      <c r="GT8" s="728"/>
      <c r="GU8" s="728"/>
      <c r="GV8" s="728"/>
      <c r="GW8" s="728"/>
      <c r="GX8" s="728"/>
      <c r="GY8" s="728"/>
      <c r="GZ8" s="728"/>
      <c r="HA8" s="728"/>
      <c r="HB8" s="728"/>
      <c r="HC8" s="728"/>
      <c r="HD8" s="728"/>
      <c r="HE8" s="728"/>
      <c r="HF8" s="728"/>
      <c r="HG8" s="728"/>
      <c r="HH8" s="728"/>
      <c r="HI8" s="728"/>
      <c r="HJ8" s="728"/>
      <c r="HK8" s="728"/>
      <c r="HL8" s="728"/>
      <c r="HM8" s="728"/>
      <c r="HN8" s="728"/>
      <c r="HO8" s="728"/>
      <c r="HP8" s="728"/>
      <c r="HQ8" s="728"/>
      <c r="HR8" s="728"/>
      <c r="HS8" s="728"/>
      <c r="HT8" s="728"/>
      <c r="HU8" s="728"/>
      <c r="HV8" s="728"/>
      <c r="HW8" s="728"/>
      <c r="HX8" s="728"/>
      <c r="HY8" s="728"/>
      <c r="HZ8" s="728"/>
      <c r="IA8" s="728"/>
      <c r="IB8" s="728"/>
      <c r="IC8" s="728"/>
      <c r="ID8" s="728"/>
      <c r="IE8" s="728"/>
      <c r="IF8" s="728"/>
      <c r="IG8" s="728"/>
      <c r="IH8" s="728"/>
      <c r="II8" s="728"/>
      <c r="IJ8" s="728"/>
      <c r="IK8" s="728"/>
      <c r="IL8" s="728"/>
      <c r="IM8" s="728"/>
      <c r="IN8" s="728"/>
      <c r="IO8" s="728"/>
      <c r="IP8" s="728"/>
      <c r="IQ8" s="728"/>
      <c r="IR8" s="728"/>
      <c r="IS8" s="728"/>
      <c r="IT8" s="728"/>
      <c r="IU8" s="728"/>
      <c r="IV8" s="728"/>
      <c r="IW8" s="728"/>
    </row>
    <row r="9" customFormat="false" ht="20.25" hidden="false" customHeight="true" outlineLevel="0" collapsed="false">
      <c r="A9" s="799" t="inlineStr">
        <is>
          <t xml:space="preserve">32-C-012</t>
        </is>
      </c>
      <c r="B9" s="800" t="inlineStr">
        <is>
          <t xml:space="preserve">● 정상 점등(화재 신호와 연동 포함) 여부</t>
        </is>
      </c>
      <c r="C9" s="737"/>
      <c r="D9" s="728"/>
      <c r="E9" s="728"/>
      <c r="F9" s="728"/>
      <c r="G9" s="728"/>
      <c r="H9" s="728"/>
      <c r="I9" s="728"/>
      <c r="J9" s="728"/>
      <c r="K9" s="728"/>
      <c r="L9" s="728"/>
      <c r="M9" s="728"/>
      <c r="N9" s="728"/>
      <c r="O9" s="728"/>
      <c r="P9" s="728"/>
      <c r="Q9" s="728"/>
      <c r="R9" s="728"/>
      <c r="S9" s="728"/>
      <c r="T9" s="728"/>
      <c r="U9" s="728"/>
      <c r="V9" s="728"/>
      <c r="W9" s="728"/>
      <c r="X9" s="728"/>
      <c r="Y9" s="728"/>
      <c r="Z9" s="728"/>
      <c r="AA9" s="728"/>
      <c r="AB9" s="728"/>
      <c r="AC9" s="728"/>
      <c r="AD9" s="728"/>
      <c r="AE9" s="728"/>
      <c r="AF9" s="728"/>
      <c r="AG9" s="728"/>
      <c r="AH9" s="728"/>
      <c r="AI9" s="728"/>
      <c r="AJ9" s="728"/>
      <c r="AK9" s="728"/>
      <c r="AL9" s="728"/>
      <c r="AM9" s="728"/>
      <c r="AN9" s="728"/>
      <c r="AO9" s="728"/>
      <c r="AP9" s="728"/>
      <c r="AQ9" s="728"/>
      <c r="AR9" s="728"/>
      <c r="AS9" s="728"/>
      <c r="AT9" s="728"/>
      <c r="AU9" s="728"/>
      <c r="AV9" s="728"/>
      <c r="AW9" s="728"/>
      <c r="AX9" s="728"/>
      <c r="AY9" s="728"/>
      <c r="AZ9" s="728"/>
      <c r="BA9" s="728"/>
      <c r="BB9" s="728"/>
      <c r="BC9" s="728"/>
      <c r="BD9" s="728"/>
      <c r="BE9" s="728"/>
      <c r="BF9" s="728"/>
      <c r="BG9" s="728"/>
      <c r="BH9" s="728"/>
      <c r="BI9" s="728"/>
      <c r="BJ9" s="728"/>
      <c r="BK9" s="728"/>
      <c r="BL9" s="728"/>
      <c r="BM9" s="728"/>
      <c r="BN9" s="728"/>
      <c r="BO9" s="728"/>
      <c r="BP9" s="728"/>
      <c r="BQ9" s="728"/>
      <c r="BR9" s="728"/>
      <c r="BS9" s="728"/>
      <c r="BT9" s="728"/>
      <c r="BU9" s="728"/>
      <c r="BV9" s="728"/>
      <c r="BW9" s="728"/>
      <c r="BX9" s="728"/>
      <c r="BY9" s="728"/>
      <c r="BZ9" s="728"/>
      <c r="CA9" s="728"/>
      <c r="CB9" s="728"/>
      <c r="CC9" s="728"/>
      <c r="CD9" s="728"/>
      <c r="CE9" s="728"/>
      <c r="CF9" s="728"/>
      <c r="CG9" s="728"/>
      <c r="CH9" s="728"/>
      <c r="CI9" s="728"/>
      <c r="CJ9" s="728"/>
      <c r="CK9" s="728"/>
      <c r="CL9" s="728"/>
      <c r="CM9" s="728"/>
      <c r="CN9" s="728"/>
      <c r="CO9" s="728"/>
      <c r="CP9" s="728"/>
      <c r="CQ9" s="728"/>
      <c r="CR9" s="728"/>
      <c r="CS9" s="728"/>
      <c r="CT9" s="728"/>
      <c r="CU9" s="728"/>
      <c r="CV9" s="728"/>
      <c r="CW9" s="728"/>
      <c r="CX9" s="728"/>
      <c r="CY9" s="728"/>
      <c r="CZ9" s="728"/>
      <c r="DA9" s="728"/>
      <c r="DB9" s="728"/>
      <c r="DC9" s="728"/>
      <c r="DD9" s="728"/>
      <c r="DE9" s="728"/>
      <c r="DF9" s="728"/>
      <c r="DG9" s="728"/>
      <c r="DH9" s="728"/>
      <c r="DI9" s="728"/>
      <c r="DJ9" s="728"/>
      <c r="DK9" s="728"/>
      <c r="DL9" s="728"/>
      <c r="DM9" s="728"/>
      <c r="DN9" s="728"/>
      <c r="DO9" s="728"/>
      <c r="DP9" s="728"/>
      <c r="DQ9" s="728"/>
      <c r="DR9" s="728"/>
      <c r="DS9" s="728"/>
      <c r="DT9" s="728"/>
      <c r="DU9" s="728"/>
      <c r="DV9" s="728"/>
      <c r="DW9" s="728"/>
      <c r="DX9" s="728"/>
      <c r="DY9" s="728"/>
      <c r="DZ9" s="728"/>
      <c r="EA9" s="728"/>
      <c r="EB9" s="728"/>
      <c r="EC9" s="728"/>
      <c r="ED9" s="728"/>
      <c r="EE9" s="728"/>
      <c r="EF9" s="728"/>
      <c r="EG9" s="728"/>
      <c r="EH9" s="728"/>
      <c r="EI9" s="728"/>
      <c r="EJ9" s="728"/>
      <c r="EK9" s="728"/>
      <c r="EL9" s="728"/>
      <c r="EM9" s="728"/>
      <c r="EN9" s="728"/>
      <c r="EO9" s="728"/>
      <c r="EP9" s="728"/>
      <c r="EQ9" s="728"/>
      <c r="ER9" s="728"/>
      <c r="ES9" s="728"/>
      <c r="ET9" s="728"/>
      <c r="EU9" s="728"/>
      <c r="EV9" s="728"/>
      <c r="EW9" s="728"/>
      <c r="EX9" s="728"/>
      <c r="EY9" s="728"/>
      <c r="EZ9" s="728"/>
      <c r="FA9" s="728"/>
      <c r="FB9" s="728"/>
      <c r="FC9" s="728"/>
      <c r="FD9" s="728"/>
      <c r="FE9" s="728"/>
      <c r="FF9" s="728"/>
      <c r="FG9" s="728"/>
      <c r="FH9" s="728"/>
      <c r="FI9" s="728"/>
      <c r="FJ9" s="728"/>
      <c r="FK9" s="728"/>
      <c r="FL9" s="728"/>
      <c r="FM9" s="728"/>
      <c r="FN9" s="728"/>
      <c r="FO9" s="728"/>
      <c r="FP9" s="728"/>
      <c r="FQ9" s="728"/>
      <c r="FR9" s="728"/>
      <c r="FS9" s="728"/>
      <c r="FT9" s="728"/>
      <c r="FU9" s="728"/>
      <c r="FV9" s="728"/>
      <c r="FW9" s="728"/>
      <c r="FX9" s="728"/>
      <c r="FY9" s="728"/>
      <c r="FZ9" s="728"/>
      <c r="GA9" s="728"/>
      <c r="GB9" s="728"/>
      <c r="GC9" s="728"/>
      <c r="GD9" s="728"/>
      <c r="GE9" s="728"/>
      <c r="GF9" s="728"/>
      <c r="GG9" s="728"/>
      <c r="GH9" s="728"/>
      <c r="GI9" s="728"/>
      <c r="GJ9" s="728"/>
      <c r="GK9" s="728"/>
      <c r="GL9" s="728"/>
      <c r="GM9" s="728"/>
      <c r="GN9" s="728"/>
      <c r="GO9" s="728"/>
      <c r="GP9" s="728"/>
      <c r="GQ9" s="728"/>
      <c r="GR9" s="728"/>
      <c r="GS9" s="728"/>
      <c r="GT9" s="728"/>
      <c r="GU9" s="728"/>
      <c r="GV9" s="728"/>
      <c r="GW9" s="728"/>
      <c r="GX9" s="728"/>
      <c r="GY9" s="728"/>
      <c r="GZ9" s="728"/>
      <c r="HA9" s="728"/>
      <c r="HB9" s="728"/>
      <c r="HC9" s="728"/>
      <c r="HD9" s="728"/>
      <c r="HE9" s="728"/>
      <c r="HF9" s="728"/>
      <c r="HG9" s="728"/>
      <c r="HH9" s="728"/>
      <c r="HI9" s="728"/>
      <c r="HJ9" s="728"/>
      <c r="HK9" s="728"/>
      <c r="HL9" s="728"/>
      <c r="HM9" s="728"/>
      <c r="HN9" s="728"/>
      <c r="HO9" s="728"/>
      <c r="HP9" s="728"/>
      <c r="HQ9" s="728"/>
      <c r="HR9" s="728"/>
      <c r="HS9" s="728"/>
      <c r="HT9" s="728"/>
      <c r="HU9" s="728"/>
      <c r="HV9" s="728"/>
      <c r="HW9" s="728"/>
      <c r="HX9" s="728"/>
      <c r="HY9" s="728"/>
      <c r="HZ9" s="728"/>
      <c r="IA9" s="728"/>
      <c r="IB9" s="728"/>
      <c r="IC9" s="728"/>
      <c r="ID9" s="728"/>
      <c r="IE9" s="728"/>
      <c r="IF9" s="728"/>
      <c r="IG9" s="728"/>
      <c r="IH9" s="728"/>
      <c r="II9" s="728"/>
      <c r="IJ9" s="728"/>
      <c r="IK9" s="728"/>
      <c r="IL9" s="728"/>
      <c r="IM9" s="728"/>
      <c r="IN9" s="728"/>
      <c r="IO9" s="728"/>
      <c r="IP9" s="728"/>
      <c r="IQ9" s="728"/>
      <c r="IR9" s="728"/>
      <c r="IS9" s="728"/>
      <c r="IT9" s="728"/>
      <c r="IU9" s="728"/>
      <c r="IV9" s="728"/>
      <c r="IW9" s="728"/>
    </row>
    <row r="10" customFormat="false" ht="20.25" hidden="false" customHeight="true" outlineLevel="0" collapsed="false">
      <c r="A10" s="795" t="inlineStr">
        <is>
          <t xml:space="preserve">  </t>
        </is>
      </c>
      <c r="B10" s="817" t="inlineStr">
        <is>
          <t xml:space="preserve"> 유도등</t>
        </is>
      </c>
      <c r="C10" s="737"/>
      <c r="D10" s="728"/>
      <c r="E10" s="728"/>
      <c r="F10" s="728"/>
      <c r="G10" s="728"/>
      <c r="H10" s="728"/>
      <c r="I10" s="728"/>
      <c r="J10" s="728"/>
      <c r="K10" s="728"/>
      <c r="L10" s="728"/>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8"/>
      <c r="BN10" s="728"/>
      <c r="BO10" s="728"/>
      <c r="BP10" s="728"/>
      <c r="BQ10" s="728"/>
      <c r="BR10" s="728"/>
      <c r="BS10" s="728"/>
      <c r="BT10" s="728"/>
      <c r="BU10" s="728"/>
      <c r="BV10" s="728"/>
      <c r="BW10" s="728"/>
      <c r="BX10" s="728"/>
      <c r="BY10" s="728"/>
      <c r="BZ10" s="728"/>
      <c r="CA10" s="728"/>
      <c r="CB10" s="728"/>
      <c r="CC10" s="728"/>
      <c r="CD10" s="728"/>
      <c r="CE10" s="728"/>
      <c r="CF10" s="728"/>
      <c r="CG10" s="728"/>
      <c r="CH10" s="728"/>
      <c r="CI10" s="728"/>
      <c r="CJ10" s="728"/>
      <c r="CK10" s="728"/>
      <c r="CL10" s="728"/>
      <c r="CM10" s="728"/>
      <c r="CN10" s="728"/>
      <c r="CO10" s="728"/>
      <c r="CP10" s="728"/>
      <c r="CQ10" s="728"/>
      <c r="CR10" s="728"/>
      <c r="CS10" s="728"/>
      <c r="CT10" s="728"/>
      <c r="CU10" s="728"/>
      <c r="CV10" s="728"/>
      <c r="CW10" s="728"/>
      <c r="CX10" s="728"/>
      <c r="CY10" s="728"/>
      <c r="CZ10" s="728"/>
      <c r="DA10" s="728"/>
      <c r="DB10" s="728"/>
      <c r="DC10" s="728"/>
      <c r="DD10" s="728"/>
      <c r="DE10" s="728"/>
      <c r="DF10" s="728"/>
      <c r="DG10" s="728"/>
      <c r="DH10" s="728"/>
      <c r="DI10" s="728"/>
      <c r="DJ10" s="728"/>
      <c r="DK10" s="728"/>
      <c r="DL10" s="728"/>
      <c r="DM10" s="728"/>
      <c r="DN10" s="728"/>
      <c r="DO10" s="728"/>
      <c r="DP10" s="728"/>
      <c r="DQ10" s="728"/>
      <c r="DR10" s="728"/>
      <c r="DS10" s="728"/>
      <c r="DT10" s="728"/>
      <c r="DU10" s="728"/>
      <c r="DV10" s="728"/>
      <c r="DW10" s="728"/>
      <c r="DX10" s="728"/>
      <c r="DY10" s="728"/>
      <c r="DZ10" s="728"/>
      <c r="EA10" s="728"/>
      <c r="EB10" s="728"/>
      <c r="EC10" s="728"/>
      <c r="ED10" s="728"/>
      <c r="EE10" s="728"/>
      <c r="EF10" s="728"/>
      <c r="EG10" s="728"/>
      <c r="EH10" s="728"/>
      <c r="EI10" s="728"/>
      <c r="EJ10" s="728"/>
      <c r="EK10" s="728"/>
      <c r="EL10" s="728"/>
      <c r="EM10" s="728"/>
      <c r="EN10" s="728"/>
      <c r="EO10" s="728"/>
      <c r="EP10" s="728"/>
      <c r="EQ10" s="728"/>
      <c r="ER10" s="728"/>
      <c r="ES10" s="728"/>
      <c r="ET10" s="728"/>
      <c r="EU10" s="728"/>
      <c r="EV10" s="728"/>
      <c r="EW10" s="728"/>
      <c r="EX10" s="728"/>
      <c r="EY10" s="728"/>
      <c r="EZ10" s="728"/>
      <c r="FA10" s="728"/>
      <c r="FB10" s="728"/>
      <c r="FC10" s="728"/>
      <c r="FD10" s="728"/>
      <c r="FE10" s="728"/>
      <c r="FF10" s="728"/>
      <c r="FG10" s="728"/>
      <c r="FH10" s="728"/>
      <c r="FI10" s="728"/>
      <c r="FJ10" s="728"/>
      <c r="FK10" s="728"/>
      <c r="FL10" s="728"/>
      <c r="FM10" s="728"/>
      <c r="FN10" s="728"/>
      <c r="FO10" s="728"/>
      <c r="FP10" s="728"/>
      <c r="FQ10" s="728"/>
      <c r="FR10" s="728"/>
      <c r="FS10" s="728"/>
      <c r="FT10" s="728"/>
      <c r="FU10" s="728"/>
      <c r="FV10" s="728"/>
      <c r="FW10" s="728"/>
      <c r="FX10" s="728"/>
      <c r="FY10" s="728"/>
      <c r="FZ10" s="728"/>
      <c r="GA10" s="728"/>
      <c r="GB10" s="728"/>
      <c r="GC10" s="728"/>
      <c r="GD10" s="728"/>
      <c r="GE10" s="728"/>
      <c r="GF10" s="728"/>
      <c r="GG10" s="728"/>
      <c r="GH10" s="728"/>
      <c r="GI10" s="728"/>
      <c r="GJ10" s="728"/>
      <c r="GK10" s="728"/>
      <c r="GL10" s="728"/>
      <c r="GM10" s="728"/>
      <c r="GN10" s="728"/>
      <c r="GO10" s="728"/>
      <c r="GP10" s="728"/>
      <c r="GQ10" s="728"/>
      <c r="GR10" s="728"/>
      <c r="GS10" s="728"/>
      <c r="GT10" s="728"/>
      <c r="GU10" s="728"/>
      <c r="GV10" s="728"/>
      <c r="GW10" s="728"/>
      <c r="GX10" s="728"/>
      <c r="GY10" s="728"/>
      <c r="GZ10" s="728"/>
      <c r="HA10" s="728"/>
      <c r="HB10" s="728"/>
      <c r="HC10" s="728"/>
      <c r="HD10" s="728"/>
      <c r="HE10" s="728"/>
      <c r="HF10" s="728"/>
      <c r="HG10" s="728"/>
      <c r="HH10" s="728"/>
      <c r="HI10" s="728"/>
      <c r="HJ10" s="728"/>
      <c r="HK10" s="728"/>
      <c r="HL10" s="728"/>
      <c r="HM10" s="728"/>
      <c r="HN10" s="728"/>
      <c r="HO10" s="728"/>
      <c r="HP10" s="728"/>
      <c r="HQ10" s="728"/>
      <c r="HR10" s="728"/>
      <c r="HS10" s="728"/>
      <c r="HT10" s="728"/>
      <c r="HU10" s="728"/>
      <c r="HV10" s="728"/>
      <c r="HW10" s="728"/>
      <c r="HX10" s="728"/>
      <c r="HY10" s="728"/>
      <c r="HZ10" s="728"/>
      <c r="IA10" s="728"/>
      <c r="IB10" s="728"/>
      <c r="IC10" s="728"/>
      <c r="ID10" s="728"/>
      <c r="IE10" s="728"/>
      <c r="IF10" s="728"/>
      <c r="IG10" s="728"/>
      <c r="IH10" s="728"/>
      <c r="II10" s="728"/>
      <c r="IJ10" s="728"/>
      <c r="IK10" s="728"/>
      <c r="IL10" s="728"/>
      <c r="IM10" s="728"/>
      <c r="IN10" s="728"/>
      <c r="IO10" s="728"/>
      <c r="IP10" s="728"/>
      <c r="IQ10" s="728"/>
      <c r="IR10" s="728"/>
      <c r="IS10" s="728"/>
      <c r="IT10" s="728"/>
      <c r="IU10" s="728"/>
      <c r="IV10" s="728"/>
      <c r="IW10" s="728"/>
    </row>
    <row r="11" customFormat="false" ht="20.25" hidden="false" customHeight="true" outlineLevel="0" collapsed="false">
      <c r="A11" s="798" t="inlineStr">
        <is>
          <t xml:space="preserve">32-C-021</t>
        </is>
      </c>
      <c r="B11" s="746" t="inlineStr">
        <is>
          <t xml:space="preserve">○ 상시(3선식의 경우 점검스위치 작동시) 점등 여부</t>
        </is>
      </c>
      <c r="C11" s="737"/>
      <c r="D11" s="728"/>
      <c r="E11" s="728"/>
      <c r="F11" s="728"/>
      <c r="G11" s="728"/>
      <c r="H11" s="728"/>
      <c r="I11" s="728"/>
      <c r="J11" s="728"/>
      <c r="K11" s="728"/>
      <c r="L11" s="728"/>
      <c r="M11" s="728"/>
      <c r="N11" s="728"/>
      <c r="O11" s="728"/>
      <c r="P11" s="728"/>
      <c r="Q11" s="728"/>
      <c r="R11" s="728"/>
      <c r="S11" s="728"/>
      <c r="T11" s="728"/>
      <c r="U11" s="728"/>
      <c r="V11" s="728"/>
      <c r="W11" s="728"/>
      <c r="X11" s="728"/>
      <c r="Y11" s="728"/>
      <c r="Z11" s="728"/>
      <c r="AA11" s="728"/>
      <c r="AB11" s="728"/>
      <c r="AC11" s="728"/>
      <c r="AD11" s="728"/>
      <c r="AE11" s="728"/>
      <c r="AF11" s="728"/>
      <c r="AG11" s="728"/>
      <c r="AH11" s="728"/>
      <c r="AI11" s="728"/>
      <c r="AJ11" s="728"/>
      <c r="AK11" s="728"/>
      <c r="AL11" s="728"/>
      <c r="AM11" s="728"/>
      <c r="AN11" s="728"/>
      <c r="AO11" s="728"/>
      <c r="AP11" s="728"/>
      <c r="AQ11" s="728"/>
      <c r="AR11" s="728"/>
      <c r="AS11" s="728"/>
      <c r="AT11" s="728"/>
      <c r="AU11" s="728"/>
      <c r="AV11" s="728"/>
      <c r="AW11" s="728"/>
      <c r="AX11" s="728"/>
      <c r="AY11" s="728"/>
      <c r="AZ11" s="728"/>
      <c r="BA11" s="728"/>
      <c r="BB11" s="728"/>
      <c r="BC11" s="728"/>
      <c r="BD11" s="728"/>
      <c r="BE11" s="728"/>
      <c r="BF11" s="728"/>
      <c r="BG11" s="728"/>
      <c r="BH11" s="728"/>
      <c r="BI11" s="728"/>
      <c r="BJ11" s="728"/>
      <c r="BK11" s="728"/>
      <c r="BL11" s="728"/>
      <c r="BM11" s="728"/>
      <c r="BN11" s="728"/>
      <c r="BO11" s="728"/>
      <c r="BP11" s="728"/>
      <c r="BQ11" s="728"/>
      <c r="BR11" s="728"/>
      <c r="BS11" s="728"/>
      <c r="BT11" s="728"/>
      <c r="BU11" s="728"/>
      <c r="BV11" s="728"/>
      <c r="BW11" s="728"/>
      <c r="BX11" s="728"/>
      <c r="BY11" s="728"/>
      <c r="BZ11" s="728"/>
      <c r="CA11" s="728"/>
      <c r="CB11" s="728"/>
      <c r="CC11" s="728"/>
      <c r="CD11" s="728"/>
      <c r="CE11" s="728"/>
      <c r="CF11" s="728"/>
      <c r="CG11" s="728"/>
      <c r="CH11" s="728"/>
      <c r="CI11" s="728"/>
      <c r="CJ11" s="728"/>
      <c r="CK11" s="728"/>
      <c r="CL11" s="728"/>
      <c r="CM11" s="728"/>
      <c r="CN11" s="728"/>
      <c r="CO11" s="728"/>
      <c r="CP11" s="728"/>
      <c r="CQ11" s="728"/>
      <c r="CR11" s="728"/>
      <c r="CS11" s="728"/>
      <c r="CT11" s="728"/>
      <c r="CU11" s="728"/>
      <c r="CV11" s="728"/>
      <c r="CW11" s="728"/>
      <c r="CX11" s="728"/>
      <c r="CY11" s="728"/>
      <c r="CZ11" s="728"/>
      <c r="DA11" s="728"/>
      <c r="DB11" s="728"/>
      <c r="DC11" s="728"/>
      <c r="DD11" s="728"/>
      <c r="DE11" s="728"/>
      <c r="DF11" s="728"/>
      <c r="DG11" s="728"/>
      <c r="DH11" s="728"/>
      <c r="DI11" s="728"/>
      <c r="DJ11" s="728"/>
      <c r="DK11" s="728"/>
      <c r="DL11" s="728"/>
      <c r="DM11" s="728"/>
      <c r="DN11" s="728"/>
      <c r="DO11" s="728"/>
      <c r="DP11" s="728"/>
      <c r="DQ11" s="728"/>
      <c r="DR11" s="728"/>
      <c r="DS11" s="728"/>
      <c r="DT11" s="728"/>
      <c r="DU11" s="728"/>
      <c r="DV11" s="728"/>
      <c r="DW11" s="728"/>
      <c r="DX11" s="728"/>
      <c r="DY11" s="728"/>
      <c r="DZ11" s="728"/>
      <c r="EA11" s="728"/>
      <c r="EB11" s="728"/>
      <c r="EC11" s="728"/>
      <c r="ED11" s="728"/>
      <c r="EE11" s="728"/>
      <c r="EF11" s="728"/>
      <c r="EG11" s="728"/>
      <c r="EH11" s="728"/>
      <c r="EI11" s="728"/>
      <c r="EJ11" s="728"/>
      <c r="EK11" s="728"/>
      <c r="EL11" s="728"/>
      <c r="EM11" s="728"/>
      <c r="EN11" s="728"/>
      <c r="EO11" s="728"/>
      <c r="EP11" s="728"/>
      <c r="EQ11" s="728"/>
      <c r="ER11" s="728"/>
      <c r="ES11" s="728"/>
      <c r="ET11" s="728"/>
      <c r="EU11" s="728"/>
      <c r="EV11" s="728"/>
      <c r="EW11" s="728"/>
      <c r="EX11" s="728"/>
      <c r="EY11" s="728"/>
      <c r="EZ11" s="728"/>
      <c r="FA11" s="728"/>
      <c r="FB11" s="728"/>
      <c r="FC11" s="728"/>
      <c r="FD11" s="728"/>
      <c r="FE11" s="728"/>
      <c r="FF11" s="728"/>
      <c r="FG11" s="728"/>
      <c r="FH11" s="728"/>
      <c r="FI11" s="728"/>
      <c r="FJ11" s="728"/>
      <c r="FK11" s="728"/>
      <c r="FL11" s="728"/>
      <c r="FM11" s="728"/>
      <c r="FN11" s="728"/>
      <c r="FO11" s="728"/>
      <c r="FP11" s="728"/>
      <c r="FQ11" s="728"/>
      <c r="FR11" s="728"/>
      <c r="FS11" s="728"/>
      <c r="FT11" s="728"/>
      <c r="FU11" s="728"/>
      <c r="FV11" s="728"/>
      <c r="FW11" s="728"/>
      <c r="FX11" s="728"/>
      <c r="FY11" s="728"/>
      <c r="FZ11" s="728"/>
      <c r="GA11" s="728"/>
      <c r="GB11" s="728"/>
      <c r="GC11" s="728"/>
      <c r="GD11" s="728"/>
      <c r="GE11" s="728"/>
      <c r="GF11" s="728"/>
      <c r="GG11" s="728"/>
      <c r="GH11" s="728"/>
      <c r="GI11" s="728"/>
      <c r="GJ11" s="728"/>
      <c r="GK11" s="728"/>
      <c r="GL11" s="728"/>
      <c r="GM11" s="728"/>
      <c r="GN11" s="728"/>
      <c r="GO11" s="728"/>
      <c r="GP11" s="728"/>
      <c r="GQ11" s="728"/>
      <c r="GR11" s="728"/>
      <c r="GS11" s="728"/>
      <c r="GT11" s="728"/>
      <c r="GU11" s="728"/>
      <c r="GV11" s="728"/>
      <c r="GW11" s="728"/>
      <c r="GX11" s="728"/>
      <c r="GY11" s="728"/>
      <c r="GZ11" s="728"/>
      <c r="HA11" s="728"/>
      <c r="HB11" s="728"/>
      <c r="HC11" s="728"/>
      <c r="HD11" s="728"/>
      <c r="HE11" s="728"/>
      <c r="HF11" s="728"/>
      <c r="HG11" s="728"/>
      <c r="HH11" s="728"/>
      <c r="HI11" s="728"/>
      <c r="HJ11" s="728"/>
      <c r="HK11" s="728"/>
      <c r="HL11" s="728"/>
      <c r="HM11" s="728"/>
      <c r="HN11" s="728"/>
      <c r="HO11" s="728"/>
      <c r="HP11" s="728"/>
      <c r="HQ11" s="728"/>
      <c r="HR11" s="728"/>
      <c r="HS11" s="728"/>
      <c r="HT11" s="728"/>
      <c r="HU11" s="728"/>
      <c r="HV11" s="728"/>
      <c r="HW11" s="728"/>
      <c r="HX11" s="728"/>
      <c r="HY11" s="728"/>
      <c r="HZ11" s="728"/>
      <c r="IA11" s="728"/>
      <c r="IB11" s="728"/>
      <c r="IC11" s="728"/>
      <c r="ID11" s="728"/>
      <c r="IE11" s="728"/>
      <c r="IF11" s="728"/>
      <c r="IG11" s="728"/>
      <c r="IH11" s="728"/>
      <c r="II11" s="728"/>
      <c r="IJ11" s="728"/>
      <c r="IK11" s="728"/>
      <c r="IL11" s="728"/>
      <c r="IM11" s="728"/>
      <c r="IN11" s="728"/>
      <c r="IO11" s="728"/>
      <c r="IP11" s="728"/>
      <c r="IQ11" s="728"/>
      <c r="IR11" s="728"/>
      <c r="IS11" s="728"/>
      <c r="IT11" s="728"/>
      <c r="IU11" s="728"/>
      <c r="IV11" s="728"/>
      <c r="IW11" s="728"/>
    </row>
    <row r="12" customFormat="false" ht="20.25" hidden="false" customHeight="true" outlineLevel="0" collapsed="false">
      <c r="A12" s="798" t="inlineStr">
        <is>
          <t xml:space="preserve">32-C-022</t>
        </is>
      </c>
      <c r="B12" s="746" t="inlineStr">
        <is>
          <t xml:space="preserve">○ 시각장애(규정된 높이, 적정위치, 장애물 등으로 인한 시각장애 유무) 여부</t>
        </is>
      </c>
      <c r="C12" s="737"/>
      <c r="D12" s="728"/>
      <c r="E12" s="728"/>
      <c r="F12" s="728"/>
      <c r="G12" s="728"/>
      <c r="H12" s="728"/>
      <c r="I12" s="728"/>
      <c r="J12" s="728"/>
      <c r="K12" s="728"/>
      <c r="L12" s="728"/>
      <c r="M12" s="728"/>
      <c r="N12" s="728"/>
      <c r="O12" s="728"/>
      <c r="P12" s="728"/>
      <c r="Q12" s="728"/>
      <c r="R12" s="728"/>
      <c r="S12" s="728"/>
      <c r="T12" s="728"/>
      <c r="U12" s="728"/>
      <c r="V12" s="728"/>
      <c r="W12" s="728"/>
      <c r="X12" s="728"/>
      <c r="Y12" s="728"/>
      <c r="Z12" s="728"/>
      <c r="AA12" s="728"/>
      <c r="AB12" s="728"/>
      <c r="AC12" s="728"/>
      <c r="AD12" s="728"/>
      <c r="AE12" s="728"/>
      <c r="AF12" s="728"/>
      <c r="AG12" s="728"/>
      <c r="AH12" s="728"/>
      <c r="AI12" s="728"/>
      <c r="AJ12" s="728"/>
      <c r="AK12" s="728"/>
      <c r="AL12" s="728"/>
      <c r="AM12" s="728"/>
      <c r="AN12" s="728"/>
      <c r="AO12" s="728"/>
      <c r="AP12" s="728"/>
      <c r="AQ12" s="728"/>
      <c r="AR12" s="728"/>
      <c r="AS12" s="728"/>
      <c r="AT12" s="728"/>
      <c r="AU12" s="728"/>
      <c r="AV12" s="728"/>
      <c r="AW12" s="728"/>
      <c r="AX12" s="728"/>
      <c r="AY12" s="728"/>
      <c r="AZ12" s="728"/>
      <c r="BA12" s="728"/>
      <c r="BB12" s="728"/>
      <c r="BC12" s="728"/>
      <c r="BD12" s="728"/>
      <c r="BE12" s="728"/>
      <c r="BF12" s="728"/>
      <c r="BG12" s="728"/>
      <c r="BH12" s="728"/>
      <c r="BI12" s="728"/>
      <c r="BJ12" s="728"/>
      <c r="BK12" s="728"/>
      <c r="BL12" s="728"/>
      <c r="BM12" s="728"/>
      <c r="BN12" s="728"/>
      <c r="BO12" s="728"/>
      <c r="BP12" s="728"/>
      <c r="BQ12" s="728"/>
      <c r="BR12" s="728"/>
      <c r="BS12" s="728"/>
      <c r="BT12" s="728"/>
      <c r="BU12" s="728"/>
      <c r="BV12" s="728"/>
      <c r="BW12" s="728"/>
      <c r="BX12" s="728"/>
      <c r="BY12" s="728"/>
      <c r="BZ12" s="728"/>
      <c r="CA12" s="728"/>
      <c r="CB12" s="728"/>
      <c r="CC12" s="728"/>
      <c r="CD12" s="728"/>
      <c r="CE12" s="728"/>
      <c r="CF12" s="728"/>
      <c r="CG12" s="728"/>
      <c r="CH12" s="728"/>
      <c r="CI12" s="728"/>
      <c r="CJ12" s="728"/>
      <c r="CK12" s="728"/>
      <c r="CL12" s="728"/>
      <c r="CM12" s="728"/>
      <c r="CN12" s="728"/>
      <c r="CO12" s="728"/>
      <c r="CP12" s="728"/>
      <c r="CQ12" s="728"/>
      <c r="CR12" s="728"/>
      <c r="CS12" s="728"/>
      <c r="CT12" s="728"/>
      <c r="CU12" s="728"/>
      <c r="CV12" s="728"/>
      <c r="CW12" s="728"/>
      <c r="CX12" s="728"/>
      <c r="CY12" s="728"/>
      <c r="CZ12" s="728"/>
      <c r="DA12" s="728"/>
      <c r="DB12" s="728"/>
      <c r="DC12" s="728"/>
      <c r="DD12" s="728"/>
      <c r="DE12" s="728"/>
      <c r="DF12" s="728"/>
      <c r="DG12" s="728"/>
      <c r="DH12" s="728"/>
      <c r="DI12" s="728"/>
      <c r="DJ12" s="728"/>
      <c r="DK12" s="728"/>
      <c r="DL12" s="728"/>
      <c r="DM12" s="728"/>
      <c r="DN12" s="728"/>
      <c r="DO12" s="728"/>
      <c r="DP12" s="728"/>
      <c r="DQ12" s="728"/>
      <c r="DR12" s="728"/>
      <c r="DS12" s="728"/>
      <c r="DT12" s="728"/>
      <c r="DU12" s="728"/>
      <c r="DV12" s="728"/>
      <c r="DW12" s="728"/>
      <c r="DX12" s="728"/>
      <c r="DY12" s="728"/>
      <c r="DZ12" s="728"/>
      <c r="EA12" s="728"/>
      <c r="EB12" s="728"/>
      <c r="EC12" s="728"/>
      <c r="ED12" s="728"/>
      <c r="EE12" s="728"/>
      <c r="EF12" s="728"/>
      <c r="EG12" s="728"/>
      <c r="EH12" s="728"/>
      <c r="EI12" s="728"/>
      <c r="EJ12" s="728"/>
      <c r="EK12" s="728"/>
      <c r="EL12" s="728"/>
      <c r="EM12" s="728"/>
      <c r="EN12" s="728"/>
      <c r="EO12" s="728"/>
      <c r="EP12" s="728"/>
      <c r="EQ12" s="728"/>
      <c r="ER12" s="728"/>
      <c r="ES12" s="728"/>
      <c r="ET12" s="728"/>
      <c r="EU12" s="728"/>
      <c r="EV12" s="728"/>
      <c r="EW12" s="728"/>
      <c r="EX12" s="728"/>
      <c r="EY12" s="728"/>
      <c r="EZ12" s="728"/>
      <c r="FA12" s="728"/>
      <c r="FB12" s="728"/>
      <c r="FC12" s="728"/>
      <c r="FD12" s="728"/>
      <c r="FE12" s="728"/>
      <c r="FF12" s="728"/>
      <c r="FG12" s="728"/>
      <c r="FH12" s="728"/>
      <c r="FI12" s="728"/>
      <c r="FJ12" s="728"/>
      <c r="FK12" s="728"/>
      <c r="FL12" s="728"/>
      <c r="FM12" s="728"/>
      <c r="FN12" s="728"/>
      <c r="FO12" s="728"/>
      <c r="FP12" s="728"/>
      <c r="FQ12" s="728"/>
      <c r="FR12" s="728"/>
      <c r="FS12" s="728"/>
      <c r="FT12" s="728"/>
      <c r="FU12" s="728"/>
      <c r="FV12" s="728"/>
      <c r="FW12" s="728"/>
      <c r="FX12" s="728"/>
      <c r="FY12" s="728"/>
      <c r="FZ12" s="728"/>
      <c r="GA12" s="728"/>
      <c r="GB12" s="728"/>
      <c r="GC12" s="728"/>
      <c r="GD12" s="728"/>
      <c r="GE12" s="728"/>
      <c r="GF12" s="728"/>
      <c r="GG12" s="728"/>
      <c r="GH12" s="728"/>
      <c r="GI12" s="728"/>
      <c r="GJ12" s="728"/>
      <c r="GK12" s="728"/>
      <c r="GL12" s="728"/>
      <c r="GM12" s="728"/>
      <c r="GN12" s="728"/>
      <c r="GO12" s="728"/>
      <c r="GP12" s="728"/>
      <c r="GQ12" s="728"/>
      <c r="GR12" s="728"/>
      <c r="GS12" s="728"/>
      <c r="GT12" s="728"/>
      <c r="GU12" s="728"/>
      <c r="GV12" s="728"/>
      <c r="GW12" s="728"/>
      <c r="GX12" s="728"/>
      <c r="GY12" s="728"/>
      <c r="GZ12" s="728"/>
      <c r="HA12" s="728"/>
      <c r="HB12" s="728"/>
      <c r="HC12" s="728"/>
      <c r="HD12" s="728"/>
      <c r="HE12" s="728"/>
      <c r="HF12" s="728"/>
      <c r="HG12" s="728"/>
      <c r="HH12" s="728"/>
      <c r="HI12" s="728"/>
      <c r="HJ12" s="728"/>
      <c r="HK12" s="728"/>
      <c r="HL12" s="728"/>
      <c r="HM12" s="728"/>
      <c r="HN12" s="728"/>
      <c r="HO12" s="728"/>
      <c r="HP12" s="728"/>
      <c r="HQ12" s="728"/>
      <c r="HR12" s="728"/>
      <c r="HS12" s="728"/>
      <c r="HT12" s="728"/>
      <c r="HU12" s="728"/>
      <c r="HV12" s="728"/>
      <c r="HW12" s="728"/>
      <c r="HX12" s="728"/>
      <c r="HY12" s="728"/>
      <c r="HZ12" s="728"/>
      <c r="IA12" s="728"/>
      <c r="IB12" s="728"/>
      <c r="IC12" s="728"/>
      <c r="ID12" s="728"/>
      <c r="IE12" s="728"/>
      <c r="IF12" s="728"/>
      <c r="IG12" s="728"/>
      <c r="IH12" s="728"/>
      <c r="II12" s="728"/>
      <c r="IJ12" s="728"/>
      <c r="IK12" s="728"/>
      <c r="IL12" s="728"/>
      <c r="IM12" s="728"/>
      <c r="IN12" s="728"/>
      <c r="IO12" s="728"/>
      <c r="IP12" s="728"/>
      <c r="IQ12" s="728"/>
      <c r="IR12" s="728"/>
      <c r="IS12" s="728"/>
      <c r="IT12" s="728"/>
      <c r="IU12" s="728"/>
      <c r="IV12" s="728"/>
      <c r="IW12" s="728"/>
    </row>
    <row r="13" customFormat="false" ht="20.25" hidden="false" customHeight="true" outlineLevel="0" collapsed="false">
      <c r="A13" s="799" t="inlineStr">
        <is>
          <t xml:space="preserve">32-C-023</t>
        </is>
      </c>
      <c r="B13" s="800" t="inlineStr">
        <is>
          <t xml:space="preserve">○ 비상전원 성능 적정 및 상용전원 차단 시 예비전원 자동전환 여부</t>
        </is>
      </c>
      <c r="C13" s="737"/>
      <c r="D13" s="728"/>
      <c r="E13" s="728"/>
      <c r="F13" s="728"/>
      <c r="G13" s="728"/>
      <c r="H13" s="728"/>
      <c r="I13" s="728"/>
      <c r="J13" s="728"/>
      <c r="K13" s="728"/>
      <c r="L13" s="728"/>
      <c r="M13" s="728"/>
      <c r="N13" s="728"/>
      <c r="O13" s="728"/>
      <c r="P13" s="728"/>
      <c r="Q13" s="728"/>
      <c r="R13" s="728"/>
      <c r="S13" s="728"/>
      <c r="T13" s="728"/>
      <c r="U13" s="728"/>
      <c r="V13" s="728"/>
      <c r="W13" s="728"/>
      <c r="X13" s="728"/>
      <c r="Y13" s="728"/>
      <c r="Z13" s="728"/>
      <c r="AA13" s="728"/>
      <c r="AB13" s="728"/>
      <c r="AC13" s="728"/>
      <c r="AD13" s="728"/>
      <c r="AE13" s="728"/>
      <c r="AF13" s="728"/>
      <c r="AG13" s="728"/>
      <c r="AH13" s="728"/>
      <c r="AI13" s="728"/>
      <c r="AJ13" s="728"/>
      <c r="AK13" s="728"/>
      <c r="AL13" s="728"/>
      <c r="AM13" s="728"/>
      <c r="AN13" s="728"/>
      <c r="AO13" s="728"/>
      <c r="AP13" s="728"/>
      <c r="AQ13" s="728"/>
      <c r="AR13" s="728"/>
      <c r="AS13" s="728"/>
      <c r="AT13" s="728"/>
      <c r="AU13" s="728"/>
      <c r="AV13" s="728"/>
      <c r="AW13" s="728"/>
      <c r="AX13" s="728"/>
      <c r="AY13" s="728"/>
      <c r="AZ13" s="728"/>
      <c r="BA13" s="728"/>
      <c r="BB13" s="728"/>
      <c r="BC13" s="728"/>
      <c r="BD13" s="728"/>
      <c r="BE13" s="728"/>
      <c r="BF13" s="728"/>
      <c r="BG13" s="728"/>
      <c r="BH13" s="728"/>
      <c r="BI13" s="728"/>
      <c r="BJ13" s="728"/>
      <c r="BK13" s="728"/>
      <c r="BL13" s="728"/>
      <c r="BM13" s="728"/>
      <c r="BN13" s="728"/>
      <c r="BO13" s="728"/>
      <c r="BP13" s="728"/>
      <c r="BQ13" s="728"/>
      <c r="BR13" s="728"/>
      <c r="BS13" s="728"/>
      <c r="BT13" s="728"/>
      <c r="BU13" s="728"/>
      <c r="BV13" s="728"/>
      <c r="BW13" s="728"/>
      <c r="BX13" s="728"/>
      <c r="BY13" s="728"/>
      <c r="BZ13" s="728"/>
      <c r="CA13" s="728"/>
      <c r="CB13" s="728"/>
      <c r="CC13" s="728"/>
      <c r="CD13" s="728"/>
      <c r="CE13" s="728"/>
      <c r="CF13" s="728"/>
      <c r="CG13" s="728"/>
      <c r="CH13" s="728"/>
      <c r="CI13" s="728"/>
      <c r="CJ13" s="728"/>
      <c r="CK13" s="728"/>
      <c r="CL13" s="728"/>
      <c r="CM13" s="728"/>
      <c r="CN13" s="728"/>
      <c r="CO13" s="728"/>
      <c r="CP13" s="728"/>
      <c r="CQ13" s="728"/>
      <c r="CR13" s="728"/>
      <c r="CS13" s="728"/>
      <c r="CT13" s="728"/>
      <c r="CU13" s="728"/>
      <c r="CV13" s="728"/>
      <c r="CW13" s="728"/>
      <c r="CX13" s="728"/>
      <c r="CY13" s="728"/>
      <c r="CZ13" s="728"/>
      <c r="DA13" s="728"/>
      <c r="DB13" s="728"/>
      <c r="DC13" s="728"/>
      <c r="DD13" s="728"/>
      <c r="DE13" s="728"/>
      <c r="DF13" s="728"/>
      <c r="DG13" s="728"/>
      <c r="DH13" s="728"/>
      <c r="DI13" s="728"/>
      <c r="DJ13" s="728"/>
      <c r="DK13" s="728"/>
      <c r="DL13" s="728"/>
      <c r="DM13" s="728"/>
      <c r="DN13" s="728"/>
      <c r="DO13" s="728"/>
      <c r="DP13" s="728"/>
      <c r="DQ13" s="728"/>
      <c r="DR13" s="728"/>
      <c r="DS13" s="728"/>
      <c r="DT13" s="728"/>
      <c r="DU13" s="728"/>
      <c r="DV13" s="728"/>
      <c r="DW13" s="728"/>
      <c r="DX13" s="728"/>
      <c r="DY13" s="728"/>
      <c r="DZ13" s="728"/>
      <c r="EA13" s="728"/>
      <c r="EB13" s="728"/>
      <c r="EC13" s="728"/>
      <c r="ED13" s="728"/>
      <c r="EE13" s="728"/>
      <c r="EF13" s="728"/>
      <c r="EG13" s="728"/>
      <c r="EH13" s="728"/>
      <c r="EI13" s="728"/>
      <c r="EJ13" s="728"/>
      <c r="EK13" s="728"/>
      <c r="EL13" s="728"/>
      <c r="EM13" s="728"/>
      <c r="EN13" s="728"/>
      <c r="EO13" s="728"/>
      <c r="EP13" s="728"/>
      <c r="EQ13" s="728"/>
      <c r="ER13" s="728"/>
      <c r="ES13" s="728"/>
      <c r="ET13" s="728"/>
      <c r="EU13" s="728"/>
      <c r="EV13" s="728"/>
      <c r="EW13" s="728"/>
      <c r="EX13" s="728"/>
      <c r="EY13" s="728"/>
      <c r="EZ13" s="728"/>
      <c r="FA13" s="728"/>
      <c r="FB13" s="728"/>
      <c r="FC13" s="728"/>
      <c r="FD13" s="728"/>
      <c r="FE13" s="728"/>
      <c r="FF13" s="728"/>
      <c r="FG13" s="728"/>
      <c r="FH13" s="728"/>
      <c r="FI13" s="728"/>
      <c r="FJ13" s="728"/>
      <c r="FK13" s="728"/>
      <c r="FL13" s="728"/>
      <c r="FM13" s="728"/>
      <c r="FN13" s="728"/>
      <c r="FO13" s="728"/>
      <c r="FP13" s="728"/>
      <c r="FQ13" s="728"/>
      <c r="FR13" s="728"/>
      <c r="FS13" s="728"/>
      <c r="FT13" s="728"/>
      <c r="FU13" s="728"/>
      <c r="FV13" s="728"/>
      <c r="FW13" s="728"/>
      <c r="FX13" s="728"/>
      <c r="FY13" s="728"/>
      <c r="FZ13" s="728"/>
      <c r="GA13" s="728"/>
      <c r="GB13" s="728"/>
      <c r="GC13" s="728"/>
      <c r="GD13" s="728"/>
      <c r="GE13" s="728"/>
      <c r="GF13" s="728"/>
      <c r="GG13" s="728"/>
      <c r="GH13" s="728"/>
      <c r="GI13" s="728"/>
      <c r="GJ13" s="728"/>
      <c r="GK13" s="728"/>
      <c r="GL13" s="728"/>
      <c r="GM13" s="728"/>
      <c r="GN13" s="728"/>
      <c r="GO13" s="728"/>
      <c r="GP13" s="728"/>
      <c r="GQ13" s="728"/>
      <c r="GR13" s="728"/>
      <c r="GS13" s="728"/>
      <c r="GT13" s="728"/>
      <c r="GU13" s="728"/>
      <c r="GV13" s="728"/>
      <c r="GW13" s="728"/>
      <c r="GX13" s="728"/>
      <c r="GY13" s="728"/>
      <c r="GZ13" s="728"/>
      <c r="HA13" s="728"/>
      <c r="HB13" s="728"/>
      <c r="HC13" s="728"/>
      <c r="HD13" s="728"/>
      <c r="HE13" s="728"/>
      <c r="HF13" s="728"/>
      <c r="HG13" s="728"/>
      <c r="HH13" s="728"/>
      <c r="HI13" s="728"/>
      <c r="HJ13" s="728"/>
      <c r="HK13" s="728"/>
      <c r="HL13" s="728"/>
      <c r="HM13" s="728"/>
      <c r="HN13" s="728"/>
      <c r="HO13" s="728"/>
      <c r="HP13" s="728"/>
      <c r="HQ13" s="728"/>
      <c r="HR13" s="728"/>
      <c r="HS13" s="728"/>
      <c r="HT13" s="728"/>
      <c r="HU13" s="728"/>
      <c r="HV13" s="728"/>
      <c r="HW13" s="728"/>
      <c r="HX13" s="728"/>
      <c r="HY13" s="728"/>
      <c r="HZ13" s="728"/>
      <c r="IA13" s="728"/>
      <c r="IB13" s="728"/>
      <c r="IC13" s="728"/>
      <c r="ID13" s="728"/>
      <c r="IE13" s="728"/>
      <c r="IF13" s="728"/>
      <c r="IG13" s="728"/>
      <c r="IH13" s="728"/>
      <c r="II13" s="728"/>
      <c r="IJ13" s="728"/>
      <c r="IK13" s="728"/>
      <c r="IL13" s="728"/>
      <c r="IM13" s="728"/>
      <c r="IN13" s="728"/>
      <c r="IO13" s="728"/>
      <c r="IP13" s="728"/>
      <c r="IQ13" s="728"/>
      <c r="IR13" s="728"/>
      <c r="IS13" s="728"/>
      <c r="IT13" s="728"/>
      <c r="IU13" s="728"/>
      <c r="IV13" s="728"/>
      <c r="IW13" s="728"/>
    </row>
    <row r="14" customFormat="false" ht="20.25" hidden="false" customHeight="true" outlineLevel="0" collapsed="false">
      <c r="A14" s="795" t="inlineStr">
        <is>
          <t xml:space="preserve">  </t>
        </is>
      </c>
      <c r="B14" s="817" t="inlineStr">
        <is>
          <t xml:space="preserve"> 유도표지</t>
        </is>
      </c>
      <c r="C14" s="734"/>
    </row>
    <row r="15" customFormat="false" ht="20.25" hidden="false" customHeight="true" outlineLevel="0" collapsed="false">
      <c r="A15" s="798" t="inlineStr">
        <is>
          <t xml:space="preserve">32-C-031</t>
        </is>
      </c>
      <c r="B15" s="746" t="inlineStr">
        <is>
          <t xml:space="preserve">○ 설치 상태(유사 등화광고물․게시물 존재, 쉽게 떨어지지 않는 방식) 적정 여부</t>
        </is>
      </c>
      <c r="C15" s="737"/>
    </row>
    <row r="16" customFormat="false" ht="20.25" hidden="false" customHeight="true" outlineLevel="0" collapsed="false">
      <c r="A16" s="799" t="inlineStr">
        <is>
          <t xml:space="preserve">32-C-032</t>
        </is>
      </c>
      <c r="B16" s="800" t="inlineStr">
        <is>
          <t xml:space="preserve">○ 외광․조명장치로 상시 조명 제공 또는 비상조명등 설치 여부</t>
        </is>
      </c>
      <c r="C16" s="737"/>
    </row>
    <row r="17" customFormat="false" ht="20.25" hidden="false" customHeight="true" outlineLevel="0" collapsed="false">
      <c r="A17" s="795" t="inlineStr">
        <is>
          <t xml:space="preserve">  </t>
        </is>
      </c>
      <c r="B17" s="817" t="inlineStr">
        <is>
          <t xml:space="preserve"> 비상조명등</t>
        </is>
      </c>
      <c r="C17" s="734"/>
    </row>
    <row r="18" customFormat="false" ht="20.25" hidden="false" customHeight="true" outlineLevel="0" collapsed="false">
      <c r="A18" s="798" t="inlineStr">
        <is>
          <t xml:space="preserve">32-C-041</t>
        </is>
      </c>
      <c r="B18" s="746" t="inlineStr">
        <is>
          <t xml:space="preserve">○ 설치위치의 적정 여부</t>
        </is>
      </c>
      <c r="C18" s="737"/>
    </row>
    <row r="19" customFormat="false" ht="20.25" hidden="false" customHeight="true" outlineLevel="0" collapsed="false">
      <c r="A19" s="799" t="inlineStr">
        <is>
          <t xml:space="preserve">32-C-042</t>
        </is>
      </c>
      <c r="B19" s="800" t="inlineStr">
        <is>
          <t xml:space="preserve">● 예비전원 내장형의 경우 점검스위치 설치 및 정상 작동 여부</t>
        </is>
      </c>
      <c r="C19" s="737"/>
    </row>
    <row r="20" customFormat="false" ht="20.25" hidden="false" customHeight="true" outlineLevel="0" collapsed="false">
      <c r="A20" s="868" t="inlineStr">
        <is>
          <t xml:space="preserve">  </t>
        </is>
      </c>
      <c r="B20" s="869" t="inlineStr">
        <is>
          <t xml:space="preserve"> 휴대용비상조명등</t>
        </is>
      </c>
      <c r="C20" s="734"/>
    </row>
    <row r="21" customFormat="false" ht="20.25" hidden="false" customHeight="true" outlineLevel="0" collapsed="false">
      <c r="A21" s="763" t="inlineStr">
        <is>
          <t xml:space="preserve">32-C-051</t>
        </is>
      </c>
      <c r="B21" s="803" t="inlineStr">
        <is>
          <t xml:space="preserve">○ 영업장안의 구획된 실마다 잘 보이는 곳에 1개 이상 설치 여부</t>
        </is>
      </c>
      <c r="C21" s="737"/>
    </row>
    <row r="22" customFormat="false" ht="20.25" hidden="false" customHeight="true" outlineLevel="0" collapsed="false">
      <c r="A22" s="763" t="inlineStr">
        <is>
          <t xml:space="preserve">32-C-052</t>
        </is>
      </c>
      <c r="B22" s="803" t="inlineStr">
        <is>
          <t xml:space="preserve">● 설치높이 및 표지의 적합 여부</t>
        </is>
      </c>
      <c r="C22" s="737"/>
    </row>
    <row r="23" customFormat="false" ht="20.25" hidden="false" customHeight="true" outlineLevel="0" collapsed="false">
      <c r="A23" s="775" t="inlineStr">
        <is>
          <t xml:space="preserve">32-C-053</t>
        </is>
      </c>
      <c r="B23" s="804" t="inlineStr">
        <is>
          <t xml:space="preserve">● 사용 시 자동으로 점등되는지 여부</t>
        </is>
      </c>
      <c r="C23" s="737"/>
    </row>
    <row r="24" customFormat="false" ht="24" hidden="false" customHeight="true" outlineLevel="0" collapsed="false">
      <c r="A24" s="842" t="inlineStr">
        <is>
          <t xml:space="preserve"> 32-D. 비상구</t>
        </is>
      </c>
      <c r="B24" s="842"/>
      <c r="C24" s="842"/>
    </row>
    <row r="25" customFormat="false" ht="20.25" hidden="false" customHeight="true" outlineLevel="0" collapsed="false">
      <c r="A25" s="795" t="inlineStr">
        <is>
          <t xml:space="preserve">32-D-001</t>
        </is>
      </c>
      <c r="B25" s="796" t="inlineStr">
        <is>
          <t xml:space="preserve">○ 피난동선에 물건을 쌓아두거나 장애물 설치 여부</t>
        </is>
      </c>
      <c r="C25" s="734"/>
    </row>
    <row r="26" customFormat="false" ht="20.25" hidden="false" customHeight="true" outlineLevel="0" collapsed="false">
      <c r="A26" s="798" t="inlineStr">
        <is>
          <t xml:space="preserve">32-D-002</t>
        </is>
      </c>
      <c r="B26" s="746" t="inlineStr">
        <is>
          <t xml:space="preserve">○ 피난구, 발코니 또는 부속실의 훼손 여부</t>
        </is>
      </c>
      <c r="C26" s="737"/>
    </row>
    <row r="27" customFormat="false" ht="20.25" hidden="false" customHeight="true" outlineLevel="0" collapsed="false">
      <c r="A27" s="799" t="inlineStr">
        <is>
          <t xml:space="preserve">32-D-003</t>
        </is>
      </c>
      <c r="B27" s="800" t="inlineStr">
        <is>
          <t xml:space="preserve">○ 방화문·방화셔터의 관리 및 작동상태</t>
        </is>
      </c>
      <c r="C27" s="737"/>
    </row>
    <row r="28" customFormat="false" ht="24" hidden="false" customHeight="true" outlineLevel="0" collapsed="false">
      <c r="A28" s="842" t="inlineStr">
        <is>
          <t xml:space="preserve"> 32-E. 영업장 내부 피난통로‧영상음향차단장치‧누전차단기‧창문</t>
        </is>
      </c>
      <c r="B28" s="842"/>
      <c r="C28" s="842"/>
    </row>
    <row r="29" customFormat="false" ht="20.25" hidden="false" customHeight="true" outlineLevel="0" collapsed="false">
      <c r="A29" s="770" t="inlineStr">
        <is>
          <t xml:space="preserve">32-E-001</t>
        </is>
      </c>
      <c r="B29" s="802" t="inlineStr">
        <is>
          <t xml:space="preserve">○ 영업장 내부 피난통로 관리상태 적합 여부</t>
        </is>
      </c>
      <c r="C29" s="734"/>
    </row>
    <row r="30" customFormat="false" ht="20.25" hidden="false" customHeight="true" outlineLevel="0" collapsed="false">
      <c r="A30" s="763" t="inlineStr">
        <is>
          <t xml:space="preserve">32-E-002</t>
        </is>
      </c>
      <c r="B30" s="803" t="inlineStr">
        <is>
          <t xml:space="preserve">● 영상음향차단장치 설치 및 정상작동 여부</t>
        </is>
      </c>
      <c r="C30" s="737"/>
    </row>
    <row r="31" customFormat="false" ht="20.25" hidden="false" customHeight="true" outlineLevel="0" collapsed="false">
      <c r="A31" s="763" t="inlineStr">
        <is>
          <t xml:space="preserve">32-E-003</t>
        </is>
      </c>
      <c r="B31" s="803" t="inlineStr">
        <is>
          <t xml:space="preserve">● 누전차단기 설치 및 정상작동 여부</t>
        </is>
      </c>
      <c r="C31" s="737"/>
    </row>
    <row r="32" customFormat="false" ht="20.25" hidden="false" customHeight="true" outlineLevel="0" collapsed="false">
      <c r="A32" s="775" t="inlineStr">
        <is>
          <t xml:space="preserve">32-E-004</t>
        </is>
      </c>
      <c r="B32" s="804" t="inlineStr">
        <is>
          <t xml:space="preserve">○ 영업장 창문 관리상태 적합 여부</t>
        </is>
      </c>
      <c r="C32" s="737"/>
    </row>
    <row r="33" customFormat="false" ht="20.25" hidden="false" customHeight="true" outlineLevel="0" collapsed="false">
      <c r="A33" s="842" t="inlineStr">
        <is>
          <t xml:space="preserve"> 32-F. 피난안내도․피난안내영상물</t>
        </is>
      </c>
      <c r="B33" s="842"/>
      <c r="C33" s="842"/>
    </row>
    <row r="34" customFormat="false" ht="20.25" hidden="false" customHeight="true" outlineLevel="0" collapsed="false">
      <c r="A34" s="760" t="inlineStr">
        <is>
          <t xml:space="preserve">32-F-001</t>
        </is>
      </c>
      <c r="B34" s="761" t="inlineStr">
        <is>
          <t xml:space="preserve">○ 피난안내도의 정상 부착 및 피난안내영상물 상영 여부</t>
        </is>
      </c>
      <c r="C34" s="734"/>
    </row>
    <row r="35" customFormat="false" ht="20.25" hidden="false" customHeight="true" outlineLevel="0" collapsed="false">
      <c r="A35" s="842" t="inlineStr">
        <is>
          <t xml:space="preserve"> 32-G. 방염</t>
        </is>
      </c>
      <c r="B35" s="842"/>
      <c r="C35" s="842"/>
    </row>
    <row r="36" customFormat="false" ht="20.25" hidden="false" customHeight="true" outlineLevel="0" collapsed="false">
      <c r="A36" s="795" t="inlineStr">
        <is>
          <t xml:space="preserve">32-G-001</t>
        </is>
      </c>
      <c r="B36" s="796" t="inlineStr">
        <is>
          <t xml:space="preserve">● 선처리 방염대상물품의 적합 여부(방염성능시험성적서 및 합격표시 확인)</t>
        </is>
      </c>
      <c r="C36" s="737"/>
    </row>
    <row r="37" customFormat="false" ht="20.25" hidden="false" customHeight="true" outlineLevel="0" collapsed="false">
      <c r="A37" s="799" t="inlineStr">
        <is>
          <t xml:space="preserve">32-G-002</t>
        </is>
      </c>
      <c r="B37" s="800" t="inlineStr">
        <is>
          <t xml:space="preserve">● 후처리 방염대상물품의 적합 여부(방염성능검사결과 확인)</t>
        </is>
      </c>
      <c r="C37" s="737"/>
    </row>
    <row r="38" customFormat="false" ht="34.5" hidden="false" customHeight="true" outlineLevel="0" collapsed="false">
      <c r="A38" s="764" t="inlineStr">
        <is>
          <t xml:space="preserve">비고</t>
        </is>
      </c>
      <c r="B38" s="855" t="inlineStr">
        <is>
          <t xml:space="preserve">※ 방염성능시험성적서, 합격표시 및 방염성능검사결과의 확인이 불가한 경우 비고에 기재한다.</t>
        </is>
      </c>
      <c r="C38" s="855"/>
    </row>
  </sheetData>
  <mergeCells count="6">
    <mergeCell ref="A1:C1"/>
    <mergeCell ref="A24:C24"/>
    <mergeCell ref="A28:C28"/>
    <mergeCell ref="A33:C33"/>
    <mergeCell ref="A35:C35"/>
    <mergeCell ref="B38:C38"/>
  </mergeCells>
  <dataValidations count="2">
    <dataValidation allowBlank="true" errorStyle="stop" operator="between" showDropDown="false" showErrorMessage="true" showInputMessage="false" sqref="H6:H8" type="list">
      <formula1>$C$4:$C$11</formula1>
      <formula2>0</formula2>
    </dataValidation>
    <dataValidation allowBlank="true" errorStyle="stop" operator="between" showDropDown="false" showErrorMessage="true" showInputMessage="false" sqref="C3:C23 C25:C27 C29:C32 C34 C36:C37" type="list">
      <formula1>$H$6:$H$8</formula1>
      <formula2>0</formula2>
    </dataValidation>
  </dataValidations>
  <printOptions headings="false" gridLines="false" gridLinesSet="true" horizontalCentered="false" verticalCentered="false"/>
  <pageMargins left="0.38" right="0.17" top="0.32" bottom="0.15748031496062992" header="0.2362204724409449" footer="0.2362204724409449"/>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2001-06-12T15:04:58Z</dcterms:created>
  <dc:creator>a</dc:creator>
  <dc:description/>
  <dc:language>ko-KR</dc:language>
  <cp:lastModifiedBy>USER</cp:lastModifiedBy>
  <cp:lastPrinted>2025-01-01T18:57:09Z</cp:lastPrinted>
  <dcterms:modified xsi:type="dcterms:W3CDTF">2026-03-03T16:32:27Z</dcterms:modified>
  <cp:revision>0</cp:revision>
  <dc:subject/>
  <dc:title/>
</cp:coreProperties>
</file>